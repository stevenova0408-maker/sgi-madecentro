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210dee330001c4e0/Desktop/Desktop/sgi_piloto/plantillas/"/>
    </mc:Choice>
  </mc:AlternateContent>
  <xr:revisionPtr revIDLastSave="1" documentId="8_{9D56E563-8BFA-413E-910D-D6A95207D1AA}" xr6:coauthVersionLast="47" xr6:coauthVersionMax="47" xr10:uidLastSave="{6332A45B-645F-4B65-A5AD-87344B08B09F}"/>
  <bookViews>
    <workbookView xWindow="-120" yWindow="-120" windowWidth="20640" windowHeight="11040" tabRatio="842" activeTab="7" xr2:uid="{00000000-000D-0000-FFFF-FFFF00000000}"/>
  </bookViews>
  <sheets>
    <sheet name="MAESTRO" sheetId="50" r:id="rId1"/>
    <sheet name="BASE DE DATOS" sheetId="9" r:id="rId2"/>
    <sheet name="REF" sheetId="3" state="hidden" r:id="rId3"/>
    <sheet name="Hoja1" sheetId="1" r:id="rId4"/>
    <sheet name="Hoja3" sheetId="54" state="hidden" r:id="rId5"/>
    <sheet name="Resumen Paquetes" sheetId="14" r:id="rId6"/>
    <sheet name="TD" sheetId="16" r:id="rId7"/>
    <sheet name="STICKERS" sheetId="17" r:id="rId8"/>
    <sheet name="REMISION PRINCIPAL" sheetId="10" r:id="rId9"/>
    <sheet name="(064-8371)" sheetId="55" r:id="rId10"/>
    <sheet name="(064-8372)" sheetId="56" r:id="rId11"/>
    <sheet name="(064-8373)" sheetId="57" r:id="rId12"/>
    <sheet name="(064-8374)" sheetId="58" r:id="rId13"/>
  </sheets>
  <functionGroups builtInGroupCount="19"/>
  <externalReferences>
    <externalReference r:id="rId14"/>
  </externalReferences>
  <definedNames>
    <definedName name="_xlnm._FilterDatabase" localSheetId="3" hidden="1">Hoja1!$B$2:$V$613</definedName>
    <definedName name="_xlnm._FilterDatabase" localSheetId="2" hidden="1">REF!$A$2:$C$1704</definedName>
    <definedName name="_xlnm._FilterDatabase" localSheetId="5" hidden="1">'Resumen Paquetes'!$A$1:$F$104</definedName>
    <definedName name="_xlnm.Print_Area" localSheetId="7">STICKERS!$A$1:$L$1662</definedName>
    <definedName name="CEDI2">INDEX(#REF!,MATCH(#REF!,#REF!,0))</definedName>
    <definedName name="Fotos">INDEX(#REF!,MATCH(#REF!,#REF!,0))</definedName>
    <definedName name="Fotos1">INDEX(#REF!,MATCH(#REF!,#REF!,0))</definedName>
    <definedName name="G">INDEX(#REF!,MATCH(#REF!,#REF!,0))</definedName>
    <definedName name="MAT">'[1]Material 15mm'!$B$4:$R$254</definedName>
  </definedNames>
  <calcPr calcId="19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0" l="1"/>
  <c r="F3" i="10"/>
  <c r="B12" i="1" l="1"/>
  <c r="B15" i="1"/>
  <c r="B11" i="1"/>
  <c r="B10" i="1"/>
  <c r="B14" i="1"/>
  <c r="B9" i="1"/>
  <c r="B5" i="1"/>
  <c r="B7" i="1"/>
  <c r="B6" i="1"/>
  <c r="B4" i="1"/>
  <c r="B22" i="1"/>
  <c r="B21" i="1"/>
  <c r="B20" i="1"/>
  <c r="B17" i="1"/>
  <c r="B16" i="1"/>
  <c r="B19" i="1"/>
  <c r="B18" i="1"/>
  <c r="B13" i="1"/>
  <c r="B3" i="1"/>
  <c r="Q12" i="1"/>
  <c r="O12" i="1" s="1"/>
  <c r="P12" i="1" s="1"/>
  <c r="Q15" i="1"/>
  <c r="O15" i="1" s="1"/>
  <c r="P15" i="1" s="1"/>
  <c r="Q11" i="1"/>
  <c r="O11" i="1" s="1"/>
  <c r="P11" i="1" s="1"/>
  <c r="Q10" i="1"/>
  <c r="O10" i="1" s="1"/>
  <c r="P10" i="1" s="1"/>
  <c r="Q14" i="1"/>
  <c r="O14" i="1" s="1"/>
  <c r="P14" i="1" s="1"/>
  <c r="Q9" i="1"/>
  <c r="O9" i="1" s="1"/>
  <c r="P9" i="1" s="1"/>
  <c r="Q5" i="1"/>
  <c r="O5" i="1" s="1"/>
  <c r="P5" i="1" s="1"/>
  <c r="Q7" i="1"/>
  <c r="O7" i="1" s="1"/>
  <c r="P7" i="1" s="1"/>
  <c r="Q6" i="1"/>
  <c r="O6" i="1" s="1"/>
  <c r="P6" i="1" s="1"/>
  <c r="Q4" i="1"/>
  <c r="O4" i="1" s="1"/>
  <c r="P4" i="1" s="1"/>
  <c r="Q22" i="1"/>
  <c r="O22" i="1" s="1"/>
  <c r="P22" i="1" s="1"/>
  <c r="Q21" i="1"/>
  <c r="O21" i="1" s="1"/>
  <c r="P21" i="1" s="1"/>
  <c r="Q20" i="1"/>
  <c r="O20" i="1" s="1"/>
  <c r="P20" i="1" s="1"/>
  <c r="Q17" i="1"/>
  <c r="O17" i="1" s="1"/>
  <c r="P17" i="1" s="1"/>
  <c r="Q16" i="1"/>
  <c r="O16" i="1" s="1"/>
  <c r="P16" i="1" s="1"/>
  <c r="Q19" i="1"/>
  <c r="O19" i="1" s="1"/>
  <c r="P19" i="1" s="1"/>
  <c r="Q18" i="1"/>
  <c r="O18" i="1" s="1"/>
  <c r="P18" i="1" s="1"/>
  <c r="Q13" i="1"/>
  <c r="O13" i="1" s="1"/>
  <c r="P13" i="1" s="1"/>
  <c r="Q3" i="1"/>
  <c r="O3" i="1" s="1"/>
  <c r="P3" i="1" s="1"/>
  <c r="Q98" i="1"/>
  <c r="O98" i="1" s="1"/>
  <c r="P98" i="1" s="1"/>
  <c r="Q99" i="1"/>
  <c r="O99" i="1" s="1"/>
  <c r="P99" i="1" s="1"/>
  <c r="Q113" i="1"/>
  <c r="O113" i="1" s="1"/>
  <c r="P113" i="1" s="1"/>
  <c r="Q117" i="1"/>
  <c r="O117" i="1" s="1"/>
  <c r="P117" i="1" s="1"/>
  <c r="Q104" i="1"/>
  <c r="O104" i="1" s="1"/>
  <c r="P104" i="1" s="1"/>
  <c r="Q103" i="1"/>
  <c r="O103" i="1" s="1"/>
  <c r="P103" i="1" s="1"/>
  <c r="Q77" i="1"/>
  <c r="O77" i="1" s="1"/>
  <c r="P77" i="1" s="1"/>
  <c r="Q106" i="1"/>
  <c r="O106" i="1" s="1"/>
  <c r="P106" i="1" s="1"/>
  <c r="Q76" i="1"/>
  <c r="O76" i="1" s="1"/>
  <c r="P76" i="1" s="1"/>
  <c r="Q73" i="1"/>
  <c r="O73" i="1" s="1"/>
  <c r="P73" i="1" s="1"/>
  <c r="Q96" i="1"/>
  <c r="O96" i="1" s="1"/>
  <c r="P96" i="1" s="1"/>
  <c r="Q63" i="1"/>
  <c r="O63" i="1" s="1"/>
  <c r="P63" i="1" s="1"/>
  <c r="Q56" i="1"/>
  <c r="O56" i="1" s="1"/>
  <c r="P56" i="1" s="1"/>
  <c r="Q55" i="1"/>
  <c r="O55" i="1" s="1"/>
  <c r="P55" i="1" s="1"/>
  <c r="Q66" i="1"/>
  <c r="O66" i="1" s="1"/>
  <c r="P66" i="1" s="1"/>
  <c r="Q65" i="1"/>
  <c r="O65" i="1" s="1"/>
  <c r="P65" i="1" s="1"/>
  <c r="Q64" i="1"/>
  <c r="O64" i="1" s="1"/>
  <c r="P64" i="1" s="1"/>
  <c r="Q61" i="1"/>
  <c r="O61" i="1" s="1"/>
  <c r="P61" i="1" s="1"/>
  <c r="Q105" i="1"/>
  <c r="O105" i="1" s="1"/>
  <c r="P105" i="1" s="1"/>
  <c r="Q100" i="1"/>
  <c r="O100" i="1" s="1"/>
  <c r="P100" i="1" s="1"/>
  <c r="Q116" i="1"/>
  <c r="O116" i="1" s="1"/>
  <c r="P116" i="1" s="1"/>
  <c r="Q87" i="1"/>
  <c r="O87" i="1" s="1"/>
  <c r="P87" i="1" s="1"/>
  <c r="Q86" i="1"/>
  <c r="O86" i="1" s="1"/>
  <c r="P86" i="1" s="1"/>
  <c r="Q30" i="1"/>
  <c r="O30" i="1" s="1"/>
  <c r="P30" i="1" s="1"/>
  <c r="Q29" i="1"/>
  <c r="O29" i="1" s="1"/>
  <c r="P29" i="1" s="1"/>
  <c r="Q72" i="1"/>
  <c r="O72" i="1" s="1"/>
  <c r="P72" i="1" s="1"/>
  <c r="Q120" i="1"/>
  <c r="O120" i="1" s="1"/>
  <c r="P120" i="1" s="1"/>
  <c r="Q71" i="1"/>
  <c r="O71" i="1" s="1"/>
  <c r="P71" i="1" s="1"/>
  <c r="Q70" i="1"/>
  <c r="O70" i="1" s="1"/>
  <c r="P70" i="1" s="1"/>
  <c r="Q54" i="1"/>
  <c r="O54" i="1" s="1"/>
  <c r="P54" i="1" s="1"/>
  <c r="Q53" i="1"/>
  <c r="O53" i="1" s="1"/>
  <c r="P53" i="1" s="1"/>
  <c r="B98" i="1"/>
  <c r="B99" i="1"/>
  <c r="B113" i="1"/>
  <c r="B117" i="1"/>
  <c r="B104" i="1"/>
  <c r="B103" i="1"/>
  <c r="B77" i="1"/>
  <c r="B106" i="1"/>
  <c r="B76" i="1"/>
  <c r="B73" i="1"/>
  <c r="B96" i="1"/>
  <c r="B63" i="1"/>
  <c r="B56" i="1"/>
  <c r="B55" i="1"/>
  <c r="B66" i="1"/>
  <c r="B65" i="1"/>
  <c r="B64" i="1"/>
  <c r="B61" i="1"/>
  <c r="B105" i="1"/>
  <c r="B100" i="1"/>
  <c r="B116" i="1"/>
  <c r="B87" i="1"/>
  <c r="B86" i="1"/>
  <c r="B30" i="1"/>
  <c r="B29" i="1"/>
  <c r="B72" i="1"/>
  <c r="B120" i="1"/>
  <c r="B71" i="1"/>
  <c r="B70" i="1"/>
  <c r="B54" i="1"/>
  <c r="B53" i="1"/>
  <c r="B44" i="1"/>
  <c r="B43" i="1"/>
  <c r="B84" i="1"/>
  <c r="B115" i="1"/>
  <c r="B28" i="1"/>
  <c r="B51" i="1"/>
  <c r="B89" i="1"/>
  <c r="B68" i="1"/>
  <c r="B119" i="1"/>
  <c r="B26" i="1"/>
  <c r="B69" i="1"/>
  <c r="B42" i="1"/>
  <c r="B111" i="1"/>
  <c r="B67" i="1"/>
  <c r="B60" i="1"/>
  <c r="B46" i="1"/>
  <c r="B58" i="1"/>
  <c r="B110" i="1"/>
  <c r="B57" i="1"/>
  <c r="B121" i="1"/>
  <c r="B118" i="1"/>
  <c r="B107" i="1"/>
  <c r="B50" i="1"/>
  <c r="B49" i="1"/>
  <c r="B108" i="1"/>
  <c r="Q44" i="1"/>
  <c r="O44" i="1" s="1"/>
  <c r="P44" i="1" s="1"/>
  <c r="Q43" i="1"/>
  <c r="O43" i="1" s="1"/>
  <c r="P43" i="1" s="1"/>
  <c r="Q84" i="1"/>
  <c r="O84" i="1" s="1"/>
  <c r="P84" i="1" s="1"/>
  <c r="Q115" i="1"/>
  <c r="O115" i="1" s="1"/>
  <c r="P115" i="1" s="1"/>
  <c r="Q28" i="1"/>
  <c r="O28" i="1" s="1"/>
  <c r="P28" i="1" s="1"/>
  <c r="Q51" i="1"/>
  <c r="O51" i="1" s="1"/>
  <c r="P51" i="1" s="1"/>
  <c r="Q89" i="1"/>
  <c r="O89" i="1" s="1"/>
  <c r="P89" i="1" s="1"/>
  <c r="Q68" i="1"/>
  <c r="O68" i="1" s="1"/>
  <c r="P68" i="1" s="1"/>
  <c r="Q119" i="1"/>
  <c r="O119" i="1" s="1"/>
  <c r="P119" i="1" s="1"/>
  <c r="Q26" i="1"/>
  <c r="O26" i="1" s="1"/>
  <c r="P26" i="1" s="1"/>
  <c r="Q69" i="1"/>
  <c r="O69" i="1" s="1"/>
  <c r="P69" i="1" s="1"/>
  <c r="Q42" i="1"/>
  <c r="O42" i="1" s="1"/>
  <c r="P42" i="1" s="1"/>
  <c r="Q111" i="1"/>
  <c r="O111" i="1" s="1"/>
  <c r="P111" i="1" s="1"/>
  <c r="Q67" i="1"/>
  <c r="O67" i="1" s="1"/>
  <c r="P67" i="1" s="1"/>
  <c r="Q60" i="1"/>
  <c r="O60" i="1" s="1"/>
  <c r="P60" i="1" s="1"/>
  <c r="Q46" i="1"/>
  <c r="O46" i="1" s="1"/>
  <c r="P46" i="1" s="1"/>
  <c r="Q58" i="1"/>
  <c r="O58" i="1" s="1"/>
  <c r="P58" i="1" s="1"/>
  <c r="Q110" i="1"/>
  <c r="O110" i="1" s="1"/>
  <c r="P110" i="1" s="1"/>
  <c r="Q57" i="1"/>
  <c r="O57" i="1" s="1"/>
  <c r="P57" i="1" s="1"/>
  <c r="Q121" i="1"/>
  <c r="O121" i="1" s="1"/>
  <c r="P121" i="1" s="1"/>
  <c r="Q118" i="1"/>
  <c r="O118" i="1" s="1"/>
  <c r="P118" i="1" s="1"/>
  <c r="Q107" i="1"/>
  <c r="O107" i="1" s="1"/>
  <c r="P107" i="1" s="1"/>
  <c r="Q50" i="1"/>
  <c r="O50" i="1" s="1"/>
  <c r="P50" i="1" s="1"/>
  <c r="Q49" i="1"/>
  <c r="O49" i="1" s="1"/>
  <c r="P49" i="1" s="1"/>
  <c r="Q108" i="1"/>
  <c r="O108" i="1" s="1"/>
  <c r="P108" i="1" s="1"/>
  <c r="B62" i="1"/>
  <c r="B36" i="1"/>
  <c r="B24" i="1"/>
  <c r="B25" i="1"/>
  <c r="B52" i="1"/>
  <c r="B94" i="1"/>
  <c r="B85" i="1"/>
  <c r="B23" i="1"/>
  <c r="B75" i="1"/>
  <c r="B74" i="1"/>
  <c r="B101" i="1"/>
  <c r="B82" i="1"/>
  <c r="B40" i="1"/>
  <c r="B38" i="1"/>
  <c r="B37" i="1"/>
  <c r="B35" i="1"/>
  <c r="B88" i="1"/>
  <c r="B109" i="1"/>
  <c r="B97" i="1"/>
  <c r="B91" i="1"/>
  <c r="B112" i="1"/>
  <c r="B78" i="1"/>
  <c r="B33" i="1"/>
  <c r="B34" i="1"/>
  <c r="B83" i="1"/>
  <c r="B92" i="1"/>
  <c r="B27" i="1"/>
  <c r="B8" i="1"/>
  <c r="B39" i="1"/>
  <c r="B32" i="1"/>
  <c r="B90" i="1"/>
  <c r="B95" i="1"/>
  <c r="B93" i="1"/>
  <c r="B41" i="1"/>
  <c r="B102" i="1"/>
  <c r="B31" i="1"/>
  <c r="B80" i="1"/>
  <c r="B79" i="1"/>
  <c r="B81" i="1"/>
  <c r="Q62" i="1"/>
  <c r="O62" i="1" s="1"/>
  <c r="P62" i="1" s="1"/>
  <c r="Q36" i="1"/>
  <c r="O36" i="1" s="1"/>
  <c r="P36" i="1" s="1"/>
  <c r="Q24" i="1"/>
  <c r="O24" i="1" s="1"/>
  <c r="P24" i="1" s="1"/>
  <c r="Q25" i="1"/>
  <c r="O25" i="1" s="1"/>
  <c r="P25" i="1" s="1"/>
  <c r="Q52" i="1"/>
  <c r="O52" i="1" s="1"/>
  <c r="P52" i="1" s="1"/>
  <c r="Q94" i="1"/>
  <c r="O94" i="1" s="1"/>
  <c r="P94" i="1" s="1"/>
  <c r="Q85" i="1"/>
  <c r="O85" i="1" s="1"/>
  <c r="P85" i="1" s="1"/>
  <c r="Q23" i="1"/>
  <c r="O23" i="1" s="1"/>
  <c r="P23" i="1" s="1"/>
  <c r="Q75" i="1"/>
  <c r="O75" i="1" s="1"/>
  <c r="P75" i="1" s="1"/>
  <c r="Q74" i="1"/>
  <c r="O74" i="1" s="1"/>
  <c r="P74" i="1" s="1"/>
  <c r="Q101" i="1"/>
  <c r="O101" i="1" s="1"/>
  <c r="P101" i="1" s="1"/>
  <c r="Q82" i="1"/>
  <c r="O82" i="1" s="1"/>
  <c r="P82" i="1" s="1"/>
  <c r="Q40" i="1"/>
  <c r="O40" i="1" s="1"/>
  <c r="P40" i="1" s="1"/>
  <c r="Q38" i="1"/>
  <c r="O38" i="1" s="1"/>
  <c r="P38" i="1" s="1"/>
  <c r="Q37" i="1"/>
  <c r="O37" i="1" s="1"/>
  <c r="P37" i="1" s="1"/>
  <c r="Q35" i="1"/>
  <c r="O35" i="1" s="1"/>
  <c r="P35" i="1" s="1"/>
  <c r="Q88" i="1"/>
  <c r="O88" i="1" s="1"/>
  <c r="P88" i="1" s="1"/>
  <c r="Q109" i="1"/>
  <c r="O109" i="1" s="1"/>
  <c r="P109" i="1" s="1"/>
  <c r="Q97" i="1"/>
  <c r="O97" i="1" s="1"/>
  <c r="P97" i="1" s="1"/>
  <c r="Q91" i="1"/>
  <c r="O91" i="1" s="1"/>
  <c r="P91" i="1" s="1"/>
  <c r="Q112" i="1"/>
  <c r="O112" i="1" s="1"/>
  <c r="P112" i="1" s="1"/>
  <c r="Q78" i="1"/>
  <c r="O78" i="1" s="1"/>
  <c r="P78" i="1" s="1"/>
  <c r="Q33" i="1"/>
  <c r="O33" i="1" s="1"/>
  <c r="P33" i="1" s="1"/>
  <c r="Q34" i="1"/>
  <c r="O34" i="1" s="1"/>
  <c r="P34" i="1" s="1"/>
  <c r="Q83" i="1"/>
  <c r="O83" i="1" s="1"/>
  <c r="P83" i="1" s="1"/>
  <c r="Q92" i="1"/>
  <c r="O92" i="1" s="1"/>
  <c r="P92" i="1" s="1"/>
  <c r="Q27" i="1"/>
  <c r="O27" i="1" s="1"/>
  <c r="P27" i="1" s="1"/>
  <c r="Q8" i="1"/>
  <c r="O8" i="1" s="1"/>
  <c r="P8" i="1" s="1"/>
  <c r="Q39" i="1"/>
  <c r="O39" i="1" s="1"/>
  <c r="P39" i="1" s="1"/>
  <c r="Q32" i="1"/>
  <c r="O32" i="1" s="1"/>
  <c r="P32" i="1" s="1"/>
  <c r="Q90" i="1"/>
  <c r="O90" i="1" s="1"/>
  <c r="P90" i="1" s="1"/>
  <c r="Q95" i="1"/>
  <c r="O95" i="1" s="1"/>
  <c r="P95" i="1" s="1"/>
  <c r="Q93" i="1"/>
  <c r="O93" i="1" s="1"/>
  <c r="P93" i="1" s="1"/>
  <c r="Q41" i="1"/>
  <c r="O41" i="1" s="1"/>
  <c r="P41" i="1" s="1"/>
  <c r="Q102" i="1"/>
  <c r="O102" i="1" s="1"/>
  <c r="P102" i="1" s="1"/>
  <c r="Q31" i="1"/>
  <c r="O31" i="1" s="1"/>
  <c r="P31" i="1" s="1"/>
  <c r="Q80" i="1"/>
  <c r="O80" i="1" s="1"/>
  <c r="P80" i="1" s="1"/>
  <c r="Q79" i="1"/>
  <c r="O79" i="1" s="1"/>
  <c r="P79" i="1" s="1"/>
  <c r="Q81" i="1"/>
  <c r="O81" i="1" s="1"/>
  <c r="P81" i="1" s="1"/>
  <c r="B59" i="1"/>
  <c r="B47" i="1"/>
  <c r="B45" i="1"/>
  <c r="B48" i="1"/>
  <c r="Q59" i="1"/>
  <c r="O59" i="1" s="1"/>
  <c r="P59" i="1" s="1"/>
  <c r="Q47" i="1"/>
  <c r="O47" i="1" s="1"/>
  <c r="P47" i="1" s="1"/>
  <c r="Q45" i="1"/>
  <c r="O45" i="1" s="1"/>
  <c r="P45" i="1" s="1"/>
  <c r="Q48" i="1"/>
  <c r="O48" i="1" s="1"/>
  <c r="P48" i="1" s="1"/>
  <c r="B114" i="1"/>
  <c r="Q114" i="1"/>
  <c r="O114" i="1" s="1"/>
  <c r="P114" i="1" s="1"/>
  <c r="B96" i="17"/>
  <c r="D92" i="17"/>
  <c r="D94" i="17" s="1"/>
  <c r="D91" i="17"/>
  <c r="D88" i="17"/>
  <c r="B83" i="17"/>
  <c r="D79" i="17"/>
  <c r="D81" i="17" s="1"/>
  <c r="D78" i="17"/>
  <c r="D75" i="17"/>
  <c r="B72" i="17"/>
  <c r="D68" i="17"/>
  <c r="D70" i="17" s="1"/>
  <c r="D67" i="17"/>
  <c r="D64" i="17"/>
  <c r="B59" i="17"/>
  <c r="D55" i="17"/>
  <c r="D57" i="17" s="1"/>
  <c r="D54" i="17"/>
  <c r="D51" i="17"/>
  <c r="B48" i="17"/>
  <c r="D44" i="17"/>
  <c r="D46" i="17" s="1"/>
  <c r="D43" i="17"/>
  <c r="D40" i="17"/>
  <c r="B35" i="17"/>
  <c r="D31" i="17"/>
  <c r="D33" i="17" s="1"/>
  <c r="D30" i="17"/>
  <c r="D27" i="17"/>
  <c r="B24" i="17"/>
  <c r="D20" i="17"/>
  <c r="D22" i="17" s="1"/>
  <c r="D19" i="17"/>
  <c r="D16" i="17"/>
  <c r="K4" i="17"/>
  <c r="B62" i="17" l="1"/>
  <c r="B25" i="17"/>
  <c r="B86" i="17"/>
  <c r="B14" i="17"/>
  <c r="B73" i="17"/>
  <c r="B49" i="17"/>
  <c r="B38" i="17"/>
  <c r="E13" i="10"/>
  <c r="E12" i="10"/>
  <c r="E11" i="10"/>
  <c r="E10" i="10"/>
  <c r="F13" i="10"/>
  <c r="F12" i="10"/>
  <c r="F11" i="10"/>
  <c r="F10" i="10"/>
  <c r="B13" i="10"/>
  <c r="C13" i="10" s="1"/>
  <c r="B12" i="10"/>
  <c r="C12" i="10" s="1"/>
  <c r="B11" i="10"/>
  <c r="C11" i="10" s="1"/>
  <c r="B10" i="10"/>
  <c r="C10" i="10" s="1"/>
  <c r="F28" i="10" l="1"/>
  <c r="J5" i="17"/>
  <c r="B11" i="17"/>
  <c r="D7" i="17"/>
  <c r="D6" i="17"/>
  <c r="D3" i="17"/>
  <c r="D34" i="17" l="1"/>
  <c r="D82" i="17"/>
  <c r="D47" i="17"/>
  <c r="D95" i="17"/>
  <c r="D23" i="17"/>
  <c r="D58" i="17"/>
  <c r="D71" i="17"/>
  <c r="D9" i="17"/>
  <c r="B1" i="17"/>
  <c r="C7" i="10"/>
  <c r="D10" i="17"/>
  <c r="F5" i="10" l="1"/>
  <c r="C5" i="10"/>
  <c r="C3" i="10"/>
</calcChain>
</file>

<file path=xl/sharedStrings.xml><?xml version="1.0" encoding="utf-8"?>
<sst xmlns="http://schemas.openxmlformats.org/spreadsheetml/2006/main" count="19667" uniqueCount="8807">
  <si>
    <t>CANTIDAD</t>
  </si>
  <si>
    <t>LARGO</t>
  </si>
  <si>
    <t>ANCHO</t>
  </si>
  <si>
    <t>DETALLE</t>
  </si>
  <si>
    <t>L1</t>
  </si>
  <si>
    <t>L2</t>
  </si>
  <si>
    <t>VETA</t>
  </si>
  <si>
    <t>A1</t>
  </si>
  <si>
    <t>A2</t>
  </si>
  <si>
    <t>REFERENCIA</t>
  </si>
  <si>
    <t>KG UNIDAD</t>
  </si>
  <si>
    <t>KG TOTAL</t>
  </si>
  <si>
    <t>CALIBRE</t>
  </si>
  <si>
    <t xml:space="preserve">REFERENCIAS DE LAMINAS </t>
  </si>
  <si>
    <t>REFERENCIAS DE CANTOS</t>
  </si>
  <si>
    <t>DESCRIPCION</t>
  </si>
  <si>
    <t>PESO</t>
  </si>
  <si>
    <t>TIPO</t>
  </si>
  <si>
    <t>AGAERB1416</t>
  </si>
  <si>
    <t>AGLO DURACHAPA RB RS 1C 2.15 X 2.44X 0.16</t>
  </si>
  <si>
    <t>CPSIE41R</t>
  </si>
  <si>
    <t>CANTO RIGIDO ORANGE SIENA 41MM</t>
  </si>
  <si>
    <t>RIG</t>
  </si>
  <si>
    <t>AGNRARN106</t>
  </si>
  <si>
    <t>PELIKANO RH ARTIKO 1C NA 2.15X2.44X0.006</t>
  </si>
  <si>
    <t>CPCEM41R</t>
  </si>
  <si>
    <t>CANTO RIGIDO ORANGE CEMENTO 41MM</t>
  </si>
  <si>
    <t>AGCTE04825</t>
  </si>
  <si>
    <t>AGLO CRUDO SUPERT 1.22X2.44X0.025</t>
  </si>
  <si>
    <t>CALROV19</t>
  </si>
  <si>
    <t>CANTO PVC ORANGE DIS.ROVERE 19MM</t>
  </si>
  <si>
    <t>PVC</t>
  </si>
  <si>
    <t>AGCNE04818</t>
  </si>
  <si>
    <t>AGLO CRUDO NOVOPAN
1.22X2.44X0.018</t>
  </si>
  <si>
    <t>PERALM30</t>
  </si>
  <si>
    <t>PERF CANTO-MAN NO RANURA X 3M TAB 15MM</t>
  </si>
  <si>
    <t>PERALM</t>
  </si>
  <si>
    <t>AGCNE04830</t>
  </si>
  <si>
    <t>AGLO CRUDO NOVOPAN 1.22X2.44X0.030</t>
  </si>
  <si>
    <t>CPWEN41R</t>
  </si>
  <si>
    <t>CANTO RIGIDO ORANGE WENGUE 41MM</t>
  </si>
  <si>
    <t>AGCNE04836</t>
  </si>
  <si>
    <t>AGLO CRUDO NOVOPAN 1.22x2.44x0.036</t>
  </si>
  <si>
    <t>PERALM33</t>
  </si>
  <si>
    <t>PERF CANTO NO RANURA X 3M TABLERO 18MM</t>
  </si>
  <si>
    <t>AGCNE06806</t>
  </si>
  <si>
    <t>AGLO CRUDO NOVOPAN 1.83X2.44X0.006</t>
  </si>
  <si>
    <t>CPLIN41R</t>
  </si>
  <si>
    <t>CANTO RIGIDO ORANGE LINO 41MM</t>
  </si>
  <si>
    <t>AGNRHAP218</t>
  </si>
  <si>
    <t>PELIKANO RH HABANO 2C PO 2.15X2.44X0.018</t>
  </si>
  <si>
    <t>CACED33R</t>
  </si>
  <si>
    <t>CANTO RIGIDO MOBILE CEDRO 33 MM</t>
  </si>
  <si>
    <t>AGCNE07804</t>
  </si>
  <si>
    <t>AGLO CRUDO NOVOPAN 2.15X2.44X0.004</t>
  </si>
  <si>
    <t>CPROG44R</t>
  </si>
  <si>
    <t>CANTO RIGIDO ORANGE ROBLE GRIS 44MM</t>
  </si>
  <si>
    <t>AGCNE07806</t>
  </si>
  <si>
    <t>MDP NOVOPAN 2.15X2.44X0.006</t>
  </si>
  <si>
    <t>CAPCAR33</t>
  </si>
  <si>
    <t>CANTO PVC ORANGE DIS.CARAMELO 33MM</t>
  </si>
  <si>
    <t>AGCNE07809</t>
  </si>
  <si>
    <t>MDP NOVOPAN 2.15X2.44X0.009</t>
  </si>
  <si>
    <t>CACHA19R</t>
  </si>
  <si>
    <t>CANTO RIGIDO MOBILE CHAMPAÑA 19MM</t>
  </si>
  <si>
    <t>MFMEMBC104</t>
  </si>
  <si>
    <t>MDF MELAMINA BLANCO 1.83X2.44X0.004</t>
  </si>
  <si>
    <t>CAPVOL19</t>
  </si>
  <si>
    <t>CANTO PVC ORANGE DIS.VOLCANO 19MM</t>
  </si>
  <si>
    <t>AGCNE07812</t>
  </si>
  <si>
    <t>MDP NOVOPAN 2.15X2.44X0.012</t>
  </si>
  <si>
    <t>CACHA22R</t>
  </si>
  <si>
    <t>CANTO RIGIDO MOBILE CHAMPAÑA 22MM</t>
  </si>
  <si>
    <t>AGCNE07815</t>
  </si>
  <si>
    <t>MDP NOVOPAN 2.15X2.44X0.015</t>
  </si>
  <si>
    <t>CACHA33R</t>
  </si>
  <si>
    <t>CANTO RIGIDO MOBILE CHAMPAÑA 33MM</t>
  </si>
  <si>
    <t>AGCNE07818</t>
  </si>
  <si>
    <t>MDP NOVOPAN 2.15X2.44X0.018</t>
  </si>
  <si>
    <t>CAFMO19R</t>
  </si>
  <si>
    <t>CANTO RIGIDO MOBILE FLOR MORADO 19MM</t>
  </si>
  <si>
    <t>AGCNE07825</t>
  </si>
  <si>
    <t>MDP NOVOPAN 2.15X2.44X0.025</t>
  </si>
  <si>
    <t>CAGRI19R</t>
  </si>
  <si>
    <t xml:space="preserve">CANTO RIGIDO MOBILE GRIS   19MM </t>
  </si>
  <si>
    <t>AGCNE07830</t>
  </si>
  <si>
    <t>MDP NOVOPAN 2.15X2.44X0.030</t>
  </si>
  <si>
    <t>CAGRI22R</t>
  </si>
  <si>
    <t>CANTO RIGIDO MOBILE GRIS   22MM</t>
  </si>
  <si>
    <t xml:space="preserve">AGCNE07830 </t>
  </si>
  <si>
    <t>CAGRI29R</t>
  </si>
  <si>
    <t>CANTO RIGIDO MOBILE GRIS 29 MM</t>
  </si>
  <si>
    <t>AGCTE06809</t>
  </si>
  <si>
    <t>AGLO CRUDO DURATEX 1.83X2.44X0.009</t>
  </si>
  <si>
    <t>CAGRI33R</t>
  </si>
  <si>
    <t>CANTO RIGIDO MOBILE GRIS   33MM</t>
  </si>
  <si>
    <t>AGNRBNS215B</t>
  </si>
  <si>
    <t>AGLO RH BCO.NO 2C SF 2.10X2.44X0.015</t>
  </si>
  <si>
    <t>CAHAY33R</t>
  </si>
  <si>
    <t>CANTO RIGIDO MOBILE HAYA 33MM</t>
  </si>
  <si>
    <t>AGCNEL4804</t>
  </si>
  <si>
    <t>MDP NOVOPAN LIJ 1.22X2.44X0.004</t>
  </si>
  <si>
    <t>CALAMR22</t>
  </si>
  <si>
    <t>CANTO PVC LIGDECOR AMARETTO 22MM</t>
  </si>
  <si>
    <t>AGCNEL4809</t>
  </si>
  <si>
    <t>MDP NOVOPAN LIJ 1.22X2.44X0.009</t>
  </si>
  <si>
    <t>CALART19</t>
  </si>
  <si>
    <t>CANTO PVC LIGNADECOR ARTIKO 19MM</t>
  </si>
  <si>
    <t>AGCNEL4812</t>
  </si>
  <si>
    <t>MDP NOVOPAN LIJ 1.22X2.44X0.012</t>
  </si>
  <si>
    <t>CALART22</t>
  </si>
  <si>
    <t>CANTO PVC LIGDECOR ARTICO 22MM</t>
  </si>
  <si>
    <t>AGCNEL4815</t>
  </si>
  <si>
    <t>MDP NOVOPAN LIJ 1.22X2.44X0.015</t>
  </si>
  <si>
    <t>CALBCO16</t>
  </si>
  <si>
    <t>CANTO PVC LIGDECOR BLANCO  16MM</t>
  </si>
  <si>
    <t>AGCNEL4818</t>
  </si>
  <si>
    <t>MDP NOVOPAN LIJ 1.22X2.44X0.018</t>
  </si>
  <si>
    <t>CALBCO19</t>
  </si>
  <si>
    <t>CANTO PCV LIGNADECOR BLANCO 19MM</t>
  </si>
  <si>
    <t>AGCNEL4825</t>
  </si>
  <si>
    <t>MDP NOVOPAN LIJ 1.22X2.44X0.025</t>
  </si>
  <si>
    <t>CALBCO22</t>
  </si>
  <si>
    <t>CANTO PVC  LIGNADECOR BLANCO 22MM</t>
  </si>
  <si>
    <t>AGHEEFE318</t>
  </si>
  <si>
    <t>AGLO HG GALANTTI FRESNO 1.86X2.75X0.018</t>
  </si>
  <si>
    <t>CALBCO33</t>
  </si>
  <si>
    <t>CANTO LIGNADECOR BCO 33MM</t>
  </si>
  <si>
    <t>AGNRPLM215</t>
  </si>
  <si>
    <t>PELIKANO RH PLOMO 2C MT 2.15X2.44X0.0015</t>
  </si>
  <si>
    <t>CALBMQ19</t>
  </si>
  <si>
    <t>CANTO PVC ORANGE BLANCO MARQUEZ 19MM</t>
  </si>
  <si>
    <t>AGCNEL4830</t>
  </si>
  <si>
    <t>MDP NOVOPAN LIJ 1.22X2.44X0.030</t>
  </si>
  <si>
    <t>CPPAR44R</t>
  </si>
  <si>
    <t>CANTO RIGIDO ORANGE PARAMO 44MM</t>
  </si>
  <si>
    <t>AGCNEL7815</t>
  </si>
  <si>
    <t>MDP NOVOPAN LIJ 2.15X2.44X0.015</t>
  </si>
  <si>
    <t>CALNEG19</t>
  </si>
  <si>
    <t>CANTO PVC ORANGE NEGRO 19MM</t>
  </si>
  <si>
    <t>AGCNEL7818</t>
  </si>
  <si>
    <t>MDP NOVOPAN LIJ 2.15X2.44X0.018</t>
  </si>
  <si>
    <t>CPHAB33R</t>
  </si>
  <si>
    <t>CANTO RIGIDO ORANGE HABANO 33MM</t>
  </si>
  <si>
    <t>AGCNR05818</t>
  </si>
  <si>
    <t xml:space="preserve">MDP NOVOPAN RH 1.53 X2.44X0.018 </t>
  </si>
  <si>
    <t>CPMNG19R</t>
  </si>
  <si>
    <t>CANTO RIGIDO ORANGE MANGO 19MM</t>
  </si>
  <si>
    <t>AGCNR05825</t>
  </si>
  <si>
    <t xml:space="preserve">MDP NOVOPAN RH 1.53X2.44X0.025 </t>
  </si>
  <si>
    <t>CPCRP19R</t>
  </si>
  <si>
    <t>CANTO RIGIDO ORANGE CANION RUST PRI 19MM</t>
  </si>
  <si>
    <t>MFCTR04815</t>
  </si>
  <si>
    <t>MDF TABLEMAC RH 1.22X2.44X0.015</t>
  </si>
  <si>
    <t>CPCRP33R</t>
  </si>
  <si>
    <t>CANTO RIGIDO ORANGE CANION RUSTICO 33MM</t>
  </si>
  <si>
    <t>AGCNEL7830</t>
  </si>
  <si>
    <t>MDP NOVOPAN LIJ 2.15X2.44X0.030</t>
  </si>
  <si>
    <t>CPMIE33R</t>
  </si>
  <si>
    <t>CANTO RIGIDO ORANGE MIEL 33MM</t>
  </si>
  <si>
    <t>AGCNR07804</t>
  </si>
  <si>
    <t xml:space="preserve">MDP NOVOPAN RH 2.15X2.44X0.004 </t>
  </si>
  <si>
    <t>CAPCNZ33</t>
  </si>
  <si>
    <t>CANTO PVC ORANGE DIS.CENIZA 33MM</t>
  </si>
  <si>
    <t>AGNRONM236</t>
  </si>
  <si>
    <t>PELIKANO RH ONIX 2C MT 2.15X2.44X0.036</t>
  </si>
  <si>
    <t>CPPAR22R</t>
  </si>
  <si>
    <t>CANTO RIGIDO ORANGE PARAMO 22MM</t>
  </si>
  <si>
    <t>AGCNR07809</t>
  </si>
  <si>
    <t xml:space="preserve">MDP NOVOPAN RH 2.15X2.44X0.009 </t>
  </si>
  <si>
    <t>CPPLO22R</t>
  </si>
  <si>
    <t>CANTO RIGIDO ORANGE PLOMO 22MM</t>
  </si>
  <si>
    <t>AGCNR07812</t>
  </si>
  <si>
    <t xml:space="preserve">MDP NOVOPAN RH 2.15X2.44X0.012 </t>
  </si>
  <si>
    <t>CALNOG16</t>
  </si>
  <si>
    <t>CANTO PVC LIGDECOR NOGAL 16MM</t>
  </si>
  <si>
    <t>AGCNR07815</t>
  </si>
  <si>
    <t xml:space="preserve">MDP NOVOPAN RH 2.15X2.44X0.015 </t>
  </si>
  <si>
    <t>CALNOG19</t>
  </si>
  <si>
    <t>CANTO PVC LIGDECOR NOGAL 19MM</t>
  </si>
  <si>
    <t>AGCNR07818</t>
  </si>
  <si>
    <t xml:space="preserve">MDP NOVOPAN RH 2.15X2.44X0.018 </t>
  </si>
  <si>
    <t>CALNOG22</t>
  </si>
  <si>
    <t>CANTO PVC LIGDECOR NOGAL 22MM</t>
  </si>
  <si>
    <t>AGCNR07825</t>
  </si>
  <si>
    <t xml:space="preserve">MDP NOVOPAN RH 2.15X2.44X0.025 </t>
  </si>
  <si>
    <t>CALNOG44</t>
  </si>
  <si>
    <t>CANTO PVC LIGDECOR NOGAL 44MM</t>
  </si>
  <si>
    <t>AGCNR07830</t>
  </si>
  <si>
    <t xml:space="preserve">MDP NOVOPAN RH 2.15X2.44X0.030 </t>
  </si>
  <si>
    <t>CALPEK16</t>
  </si>
  <si>
    <t>CANTO PVC LIGDECOR PEKAN 16MM</t>
  </si>
  <si>
    <t>AGCNRL5818</t>
  </si>
  <si>
    <t>MDP NOVOPAN RH LJ 1.53X2.44X0.018</t>
  </si>
  <si>
    <t>CALPEK19</t>
  </si>
  <si>
    <t>CANTO PVC LIGDECOR PEKAN 19MM</t>
  </si>
  <si>
    <t xml:space="preserve">AGCNRL6818  </t>
  </si>
  <si>
    <t>MDP NOVOPAN RH LJ 1.83X2.44X0.018</t>
  </si>
  <si>
    <t>CALPEK22</t>
  </si>
  <si>
    <t>CANTO PVC LIGNADECOR PEKAN 22MM</t>
  </si>
  <si>
    <t>AGNRCCP215C</t>
  </si>
  <si>
    <t>PELIK RH CONAC 2C PO TB2.15X2.44X0.015</t>
  </si>
  <si>
    <t>CANTO PVC LIGDECOR PEKAN 22MM</t>
  </si>
  <si>
    <t>AGCNRL7818</t>
  </si>
  <si>
    <t>MDP NOVOPAN RH LJ 2.15X2.44X0.018</t>
  </si>
  <si>
    <t>CALPEK33</t>
  </si>
  <si>
    <t>CANTO PVC LIGDECOR PEKAN 33MM</t>
  </si>
  <si>
    <t>AGCNRL7830</t>
  </si>
  <si>
    <t>MDP NOVOPAN RH LJ 2.15X2.44X0.030</t>
  </si>
  <si>
    <t>CALPEK44</t>
  </si>
  <si>
    <t>CANTO PVC LIGDECOR PEKAN 44MM</t>
  </si>
  <si>
    <t>AGCREL6715</t>
  </si>
  <si>
    <t xml:space="preserve">AGLO CRUDO VESTO LISO 1.83X2.44X0.015 </t>
  </si>
  <si>
    <t>CPGAL19R</t>
  </si>
  <si>
    <t>CANTO RIGIDO ORANGE GALES 19MM</t>
  </si>
  <si>
    <t>MFITECR103</t>
  </si>
  <si>
    <t>HDF IMP.DIG TMB CANION RT1.22X2.44X0.003</t>
  </si>
  <si>
    <t>CPALP36R</t>
  </si>
  <si>
    <t>CANTO RIGIDO ORANGE ALPI 36MM</t>
  </si>
  <si>
    <t>AGCREL6809</t>
  </si>
  <si>
    <t xml:space="preserve">AGLO CRUDO VESTO LISO 1.83X2.44X0.009 </t>
  </si>
  <si>
    <t>CAPPLO22</t>
  </si>
  <si>
    <t>CANTO PVC ORANGE DIS. PLOMO 22MM</t>
  </si>
  <si>
    <t>AGNRWCM106</t>
  </si>
  <si>
    <t>PELIKANO RH WHITE 1C MT 2.15X2.44X0.006</t>
  </si>
  <si>
    <t>PERALM41</t>
  </si>
  <si>
    <t>PERFIL MANIJA C NO RANURA X 3M TABL 15MM</t>
  </si>
  <si>
    <t>AGNRMIP218</t>
  </si>
  <si>
    <t>PELIKANO RH MIEL 2C PO 2.15X2.44X0.018</t>
  </si>
  <si>
    <t>CALROA19</t>
  </si>
  <si>
    <t>CANTO PVC LIGDECOR  ROBLA AHU. 19MM</t>
  </si>
  <si>
    <t>AGNRMIP236</t>
  </si>
  <si>
    <t>PELIKANO RH MIEL 2C PO 2.15X2.44X0.036</t>
  </si>
  <si>
    <t>CALROA44</t>
  </si>
  <si>
    <t>CANTO PVC ORANGE ROBLE AHUMADO 44MM</t>
  </si>
  <si>
    <t>AGNEPAP218</t>
  </si>
  <si>
    <t>PELIKANO PARAMO 2C PO 2.15X2.44X0.018</t>
  </si>
  <si>
    <t>CALROG19</t>
  </si>
  <si>
    <t>CANTO PVC LIGDECO ROBLE GRIS 19MM</t>
  </si>
  <si>
    <t>AGCREL6812</t>
  </si>
  <si>
    <t xml:space="preserve">AGLO CRUDO VESTO LISO 1.83X2.44X0.012 </t>
  </si>
  <si>
    <t>CAPSAN41</t>
  </si>
  <si>
    <t xml:space="preserve">CANTO PVC ORANGE DIS. SANGRIA 41MM </t>
  </si>
  <si>
    <t>AGCREL6815</t>
  </si>
  <si>
    <t>CALMIE19</t>
  </si>
  <si>
    <t>CANTO PVC ORANGE DIS. MIEL 19MM</t>
  </si>
  <si>
    <t>AGCREL6818</t>
  </si>
  <si>
    <t xml:space="preserve">AGLO CRUDO VESTO LISO 1.83X2.44X0.018 </t>
  </si>
  <si>
    <t>CALWEN41</t>
  </si>
  <si>
    <t>CANTO PVC ORANGE DIS.WENGUE 41MM</t>
  </si>
  <si>
    <t>AGCREL6824</t>
  </si>
  <si>
    <t xml:space="preserve">AGLO CRUDO VESTO LISO 1.83X2.44X0.024 </t>
  </si>
  <si>
    <t>CALCNZ19</t>
  </si>
  <si>
    <t>CANTO PVC ORANGE DIS. CENIZA 19MM</t>
  </si>
  <si>
    <t>AGCREL6830</t>
  </si>
  <si>
    <t xml:space="preserve">AGLO CRUDO VESTO LISO 1.83X2.44X0.030 </t>
  </si>
  <si>
    <t>CPONI19R</t>
  </si>
  <si>
    <t>CANTO RIGIDO ORANGE ONIX 19MM</t>
  </si>
  <si>
    <t>AGCREL7808</t>
  </si>
  <si>
    <t>AGLO CRUDO VESTO LISO 2.15X2.44X0.008</t>
  </si>
  <si>
    <t>CPDUN19R</t>
  </si>
  <si>
    <t>CANTO RIGIDO ORANGE DUNA 19MM</t>
  </si>
  <si>
    <t>AGCTE04809</t>
  </si>
  <si>
    <t>AGLO CRUDO SUPERT
1.22X2.44X0.009</t>
  </si>
  <si>
    <t>CPPEK41R</t>
  </si>
  <si>
    <t>CANTO RIGIDO ORANGE PEKAN 41MM</t>
  </si>
  <si>
    <t>AGCTE04830</t>
  </si>
  <si>
    <t xml:space="preserve">AGLO CRUDO SUPERT 1.22X2.44X0.030 </t>
  </si>
  <si>
    <t>CPCON19R</t>
  </si>
  <si>
    <t>CANTO RIGIDO ORANGE CONAC 19MM</t>
  </si>
  <si>
    <t>AGCTE06804</t>
  </si>
  <si>
    <t>AGLO CRUDO SUPERT 1.83X2.44X0.004</t>
  </si>
  <si>
    <t>CALROG22</t>
  </si>
  <si>
    <t>CANTO PVC ORANGE ROBLE GRIS 22MM</t>
  </si>
  <si>
    <t>AGCTE06812</t>
  </si>
  <si>
    <t xml:space="preserve">AGLO CRUDO SUPERT 1.83X2.44X0.012 </t>
  </si>
  <si>
    <t>PERALM84</t>
  </si>
  <si>
    <t>PERFIL MANIJA TABLERO 17MM X 3MTS</t>
  </si>
  <si>
    <t>MFITEPA103</t>
  </si>
  <si>
    <t>HDF IMP.DIG TMB PARAMO 1.22X2.44X0.003</t>
  </si>
  <si>
    <t>CAMROV44</t>
  </si>
  <si>
    <t>CANTO PVC MOBILE DIS.ROVERE 44MM</t>
  </si>
  <si>
    <t>AGNRMIP106</t>
  </si>
  <si>
    <t>PELIKANO RH MIEL 1C PO 2.15X2.44X0.006</t>
  </si>
  <si>
    <t>CALROV22</t>
  </si>
  <si>
    <t>CANTO PVC LIGDECOR  DIS. ROVERE 22MM</t>
  </si>
  <si>
    <t>AGNRWCM218</t>
  </si>
  <si>
    <t>PELIKANO RH WHITE 2C MT 2.15X2.44X0.018</t>
  </si>
  <si>
    <t>CALSAP19</t>
  </si>
  <si>
    <t>CANTO PVC LIGDECOR  SAPELI. 19MM</t>
  </si>
  <si>
    <t>LMG6534BC6</t>
  </si>
  <si>
    <t>LAM. MOBILE CEDRO BT CT F6</t>
  </si>
  <si>
    <t>F6</t>
  </si>
  <si>
    <t>CALWEN16</t>
  </si>
  <si>
    <t>CANTO PVC LIGDECOR WENGUE 16MM</t>
  </si>
  <si>
    <t>AGNRBNS215A</t>
  </si>
  <si>
    <t>AGLO RH BCO.NO 2C SF 1.83X2.44X0.015</t>
  </si>
  <si>
    <t>CALWEN19</t>
  </si>
  <si>
    <t>CANTO PVC  LIGNADECOR WENGUE 19MM</t>
  </si>
  <si>
    <t>AGNECNW225</t>
  </si>
  <si>
    <t>PELIKANO CENIZA 2C WO 2.15X2.44X0.025</t>
  </si>
  <si>
    <t>CALWEN22</t>
  </si>
  <si>
    <t>CANTO PVC LIGDECOR WENGUE  22MM</t>
  </si>
  <si>
    <t>AGCTE06815</t>
  </si>
  <si>
    <t xml:space="preserve">AGLO CRUDO SUPERT 1.83X2.44X0.015 </t>
  </si>
  <si>
    <t>CALWEN33</t>
  </si>
  <si>
    <t>CANTO PVC ORANGE WENGUE 33MM</t>
  </si>
  <si>
    <t>AGCTE06825</t>
  </si>
  <si>
    <t>AGLO CRUDO DURATEX 1.83X2.44X0.025</t>
  </si>
  <si>
    <t>CALWEN44</t>
  </si>
  <si>
    <t>CANTO PVC MOBILE  DIS. WENGUE  44MM</t>
  </si>
  <si>
    <t>LMG7590TC6</t>
  </si>
  <si>
    <t>OLMO RUSTICO NO POSTFOMABLE</t>
  </si>
  <si>
    <t>CAMABE16</t>
  </si>
  <si>
    <t>CANTO PVC MOBILE DIS.ABEDUL 16MM</t>
  </si>
  <si>
    <t>AGNRSOP106</t>
  </si>
  <si>
    <t>PELIKANO RH SOMBRA 1C PO 2.15X2.44X0.006</t>
  </si>
  <si>
    <t>PERALM14</t>
  </si>
  <si>
    <t>PERFIL MANIJA GOLA ALUM X 3M TABLER 15MM</t>
  </si>
  <si>
    <t>AGNRCMM106</t>
  </si>
  <si>
    <t>PELIKANO RH CEMENT 1C MT 2.15X2.44X0.006</t>
  </si>
  <si>
    <t>CAMABE19</t>
  </si>
  <si>
    <t>CANTO PVC MOBILE DIS.ABEDUL 19MM</t>
  </si>
  <si>
    <t>AGNEHAP225</t>
  </si>
  <si>
    <t>PELIKANO HABANO 2C PO 2.15X2.44X0.025</t>
  </si>
  <si>
    <t>CAMABE22</t>
  </si>
  <si>
    <t>CANTO PVC MOBILE DIS.ABEDUL 22MM</t>
  </si>
  <si>
    <t>AGNRCAN236</t>
  </si>
  <si>
    <t>PELIKANO RH CARAME 2C NA 2.15X2.44X0.036</t>
  </si>
  <si>
    <t>CAPPAR41</t>
  </si>
  <si>
    <t>CANTO PVC ORANGE DIS. PARAMO 41MM</t>
  </si>
  <si>
    <t>LWD341BT8</t>
  </si>
  <si>
    <t>AMARILLO ORO BRILLANTE NO
POSTFORMABLE</t>
  </si>
  <si>
    <t>CAMGRI19</t>
  </si>
  <si>
    <t>CANTO PVC MOBILE GRIS 19MM</t>
  </si>
  <si>
    <t>TXCPA215</t>
  </si>
  <si>
    <t>TX FENOL CMPC PINO A/C 1.22X2.44X0.015</t>
  </si>
  <si>
    <t>CAMABE25</t>
  </si>
  <si>
    <t>CANTO PVC MOBILE DIS.ABEDUL 25MM</t>
  </si>
  <si>
    <t>AGCTE06818</t>
  </si>
  <si>
    <t xml:space="preserve">AGLO CRUDO SUPERT 1.83X2.44X0.018 </t>
  </si>
  <si>
    <t>CAMABE33</t>
  </si>
  <si>
    <t>CANTO PVC MOBILE DIS.ABEDUL 33MM</t>
  </si>
  <si>
    <t>AGCTE07809</t>
  </si>
  <si>
    <t xml:space="preserve">AGLO CRUDO SUPERT 2.15X2.44X0.009 </t>
  </si>
  <si>
    <t>CAPSOM44</t>
  </si>
  <si>
    <t>CANTO PVC ORANGE DIS. SOMBRA 44MM</t>
  </si>
  <si>
    <t>AGCTE07812</t>
  </si>
  <si>
    <t xml:space="preserve">AGLO CRUDO SUPERT 2.15X2.44X0.012 </t>
  </si>
  <si>
    <t>CAPPLO33</t>
  </si>
  <si>
    <t>CANTO PVC ORANGE DIS.PLOMO 33MM</t>
  </si>
  <si>
    <t>AGCTE07815</t>
  </si>
  <si>
    <t xml:space="preserve">AGLO CRUDO SUPERT 2.15X2.44X0.015 </t>
  </si>
  <si>
    <t>CPBCO29R</t>
  </si>
  <si>
    <t>CANTO RIGIDO ORANGE BLANCO 29MM</t>
  </si>
  <si>
    <t>AGCTE07818</t>
  </si>
  <si>
    <t xml:space="preserve">AGLO CRUDO SUPERT 2.15X2.44X0.018 </t>
  </si>
  <si>
    <t>CAPHAB22</t>
  </si>
  <si>
    <t>CANTO PVC ORANGE DIS. HABANO 22MM</t>
  </si>
  <si>
    <t>AGCTE07825</t>
  </si>
  <si>
    <t xml:space="preserve">AGLO CRUDO SUPERT 2.15X2.44X0.025 </t>
  </si>
  <si>
    <t>CPHAB22R</t>
  </si>
  <si>
    <t>CANTO RIGIDO ORANGE HABANO 22MM</t>
  </si>
  <si>
    <t>AGCTE07830</t>
  </si>
  <si>
    <t xml:space="preserve">AGLO CRUDO SUPERT 2.15X2.44X0.030 </t>
  </si>
  <si>
    <t>CAPOXI33</t>
  </si>
  <si>
    <t>CANTO PVC ORANGE DIS.OXID 33MM</t>
  </si>
  <si>
    <t>AGCTR05825</t>
  </si>
  <si>
    <t>AGLO CRUDO SUPERT RH 1.53X2.44X0.025</t>
  </si>
  <si>
    <t>CAPNUE19</t>
  </si>
  <si>
    <t>CANTO PVC ORANGE DIS.NUEZ 19MM</t>
  </si>
  <si>
    <t xml:space="preserve">AGCTR05825   </t>
  </si>
  <si>
    <t>CAMABE44</t>
  </si>
  <si>
    <t>CANTO PVC MOBILE DIS.ABEDUL 44MM</t>
  </si>
  <si>
    <t>AGCTR06812</t>
  </si>
  <si>
    <t>AGLO CRUDO SUPERT RH 1.83X2.44X0.012</t>
  </si>
  <si>
    <t>CAMALU16</t>
  </si>
  <si>
    <t>CANTO PVC MOBILE ALUMINIO SOFT 16MM</t>
  </si>
  <si>
    <t xml:space="preserve">AGCTR06818 </t>
  </si>
  <si>
    <t>AGLO CRUDO SUPERT RH 1.83X2.44X0.018</t>
  </si>
  <si>
    <t>CAMALU19</t>
  </si>
  <si>
    <t>CANTO PVC MOBILE ALUMINIO SOFT 19MM</t>
  </si>
  <si>
    <t>LW7967TP8</t>
  </si>
  <si>
    <t>LAM. WILSONART PARK ELM TX PF F8</t>
  </si>
  <si>
    <t>F8</t>
  </si>
  <si>
    <t>CAMALU22</t>
  </si>
  <si>
    <t>CANTO PVC MOBILE ALUMINIO SOFT 22MM</t>
  </si>
  <si>
    <t>AGNEATV309</t>
  </si>
  <si>
    <t>PELIKANO AMARET 1K MX 2.15X2.44X0.009</t>
  </si>
  <si>
    <t>CAMALU25</t>
  </si>
  <si>
    <t>CANTO PVC MOBILE ALUMINIO SOFT 25MM</t>
  </si>
  <si>
    <t>AGPMEBS315</t>
  </si>
  <si>
    <t>AGLO BCO.PRIMADERA S. 1.83X2.44X0.015</t>
  </si>
  <si>
    <t>CAMALU33</t>
  </si>
  <si>
    <t>CANTO PVC MOBILE ALUMINIO SOFT 33MM</t>
  </si>
  <si>
    <t>AGNEGRS209</t>
  </si>
  <si>
    <t>PELIKANO GRIS 2C SF 2.15X2.44X0.009</t>
  </si>
  <si>
    <t>CAPGRI16</t>
  </si>
  <si>
    <t>CANTO PVC MOBILE GRIS 16MM</t>
  </si>
  <si>
    <t>PERALM02B</t>
  </si>
  <si>
    <t>PERFIL ALUMINIO PARA PUERTAS X 3 MTS</t>
  </si>
  <si>
    <t>CPGRI33R</t>
  </si>
  <si>
    <t>CANTO RIGIDO MOBILE GRIS 33MM</t>
  </si>
  <si>
    <t>AGNRPLS218</t>
  </si>
  <si>
    <t>PELIKANO RH PLOMO 2C SF 2.15X2.44X0.018</t>
  </si>
  <si>
    <t>CAPMNG33</t>
  </si>
  <si>
    <t>CANTO PVC ORANGE DIS.MANGO 33MM</t>
  </si>
  <si>
    <t>OSBLM04810</t>
  </si>
  <si>
    <t>OSB MUEBLE L . P 1.22X2.44X0.0010</t>
  </si>
  <si>
    <t>CAMALU44</t>
  </si>
  <si>
    <t>CANTO PVC MOBILE ALUMINIO SOFT 44MM</t>
  </si>
  <si>
    <t>ALTAB018</t>
  </si>
  <si>
    <t>ALISTONADO TRAMON.PINO 1.22X2.30X0.018</t>
  </si>
  <si>
    <t>CAMAMR19</t>
  </si>
  <si>
    <t>CANTO PVC MOBILE AMARETTO 19MM</t>
  </si>
  <si>
    <t>AGNRDUP106</t>
  </si>
  <si>
    <t>PELIKANO RH DUNA 1C PO 2.15X2.44X0.006</t>
  </si>
  <si>
    <t>CAMAMR22</t>
  </si>
  <si>
    <t>CANTO PVC MOBILE AMARETTO 22MM</t>
  </si>
  <si>
    <t>AGNRHAP106</t>
  </si>
  <si>
    <t>PELIKANO RH HABANO 1C PO 2.15X2.44X0.006</t>
  </si>
  <si>
    <t>CAMAMR44</t>
  </si>
  <si>
    <t>CANTO PVC MOBILE AMARETTO 44MM</t>
  </si>
  <si>
    <t>AGNECSP218</t>
  </si>
  <si>
    <t>PELIKANO CAFE.E 2C PO 2.15X2.44X0.018</t>
  </si>
  <si>
    <t>CAMBCO16</t>
  </si>
  <si>
    <t>CANTO PVC MOBILE BLANCO 16MM</t>
  </si>
  <si>
    <t>AGNEBNS236</t>
  </si>
  <si>
    <t>PELIKANO BCO.NO 2C SF 2.15X2.44X0.036</t>
  </si>
  <si>
    <t>CHGCAI22</t>
  </si>
  <si>
    <t>CANTO SEMI 1 GALANTTI CAIRO 22MM</t>
  </si>
  <si>
    <t>GALANTTI</t>
  </si>
  <si>
    <t>AGCTR06825</t>
  </si>
  <si>
    <t>AGLO CRUDO SUPERT RH 1.83X2.44X0.025</t>
  </si>
  <si>
    <t>CPAMA33R</t>
  </si>
  <si>
    <t>CANTO RIGIDO ORANGE AZUL MARINO 33MM</t>
  </si>
  <si>
    <t>MFITESA103</t>
  </si>
  <si>
    <t>HDF IMP.DIG TMB SANTORIN 1.22X2.44X0.003</t>
  </si>
  <si>
    <t>PERALM09</t>
  </si>
  <si>
    <t>PERFIL MANIJA ALUMINIO X 3M TABLERO 15MM</t>
  </si>
  <si>
    <t>LMG7116BC6</t>
  </si>
  <si>
    <t>GRANADA BRILLANTE NO POSTFORMABLE</t>
  </si>
  <si>
    <t>CAMBCO19</t>
  </si>
  <si>
    <t>CANTO PVC MOBILE BLANCO 19MM</t>
  </si>
  <si>
    <t>AGCTR07809</t>
  </si>
  <si>
    <t>AGLO CRUDO SUPERT RH 2.15X2.44X0.009</t>
  </si>
  <si>
    <t>CAMBCO22</t>
  </si>
  <si>
    <t>CANTO PVC MOBILE BLANCO 22MM</t>
  </si>
  <si>
    <t>AGFNE07809</t>
  </si>
  <si>
    <t>FORMALETA NOVOPAN 2.15X2.44X0.009</t>
  </si>
  <si>
    <t>CAMBCO33</t>
  </si>
  <si>
    <t>CANTO PVC MOBILE BLANCO 33MM</t>
  </si>
  <si>
    <t>AGFNE07812</t>
  </si>
  <si>
    <t>FORMALETA NOVOPAN 2.15X2.44X0.012</t>
  </si>
  <si>
    <t>CAMBCO44</t>
  </si>
  <si>
    <t>CANTO PVC MOBILE BLANCO 44MM</t>
  </si>
  <si>
    <t>AGNEHAP218</t>
  </si>
  <si>
    <t>PELIKANO HABANO 2C PO 2.15X2.44X0.018</t>
  </si>
  <si>
    <t>CAMBMQ19</t>
  </si>
  <si>
    <t>CANTO PVC MOBILE BLANCO MARQUEZ 19MM</t>
  </si>
  <si>
    <t>AGNEHAP106</t>
  </si>
  <si>
    <t>PELIKANO HABANO 1C PO 2.15X2.44X0.006</t>
  </si>
  <si>
    <t>CAMBMQ22</t>
  </si>
  <si>
    <t>CANTO PVC MOBILE BLANCO MARQUEZ 22MM</t>
  </si>
  <si>
    <t>MFITECS103</t>
  </si>
  <si>
    <t>HDF IMP.DIG TMB CAFE.EXP 1.22X2.44X0.003</t>
  </si>
  <si>
    <t>CAMCAR19</t>
  </si>
  <si>
    <t>CANTO PVC MOBILE CARAMELO 19MM</t>
  </si>
  <si>
    <t>AGLO CRUDO NOVOPAN 1.22X2.44X0.018</t>
  </si>
  <si>
    <t>CAMCAR22</t>
  </si>
  <si>
    <t>CANTO PVC  MOBILE DIS. CARAMELO 22MM</t>
  </si>
  <si>
    <t>LMG5741TP8</t>
  </si>
  <si>
    <t>LAM. MOBILE MANZANO TX PF F8</t>
  </si>
  <si>
    <t>CAMCAR44</t>
  </si>
  <si>
    <t>CANTO PVC MOBILE CARAMELO 44MM</t>
  </si>
  <si>
    <t>AGFNE07815</t>
  </si>
  <si>
    <t>FORMALETA NOVOPAN 2.15X2.44X0.015</t>
  </si>
  <si>
    <t>CAMGRI22</t>
  </si>
  <si>
    <t>CANTO PVC MOBILE GRIS 22MM</t>
  </si>
  <si>
    <t>AGFNE07818</t>
  </si>
  <si>
    <t>FORMALETA NOVOPAN 2.15X2.44X0.018</t>
  </si>
  <si>
    <t>CPSIE33R</t>
  </si>
  <si>
    <t>CANTO RIGIDO ORANGE SIENA 33MM</t>
  </si>
  <si>
    <t>AGFNE07825</t>
  </si>
  <si>
    <t>FORMALETA NOVOPAN 2.15X2.44X0.025</t>
  </si>
  <si>
    <t>CAMGRI44</t>
  </si>
  <si>
    <t>CANTO PVC MOBILE GRIS 44MM</t>
  </si>
  <si>
    <t>AGNESOP236</t>
  </si>
  <si>
    <t>PELIKANO SOMBRA 2C PO 2.15X2.44X0.036</t>
  </si>
  <si>
    <t>CAMHAY19</t>
  </si>
  <si>
    <t>CANTO PVC MOBILE DIS.HAYA 19MM</t>
  </si>
  <si>
    <t>AGFNP06818</t>
  </si>
  <si>
    <t>FORMALETA NOVOPAN P 1.83X2.44X0.018</t>
  </si>
  <si>
    <t>CPRGL33R</t>
  </si>
  <si>
    <t>CANTO RIGIDO ORANGE ROVERE GIALLO 33MM</t>
  </si>
  <si>
    <t>AGFNP06830</t>
  </si>
  <si>
    <t>FORMALETA NOVOPAN P 1.83X2.44X0.030</t>
  </si>
  <si>
    <t>CAPMIE33</t>
  </si>
  <si>
    <t>CANTO PVC ORANGE DIS.MIEL 33MM</t>
  </si>
  <si>
    <t>AGFNP07809</t>
  </si>
  <si>
    <t>FORMALETA NOVOPAN P 2.15X2.44X0.009</t>
  </si>
  <si>
    <t>PERALM20</t>
  </si>
  <si>
    <t>PERFIL MANIJA ALUMINIO X 3M TABLERO 19MM</t>
  </si>
  <si>
    <t>AGFNP07812</t>
  </si>
  <si>
    <t>FORMALETA NOVOPAN P 2.15X2.44X0.012</t>
  </si>
  <si>
    <t>CAMHAY22</t>
  </si>
  <si>
    <t>CANTO PVC MOBILE DIS.HAYA 22MM</t>
  </si>
  <si>
    <t>AGFNP07815</t>
  </si>
  <si>
    <t>FORMALETA NOVOPAN P 2.15X2.44X0.015</t>
  </si>
  <si>
    <t>CAMHAY25</t>
  </si>
  <si>
    <t>CANTO PVC MOBILE DIS.HAYA 25MM</t>
  </si>
  <si>
    <t>AGFNP07818</t>
  </si>
  <si>
    <t>FORMALETA NOVOPAN P 2.15X2.44X0.018</t>
  </si>
  <si>
    <t>CAMHAY33</t>
  </si>
  <si>
    <t>CANTO PVC MOBILE DIS.HAYA 33MM</t>
  </si>
  <si>
    <t>AGFNPR7809</t>
  </si>
  <si>
    <t>CAMHAY44</t>
  </si>
  <si>
    <t>CANTO PVC MOBILE DIS.HAYA 44MM</t>
  </si>
  <si>
    <t>AGHEEBN318</t>
  </si>
  <si>
    <t xml:space="preserve">AGLO HG GALANTTI BRANCO 1.86X2.75X0.018 </t>
  </si>
  <si>
    <t>CPPEK44R</t>
  </si>
  <si>
    <t>CANTO RIGIDO ORANGE PEKAN 44MM</t>
  </si>
  <si>
    <t>AGNEARS215</t>
  </si>
  <si>
    <t>PELIKANO ARTIKO 2C SF 2.15X2.44X0.015</t>
  </si>
  <si>
    <t>CPRFL33R</t>
  </si>
  <si>
    <t>CANTO RIGIDO ORANGE ROBLE FLORMORA 33MM</t>
  </si>
  <si>
    <t>LMG0121TC6</t>
  </si>
  <si>
    <t>LAM. MOBILE ALMOND NUEVO TX CT F7</t>
  </si>
  <si>
    <t>F7</t>
  </si>
  <si>
    <t>CAMLIN19</t>
  </si>
  <si>
    <t>CANTO PVC MOBILE LINO 19MM X 0.5MM</t>
  </si>
  <si>
    <t>LMG1438TC7</t>
  </si>
  <si>
    <t>LAM. MOBILE ROBLE MALLADO TX CT F7</t>
  </si>
  <si>
    <t>CAMMAC16</t>
  </si>
  <si>
    <t>CANTO PVC MOBILE DIS.MACORE 16MM</t>
  </si>
  <si>
    <t>AGHEENM318</t>
  </si>
  <si>
    <t>AGLO HG GALANTTI NEGRO M 1.86X2.75X0.018</t>
  </si>
  <si>
    <t>CAMMAC19</t>
  </si>
  <si>
    <t>CANTO PVC MOBILE DIS.MACORE 19MM</t>
  </si>
  <si>
    <t>AGHEERC318</t>
  </si>
  <si>
    <t xml:space="preserve">AGLO HG GALANTTI ROVERE 1.86X2.75X0.018 </t>
  </si>
  <si>
    <t>CAPDUN19</t>
  </si>
  <si>
    <t>CANTO PVC ORANGE DIS.DUNA 19MM</t>
  </si>
  <si>
    <t>AGKEFSS108</t>
  </si>
  <si>
    <t>AGLO GALANTI FRESNO PIEDRA S  2C 18MM</t>
  </si>
  <si>
    <t>CAPHAB44</t>
  </si>
  <si>
    <t>CANTO PVC ORANGE DIS. HABANO 44MM</t>
  </si>
  <si>
    <t>AGKEFSS215</t>
  </si>
  <si>
    <t>AGLO GALANTI FRESNO PIEDRA S  2C 15MM</t>
  </si>
  <si>
    <t>CAPROG44</t>
  </si>
  <si>
    <t>CANTO PVC ORANGE DIS.ROBLE GRIS 44MM</t>
  </si>
  <si>
    <t>AGKERAS215</t>
  </si>
  <si>
    <t>AG GALANTTI ROBLE ANTRAC 2.07X2.80X0.015</t>
  </si>
  <si>
    <t>CAMMAC22</t>
  </si>
  <si>
    <t>CANTO PVC MOBILE DIS.MACORE 22MM</t>
  </si>
  <si>
    <t>AGKRFSS108</t>
  </si>
  <si>
    <t>AG GALANTTI RH FRESNO PD 2.07X2.80X0.008</t>
  </si>
  <si>
    <t>CAMMAC25</t>
  </si>
  <si>
    <t>CANTO PVC MOBILE DIS.MACORE 25MM</t>
  </si>
  <si>
    <t>AGKRFSS218</t>
  </si>
  <si>
    <t>AG GALANTTI RH FRESNO PD 2C 18MM</t>
  </si>
  <si>
    <t>CAMMAC33</t>
  </si>
  <si>
    <t>CANTO PVC MOBILE DIS.MACORE 33MM</t>
  </si>
  <si>
    <t>AGKRRAS218</t>
  </si>
  <si>
    <t>AG GALANTTI RH ROBLE ANT 2.07X2.80X0.018</t>
  </si>
  <si>
    <t>CAPARC19</t>
  </si>
  <si>
    <t>CANTO PVC ORANGE DIS. ARIZONA CROSS
19MM</t>
  </si>
  <si>
    <t>AGNEALW309</t>
  </si>
  <si>
    <t>PELIKANO ALUMIN 1K WO 2.15X2.44X0.009</t>
  </si>
  <si>
    <t>CAMMAP22</t>
  </si>
  <si>
    <t>CANTO PVC MOBILE DIS.MAPLE 22MM</t>
  </si>
  <si>
    <t>AGNEONM218</t>
  </si>
  <si>
    <t>PELIKANO ONIX 2C MT 2.15X2.44X0.018</t>
  </si>
  <si>
    <t>CAMMAP25</t>
  </si>
  <si>
    <t>CANTO PVC MOBILE DIS.MAPLE 25MM</t>
  </si>
  <si>
    <t>LMG0194BC7</t>
  </si>
  <si>
    <t>LAM. MOBILE ROJO BT CT F7</t>
  </si>
  <si>
    <t>CPCEM19R</t>
  </si>
  <si>
    <t>CANTO RIGIDO ORANGE CEMENTO 19MM</t>
  </si>
  <si>
    <t>AGNEALW315</t>
  </si>
  <si>
    <t>PELIKANO ALUMIN 1K WO 2.15X2.44X0.015</t>
  </si>
  <si>
    <t>CPCAN33R</t>
  </si>
  <si>
    <t>CANTO RIGIDO ORANGE CARAMELO 33MM</t>
  </si>
  <si>
    <t>AGNEAMS215</t>
  </si>
  <si>
    <t>PELIKANO AZUL MARINO 2C SF 2.15 X 2.44. 0.15</t>
  </si>
  <si>
    <t>CPHAW36R</t>
  </si>
  <si>
    <t>CANTO RIGIDO ORANGE HAYA WOOD 36MM</t>
  </si>
  <si>
    <t>AGCTE04815</t>
  </si>
  <si>
    <t>AGLO CRUDO SUPERT 1.22X2.44X0.015</t>
  </si>
  <si>
    <t>PERALM05</t>
  </si>
  <si>
    <t>PERFIL MANIJA ALUMINIO X 3M TABLERO 18MM</t>
  </si>
  <si>
    <t>MFITEAZ103</t>
  </si>
  <si>
    <t>HDF IMP.DIG TMB ARIZONA 1.22X2.44X0.003</t>
  </si>
  <si>
    <t>CAPMAN19</t>
  </si>
  <si>
    <t>CANTO PVC ORANGE DIS.MANZANO 19MM</t>
  </si>
  <si>
    <t>TAPASOK</t>
  </si>
  <si>
    <t>TABLEROS DE MADERA (TAPAS VARIAS)</t>
  </si>
  <si>
    <t>CPSOM22R</t>
  </si>
  <si>
    <t>CANTO RIGIDO ORANGE SOMBRA 22MM</t>
  </si>
  <si>
    <t>OSBKE04815</t>
  </si>
  <si>
    <t>OSB ORANGE SUPERF ECO 1.22X2.44X0.015</t>
  </si>
  <si>
    <t>KPALTPINS</t>
  </si>
  <si>
    <t>KIT ADEC AL TABLERO PIZARRON SER INST</t>
  </si>
  <si>
    <t>AGNEGRS218</t>
  </si>
  <si>
    <t>PELIKANO GRIS 2C SF 2.15X2.44X0.018</t>
  </si>
  <si>
    <t>CAPCES33</t>
  </si>
  <si>
    <t>CANTO PVC ORANGE DIS.CAFE ESPRESSO 33MM</t>
  </si>
  <si>
    <t>LMG8129TC6</t>
  </si>
  <si>
    <t>LAM. MOBILE ABEDUL TX CT F6</t>
  </si>
  <si>
    <t>CAPSAN44</t>
  </si>
  <si>
    <t>CANTO PVC ORANGE DIS. SANGRIA 44MM</t>
  </si>
  <si>
    <t>AGNEBNS215A</t>
  </si>
  <si>
    <t>AGLO BCO.NO 2C SF 1.83X2.44X0.015</t>
  </si>
  <si>
    <t>CAPMAN33</t>
  </si>
  <si>
    <t>CANTO PVC ORANGE DIS.MANZANO 33MM</t>
  </si>
  <si>
    <t>AGNEAMS218</t>
  </si>
  <si>
    <t>PELIKANO AZUL MARINO 2C SF 2.15 X 2.44. 0.18</t>
  </si>
  <si>
    <t>CABIBG22</t>
  </si>
  <si>
    <t>CANTO BICOLOR 1MM MOBILE BLANCO GRIS 22M</t>
  </si>
  <si>
    <t>AGNEAMS309</t>
  </si>
  <si>
    <t>PELIKANO AZ.MAR 1K SF 2.15X2.44X0.009</t>
  </si>
  <si>
    <t>CAPPAR33</t>
  </si>
  <si>
    <t>CANTO PVC ORANGE DIS.PARAMO 33MM</t>
  </si>
  <si>
    <t>AGNEGAP215</t>
  </si>
  <si>
    <t>PELIKANO GALES 2C PO 2.15X2.44X0.015</t>
  </si>
  <si>
    <t>PERALM34</t>
  </si>
  <si>
    <t>PERFIL CANTO NO RANURA X 3M TABLERO 15MM</t>
  </si>
  <si>
    <t>LMG6529TC6</t>
  </si>
  <si>
    <t>LAM. MOBILE ROBLE GRIS TX CT F6</t>
  </si>
  <si>
    <t>CPCES41R</t>
  </si>
  <si>
    <t>CANTO RIGIDO ORANGE CAFE ESPRESSO 41MM</t>
  </si>
  <si>
    <t>AGNEANS106</t>
  </si>
  <si>
    <t>PELIKANO NARANJ 1C SF 2.15X2.44X0.006</t>
  </si>
  <si>
    <t>CAPROG41</t>
  </si>
  <si>
    <t>CANTO PVC ORANGE DIS.ROBLE GRIS 41MM</t>
  </si>
  <si>
    <t>AGNEANS309</t>
  </si>
  <si>
    <t>PELIKANO NARANJ 1K SF 2.15X2.44X0.009</t>
  </si>
  <si>
    <t>CPART41R</t>
  </si>
  <si>
    <t>CANTO RIGIDO ORANGE ARTIKO 41MM</t>
  </si>
  <si>
    <t>CAPCNZ41</t>
  </si>
  <si>
    <t>CANTO PVC ORANGE DIS.CENIZA 41MM</t>
  </si>
  <si>
    <t>AGTENUW315</t>
  </si>
  <si>
    <t>AGLO SUPERCOR NUEZ W 1.83X2.44X0.015</t>
  </si>
  <si>
    <t>CAPLIN33</t>
  </si>
  <si>
    <t>CANTO PVC ORANGE DIS.LINO 33MM</t>
  </si>
  <si>
    <t>AGNEANS315</t>
  </si>
  <si>
    <t>PELIKANO NARANJ 1K SF 2.15X2.44X0.015</t>
  </si>
  <si>
    <t>CALBCO41</t>
  </si>
  <si>
    <t>CANTO PVC ORANGE BLANCO 41MM</t>
  </si>
  <si>
    <t>AGNEARN106</t>
  </si>
  <si>
    <t>PELIKANO ARTICO  1C NA 2.15 X 2.44. 0.06</t>
  </si>
  <si>
    <t>CAPWCH33</t>
  </si>
  <si>
    <t>CANTO PVC ORANGE DIS.WHITE CHIC 33MM</t>
  </si>
  <si>
    <t>AGNEARN215</t>
  </si>
  <si>
    <t>PELIKANO ARTICO  2C NA 2.15 X 2.44. 0.15</t>
  </si>
  <si>
    <t>CPBCO41R</t>
  </si>
  <si>
    <t>CANTO RIGIDO ORANGE BLANCO 41MM</t>
  </si>
  <si>
    <t>LMG5725TP8</t>
  </si>
  <si>
    <t>LAM. MOBILE ROVERE GIALLO TX PF F8</t>
  </si>
  <si>
    <t>CAPCAR41</t>
  </si>
  <si>
    <t>CANTO PVC ORANGE DIS.CARAMELO 41MM</t>
  </si>
  <si>
    <t>CAPGAL19</t>
  </si>
  <si>
    <t>CANTO PVC ORANGE DIS.GALES 19MM</t>
  </si>
  <si>
    <t>AGNEARN218</t>
  </si>
  <si>
    <t>PELIKANO ARTICO  2C NA 2.15 X 2.44. 0.18</t>
  </si>
  <si>
    <t>CPPAR33R</t>
  </si>
  <si>
    <t>CANTO RIGIDO ORANGE PARAMO 33MM</t>
  </si>
  <si>
    <t>AGNEARN236</t>
  </si>
  <si>
    <t>PELIKANO ARTIKO 2C NA 2.15X2.44X0.036</t>
  </si>
  <si>
    <t>CPPLO33R</t>
  </si>
  <si>
    <t>CANTO RIGIDO ORANGE PLOMO 33MM</t>
  </si>
  <si>
    <t>AGNEARN309</t>
  </si>
  <si>
    <t>PELIKANO ARTIKO 1K NA 2.15X2.44X0.009</t>
  </si>
  <si>
    <t>CPWCH41R</t>
  </si>
  <si>
    <t>CANTO RIGIDO ORANGE WHITE CHIC 41MM</t>
  </si>
  <si>
    <t xml:space="preserve">AGNEARN309  </t>
  </si>
  <si>
    <t>CPCAR41R</t>
  </si>
  <si>
    <t>CANTO RIGIDO ORANGE CARAMELO 41MM</t>
  </si>
  <si>
    <t>AGNEARW106</t>
  </si>
  <si>
    <t>PELIKANO ARTIKO WO. 1C 2.15X2.44X0.006</t>
  </si>
  <si>
    <t>CHGNEG41</t>
  </si>
  <si>
    <t>CANTO ABS 1MM GALANTTI NEGRO MALAGA 41MM</t>
  </si>
  <si>
    <t>ABS</t>
  </si>
  <si>
    <t>AGNEARW215</t>
  </si>
  <si>
    <t>PELIKANO ARTIKO WO. 2C 2.15X2.44X0.015</t>
  </si>
  <si>
    <t>CAPROV41</t>
  </si>
  <si>
    <t>CANTO PVC ORANGE DIS.ROVERE 41MM</t>
  </si>
  <si>
    <t>AGNEARW218</t>
  </si>
  <si>
    <t>PELIKANO ARTIKO WO. 2C 2.15X2.44X0.018</t>
  </si>
  <si>
    <t>CPROG41R</t>
  </si>
  <si>
    <t>CANTO RIGIDO ORANGE ROBLE GRIS 41MM</t>
  </si>
  <si>
    <t>AGNEHYW618</t>
  </si>
  <si>
    <t>PELIKANO HAYA 1CR WO 2.15X2.44X0.018</t>
  </si>
  <si>
    <t>CPMAN41R</t>
  </si>
  <si>
    <t>CANTO RIGIDO ORANGE MANZANO 41MM</t>
  </si>
  <si>
    <t>MFARBLS118</t>
  </si>
  <si>
    <t>MDF FIBRAMELA BLX RAN 1.83X2.44X0.018</t>
  </si>
  <si>
    <t>CPCNZ41R</t>
  </si>
  <si>
    <t>CANTO RIGIDO ORANGE CENIZA 41MM</t>
  </si>
  <si>
    <t>TXSOK032</t>
  </si>
  <si>
    <t>TX DECO ORANG OKUME B/C 1.22X2.44X0.0032</t>
  </si>
  <si>
    <t>AGNESAP218</t>
  </si>
  <si>
    <t>PELIKANO SANGRIA 2C PO 2.15X2.44X0.018</t>
  </si>
  <si>
    <t>LMG1241BC7</t>
  </si>
  <si>
    <t>LAM. MOBILE VERDE CITRUS BT CT F7</t>
  </si>
  <si>
    <t>CAPWEN41</t>
  </si>
  <si>
    <t>AGCTR06815</t>
  </si>
  <si>
    <t>AGLO CRUDO SUPERT RH 1.83X2.44X0.015</t>
  </si>
  <si>
    <t>CAPSOM41</t>
  </si>
  <si>
    <t>CANTO PVC ORANGE DIS. SOMBRA 41MM</t>
  </si>
  <si>
    <t>AGNESOP218</t>
  </si>
  <si>
    <t>PELIKANO SOMBRA 2C PO 2.15X2.44X0.018</t>
  </si>
  <si>
    <t>CPABL36R</t>
  </si>
  <si>
    <t>CANTO RIGIDO ORANGE ABEDUL 36MM</t>
  </si>
  <si>
    <t>AGNESAP236</t>
  </si>
  <si>
    <t>PELIKANO SANGRIA 2C PO 2.15X2.44X0.036</t>
  </si>
  <si>
    <t>CPHAB41R</t>
  </si>
  <si>
    <t>CANTO RIGIDO ORANGE HABANO 41MM</t>
  </si>
  <si>
    <t>MFDRCRW215</t>
  </si>
  <si>
    <t>MDF DURATEX RH CANION VP 1.84X2.75X0.015</t>
  </si>
  <si>
    <t>CAPSOM22</t>
  </si>
  <si>
    <t>CANTO PVC ORANGE DIS. SOMBRA 22MM</t>
  </si>
  <si>
    <t>AGTESAW318</t>
  </si>
  <si>
    <t>AGLO SUPERCOR SALVAJE W 1.83X2.44X0.018</t>
  </si>
  <si>
    <t>CAPCES41</t>
  </si>
  <si>
    <t>CANTO PVC ORANGE DIS.CAFE ESPRESSO 41MM</t>
  </si>
  <si>
    <t>AGNECSP215</t>
  </si>
  <si>
    <t>PELIKANO CAFE.E 2C PO 2.15X2.44X0.015</t>
  </si>
  <si>
    <t>CALROV41</t>
  </si>
  <si>
    <t>LMG7592TC6</t>
  </si>
  <si>
    <t>OSLO NO POSTFORMABLE</t>
  </si>
  <si>
    <t>CAPROG33</t>
  </si>
  <si>
    <t>CANTO PVC ORANGE DIS.ROBLE GRIS 33MM</t>
  </si>
  <si>
    <t>AGNECMM236</t>
  </si>
  <si>
    <t>PELIKANO CEMENT 2C MT 2.15X2.44X0.036</t>
  </si>
  <si>
    <t>CPMNG33R</t>
  </si>
  <si>
    <t>CANTO RIGIDO ORANGE MANGO 33MM</t>
  </si>
  <si>
    <t>AGTECHW315</t>
  </si>
  <si>
    <t>AGLO SUPERCOR CHANTILL W 1.83X2.44X0.015</t>
  </si>
  <si>
    <t>CACWEN19</t>
  </si>
  <si>
    <t>CANTO PVC ORANGE DIS.WENGUE 19MM</t>
  </si>
  <si>
    <t>AGTECHW105</t>
  </si>
  <si>
    <t>UNICOR CHANTILLI W 1.83X2.44X0.0055</t>
  </si>
  <si>
    <t>PERALM06N</t>
  </si>
  <si>
    <t>PERFIL CANTO ALUMINIO X 3M TABLERO 18</t>
  </si>
  <si>
    <t>AGNRLIS106</t>
  </si>
  <si>
    <t>PELIKANO RH LINO 1C SF2.15X2.44X0.006</t>
  </si>
  <si>
    <t>CAPCEM41</t>
  </si>
  <si>
    <t>CANTO PVC ORANGE DIS.CEMENTO 41MM</t>
  </si>
  <si>
    <t>MFCTR06812</t>
  </si>
  <si>
    <t xml:space="preserve">MDF RH TABLEMAC 1.83X2.44X0.012 </t>
  </si>
  <si>
    <t>CAPOLI41</t>
  </si>
  <si>
    <t>CANTO PVC ORANGE DIS.OLIVO 41MM</t>
  </si>
  <si>
    <t>AGNRMGM215</t>
  </si>
  <si>
    <t>PELIKANO RH MANGO 2C MT 2.15X2.44X0.015</t>
  </si>
  <si>
    <t>CPDUN22R</t>
  </si>
  <si>
    <t>CANTO RIGIDO ORANGE DUNA
19MM</t>
  </si>
  <si>
    <t>AGNRCNW236</t>
  </si>
  <si>
    <t>PELIKANO RH CENIZA 2C WO 2.15X2.44X0.036</t>
  </si>
  <si>
    <t>CAPCON22</t>
  </si>
  <si>
    <t>CANTO PVC ORANGE DIS.CONAC 22MM</t>
  </si>
  <si>
    <t>AGNRSOP218</t>
  </si>
  <si>
    <t>PELIKANO RH SOMBRA 2C PO 2.15X2.44X0.018</t>
  </si>
  <si>
    <t>CAPCON19</t>
  </si>
  <si>
    <t>CANTO PVC ORANGE DIS.CONAC 19MM</t>
  </si>
  <si>
    <t>LMG5743TP8</t>
  </si>
  <si>
    <t>LAM. MOBILE ROBLE AHUMADO TX
PF F8</t>
  </si>
  <si>
    <t>CAPNIE19</t>
  </si>
  <si>
    <t>CANTO PVC ORANGE DIS.NIEBLA 19MM</t>
  </si>
  <si>
    <t>MFPSEWE102</t>
  </si>
  <si>
    <t>HDF PINTADO STAR WEW.NE 2.10X2.80X0.0027</t>
  </si>
  <si>
    <t>CPNIE19R</t>
  </si>
  <si>
    <t>CANTO RIGIDO ORANGE NIEBLA 19MM</t>
  </si>
  <si>
    <t>AGNRPLM218</t>
  </si>
  <si>
    <t>PELIKANO RH PLOMO 2C MT 2.15X2.44X0.0018</t>
  </si>
  <si>
    <t xml:space="preserve"> CAPSIE19</t>
  </si>
  <si>
    <t>CANTO PVC ORANGE DIS. SIENA 19MM</t>
  </si>
  <si>
    <t>AGNRPLM106</t>
  </si>
  <si>
    <t>PELIKANO RH PLOMO 1C MT 2.15X2.44X0.006</t>
  </si>
  <si>
    <t>PERALM32</t>
  </si>
  <si>
    <t>PERF MANI MINIJ 25mm NO RAN X 3M TAB15MM</t>
  </si>
  <si>
    <t>AGNEPKW415</t>
  </si>
  <si>
    <t>PELIKANO PEKAN 1B WO 2.15X2.44X0.015</t>
  </si>
  <si>
    <t>CAPCHA22</t>
  </si>
  <si>
    <t>CANTO PVC ORANGE DIS.CHANTILLI 22MM</t>
  </si>
  <si>
    <t>AGCTR06818</t>
  </si>
  <si>
    <t>CAPSIE41</t>
  </si>
  <si>
    <t>CANTO PVC ORANGE DIS.SIENA 41MM</t>
  </si>
  <si>
    <t>AGTEARW115</t>
  </si>
  <si>
    <t>AGLO UNICOR ARENA C/B W 1.83X2.44X0.015</t>
  </si>
  <si>
    <t>CAPCOR22</t>
  </si>
  <si>
    <t>CANTO PVC ORANGE CORAL 22MM</t>
  </si>
  <si>
    <t>AGTEARW315</t>
  </si>
  <si>
    <t>AGLO SUPERCOR ARENA W 1.83X2.44X0.015</t>
  </si>
  <si>
    <t>CCROV33R</t>
  </si>
  <si>
    <t>CANTO RIGIDO ORANGE ROVERE 33MM</t>
  </si>
  <si>
    <t>AGNROLM230</t>
  </si>
  <si>
    <t>PELIKANO RH OLIVO 2C MT 2.15X2.44X0.030</t>
  </si>
  <si>
    <t>CAPAMR41</t>
  </si>
  <si>
    <t>CANTO PVC ORANGE DIS.AMARETTO 41MM</t>
  </si>
  <si>
    <t>LMG6551TC6</t>
  </si>
  <si>
    <t>LAM. MOBILE MARFIL TX CT F6</t>
  </si>
  <si>
    <t>PERALM39</t>
  </si>
  <si>
    <t>PERFIL MANIJA NO RANURA X 3M TABLER 15MM</t>
  </si>
  <si>
    <t>TXSOK036</t>
  </si>
  <si>
    <t>TX DECO ORANG OKUME B/C 1.22X2.44X0.0036</t>
  </si>
  <si>
    <t>CAMMAP33</t>
  </si>
  <si>
    <t>CANTO PVC MOBILE DIS.MAPLE 33MM</t>
  </si>
  <si>
    <t>AGCTE04818</t>
  </si>
  <si>
    <t>AGLO CRUDO SUPERT 1.22X2.44X0.018</t>
  </si>
  <si>
    <t>CAMMAP44</t>
  </si>
  <si>
    <t>CANTO PVC MOBILE DIS.MAPLE 44MM</t>
  </si>
  <si>
    <t>AGNECSP106</t>
  </si>
  <si>
    <t>PELIKANO CAFE.E 1C PO 2.15X2.44X0.006</t>
  </si>
  <si>
    <t>CAMMOK16</t>
  </si>
  <si>
    <t>CANTO PVC MOBILE DIS.MOKA 16MM</t>
  </si>
  <si>
    <t>LMG7593TP8</t>
  </si>
  <si>
    <t>CALM NO POSTFORMABLE</t>
  </si>
  <si>
    <t>CAMMOK19</t>
  </si>
  <si>
    <t>CANTO PVC MOBILE DIS.MOKA 19MM</t>
  </si>
  <si>
    <t>MFCSLE7802</t>
  </si>
  <si>
    <t xml:space="preserve">MDF DELGADO 1.83X2.10X0.0027 </t>
  </si>
  <si>
    <t>CAMMOK22</t>
  </si>
  <si>
    <t>CANTO PVC MOBILE DIS.MOKA 22MM</t>
  </si>
  <si>
    <t>MFCSLE7905</t>
  </si>
  <si>
    <t xml:space="preserve">MDF DELGADO 2.10X2.80X0.005 </t>
  </si>
  <si>
    <t>CAMMOK44</t>
  </si>
  <si>
    <t>CANTO PVC MOBILE DIS.MOKA 44MM</t>
  </si>
  <si>
    <t>AGPICU4809</t>
  </si>
  <si>
    <t>AGLO PIZARRON CUADRICULA 1.22X2.44X0.009</t>
  </si>
  <si>
    <t>CAMNEG16</t>
  </si>
  <si>
    <t>CANTO PVC MOBILE NEGRO 16MM</t>
  </si>
  <si>
    <t>LMG7617BC6</t>
  </si>
  <si>
    <t>ROBLE MIEL NO POSTFORMABLE</t>
  </si>
  <si>
    <t>CAMNEG19</t>
  </si>
  <si>
    <t>CANTO PVC MOBILE NEGRO 19MM</t>
  </si>
  <si>
    <t>MFITRHA103</t>
  </si>
  <si>
    <t>HDF RH IMP TMB HABANO 1.22X2.44X0.003</t>
  </si>
  <si>
    <t>CAMNEG22</t>
  </si>
  <si>
    <t>CANTO PVC MOBILE NEGRO 22MM</t>
  </si>
  <si>
    <t>LMG5425TP8</t>
  </si>
  <si>
    <t>TOSTADO NO POSTFORMABLE</t>
  </si>
  <si>
    <t>CAMNEG33</t>
  </si>
  <si>
    <t>CANTO PVC MOBILE NEGRO 33MM</t>
  </si>
  <si>
    <t>AGNENIP106</t>
  </si>
  <si>
    <t>PELIKANO NIEBLA 1C PO 2.15X2.44X0.006</t>
  </si>
  <si>
    <t>CAMNEG44</t>
  </si>
  <si>
    <t>CANTO PVC MOBILE NEGRO 44MM</t>
  </si>
  <si>
    <t>AGNEGAP106</t>
  </si>
  <si>
    <t>PELIKANO GALES 1C PO 2.15X2.44X0.006</t>
  </si>
  <si>
    <t>CAMNEG55</t>
  </si>
  <si>
    <t>AGNECUM106</t>
  </si>
  <si>
    <t>PELIKANO CUERO 1C MT 2.15X2.44X0.006</t>
  </si>
  <si>
    <t>CAPSIE33</t>
  </si>
  <si>
    <t>CANTO PVC ORANGE DIS.SIENA 33MM</t>
  </si>
  <si>
    <t>AGNECCP106</t>
  </si>
  <si>
    <t>PELIKANO CONAC 1C PO 2.15X2.44X0.006</t>
  </si>
  <si>
    <t>CAMSOD41</t>
  </si>
  <si>
    <t>CANTO PVC MOBILE DIS.SODER 41MM</t>
  </si>
  <si>
    <t>AGNEONM106</t>
  </si>
  <si>
    <t>PELIKANO ONIX 1C MT 2.15X2.44X0.006</t>
  </si>
  <si>
    <t>CAPLIN19</t>
  </si>
  <si>
    <t>CANTO PVC ORANGE DIS.LINO 19MM</t>
  </si>
  <si>
    <t>AGNEDUP106</t>
  </si>
  <si>
    <t>PELIKANO DUNA 1C PO 2.15X2.44X0.006</t>
  </si>
  <si>
    <t>CAPMIE44</t>
  </si>
  <si>
    <t>CANTO PVC ORANGE DIS. MIEL 44MM</t>
  </si>
  <si>
    <t>AGNEONM215</t>
  </si>
  <si>
    <t>PELIKANO ONIX 2C MT 2.15X2.44X0.015</t>
  </si>
  <si>
    <t>CPHUM19R</t>
  </si>
  <si>
    <t>CANTO RIGIDO ORANGE HUMO 19MM</t>
  </si>
  <si>
    <t>AGNEDUP215</t>
  </si>
  <si>
    <t>PELIKANO DUNA 2C PO 2.15X2.44X0.015</t>
  </si>
  <si>
    <t>CAPAMR33</t>
  </si>
  <si>
    <t>CANTO PVC ORANGE DIS.AMARETTO 33MM</t>
  </si>
  <si>
    <t>AGTESOR318</t>
  </si>
  <si>
    <t>AGLO SUPERCOR SODER RK 1.83X2.44X0.018</t>
  </si>
  <si>
    <t>CPHAB19R</t>
  </si>
  <si>
    <t>CANTO RIGIDO ORANGE HABANO 19MM</t>
  </si>
  <si>
    <t>AGNECCP215</t>
  </si>
  <si>
    <t>PELIKANO CONAC 2C PO 2.15X2.44X0.015</t>
  </si>
  <si>
    <t>CPCNZ33R</t>
  </si>
  <si>
    <t>CANTO RIGIDO ORANGE CENIZA 33MM</t>
  </si>
  <si>
    <t>LMG7529TC6</t>
  </si>
  <si>
    <t xml:space="preserve">NOGAL BRITANICO NO POSTFORMABLE
</t>
  </si>
  <si>
    <t>CPSER19R</t>
  </si>
  <si>
    <t>CANTO RIGIDO ORANGE SERENA 19MM</t>
  </si>
  <si>
    <t>AGNECUM215</t>
  </si>
  <si>
    <t>PELIKANO CUERO 2C MT 2.15X2.44X0.015</t>
  </si>
  <si>
    <t>CAMGRI33</t>
  </si>
  <si>
    <t>CANTO PVC MOBILE GRIS 33MM</t>
  </si>
  <si>
    <t>AGNEDUP218</t>
  </si>
  <si>
    <t>PELIKANO DUNA 2C PO 2.15X2.44X0.018</t>
  </si>
  <si>
    <t>PERALM85</t>
  </si>
  <si>
    <t>PERFIL CANTO TABLERO 17MMX 3MTS</t>
  </si>
  <si>
    <t>AGNEONM106C</t>
  </si>
  <si>
    <t>PELIK ONIX 1C MT TB 2.15X2.44X0.006</t>
  </si>
  <si>
    <t>CPMIE41R</t>
  </si>
  <si>
    <t>CANTO RIGIDO ORANGE MIEL 41MM</t>
  </si>
  <si>
    <t>AGNECBP106C</t>
  </si>
  <si>
    <t>PELIK CARBON 1C PO TB 2.15X2.44X0.006</t>
  </si>
  <si>
    <t>CHGBCO41</t>
  </si>
  <si>
    <t>CANTO ABS 1MM GALANTTI BRANCO NEVE 41MM</t>
  </si>
  <si>
    <t>AGNENIP215</t>
  </si>
  <si>
    <t>PELIKANO NIEBLA 2C PO 2.15X2.44X0.015</t>
  </si>
  <si>
    <t>CPROV41R</t>
  </si>
  <si>
    <t>AGNRGAP215</t>
  </si>
  <si>
    <t>PELIKANO RH GALES 2C PO 2.15X2.44X0.015</t>
  </si>
  <si>
    <t>PERALM08</t>
  </si>
  <si>
    <t xml:space="preserve">PERFIL CANTO ALUMINIO X 3M TABLERO 15MM
</t>
  </si>
  <si>
    <t>AGNECCP218</t>
  </si>
  <si>
    <t>PELIKANO CONAC 2C PO 2.15X2.44X0.018</t>
  </si>
  <si>
    <t>CAPMIE41</t>
  </si>
  <si>
    <t>CANTO PVC ORANGE DIS. MIEL 41MM</t>
  </si>
  <si>
    <t>AGNEMAM236</t>
  </si>
  <si>
    <t>PELIKANO MANZAN 2C MT 2.15X2.44X0.036</t>
  </si>
  <si>
    <t>CAPBCO41</t>
  </si>
  <si>
    <t>AGNRCCP215</t>
  </si>
  <si>
    <t>PELIKANO RH CONAC 2C PO 2.15X2.44X0.015</t>
  </si>
  <si>
    <t>CAPHAB41</t>
  </si>
  <si>
    <t>CANTO PVC ORANGE DIS. HABANO 41MM</t>
  </si>
  <si>
    <t>AGNRNIP215</t>
  </si>
  <si>
    <t>PELIKANO RH NIEBLA 2C PO 2.15X2.44X0.015</t>
  </si>
  <si>
    <t>CAPART41</t>
  </si>
  <si>
    <t>CANTO PVC ORANGE DIS.ARTIKO 41MM</t>
  </si>
  <si>
    <t>AGNRHAP236</t>
  </si>
  <si>
    <t>PELIKANO RH HABANO 2C PO 2.15X2.44X0.036</t>
  </si>
  <si>
    <t>KPALTPI2</t>
  </si>
  <si>
    <t>KIT ADECUACION ALUMINIO TABLERO PIZARRON</t>
  </si>
  <si>
    <t>AGNEONM215C</t>
  </si>
  <si>
    <t>PELIK ONIX 2C MT TB 2.15X2.44X0.015</t>
  </si>
  <si>
    <t>CPAMR41R</t>
  </si>
  <si>
    <t>CANTO RIGIDO ORANGE AMARETTO 41MM</t>
  </si>
  <si>
    <t>AGTECHW318</t>
  </si>
  <si>
    <t>AGLO SUPERCOR CHANTILL W 1.83X2.44X0.018</t>
  </si>
  <si>
    <t>CAPLIN16</t>
  </si>
  <si>
    <t>CANTO PVC ORANGE DIS.LINO 16MM</t>
  </si>
  <si>
    <t>LMG7515TC6</t>
  </si>
  <si>
    <t>LAM. MOBILE CEDRO TX CT F6</t>
  </si>
  <si>
    <t>CPSOM33R</t>
  </si>
  <si>
    <t>CANTO RIGIDO ORANGE SOMBRA 33MM</t>
  </si>
  <si>
    <t>AGCTE06830</t>
  </si>
  <si>
    <t>AGLO CRUDO DURATEX 1.83X2.44X0.030</t>
  </si>
  <si>
    <t>CPALU33R</t>
  </si>
  <si>
    <t>CANTO RIGIDO ORANGE ALUMINIO 33MM</t>
  </si>
  <si>
    <t>TXCPB225</t>
  </si>
  <si>
    <t>TX FENOL CMPC PINO B/C 1.22X2.44X0.025 (</t>
  </si>
  <si>
    <t>CAPMAC22</t>
  </si>
  <si>
    <t>CANTO PVC ORANGE DIS. MACADAMIA 22MM</t>
  </si>
  <si>
    <t>LWD341TP8</t>
  </si>
  <si>
    <t>LAM. WILSONART GOLD TX PF F8</t>
  </si>
  <si>
    <t>CPMAC22R</t>
  </si>
  <si>
    <t>CANTO RIGIDO ORANGE MACADAMIA 22MM</t>
  </si>
  <si>
    <t>AGNESIW225</t>
  </si>
  <si>
    <t>PELIKANO SIENA 2C WO 2.15X2.44X0.025</t>
  </si>
  <si>
    <t>CAMOLI19</t>
  </si>
  <si>
    <t>CANTO PVC  MOBILE DIS. OLIVO 19MM</t>
  </si>
  <si>
    <t>AGNEATV106</t>
  </si>
  <si>
    <t>PELIKANO AMARETTO  MX . 1C 2.44 X 2.15 0.006</t>
  </si>
  <si>
    <t>CAPMIE22</t>
  </si>
  <si>
    <t>CANTO PVC ORANGE DIS. MIEL 22MM</t>
  </si>
  <si>
    <t>AGNEATV2106</t>
  </si>
  <si>
    <t>PELIKANO AMARETO  1C MX 2.15 X 2.44. 0.06</t>
  </si>
  <si>
    <t>CPMIE22R</t>
  </si>
  <si>
    <t>CANTO RIGIDO ORANGE MIEL 22MM</t>
  </si>
  <si>
    <t>AGNRPLS215</t>
  </si>
  <si>
    <t>PELIKANO RH PLOMO 2C SF 2.15X2.44X0.015</t>
  </si>
  <si>
    <t>PERALM09L</t>
  </si>
  <si>
    <t>PERFIL MANIJA ALU LIVIANO X 3 M TAB 15MM</t>
  </si>
  <si>
    <t>AGNEMCY618</t>
  </si>
  <si>
    <t>PELIKANO MACAD S/P 2.15X2.44X0.018</t>
  </si>
  <si>
    <t>CAMOLI20</t>
  </si>
  <si>
    <t>AGNEMCY106</t>
  </si>
  <si>
    <t>PELIKANO MACAD 1/S 2.15X2.44X0.006</t>
  </si>
  <si>
    <t>CAMOLI21</t>
  </si>
  <si>
    <t>AGNEATV215</t>
  </si>
  <si>
    <t>PELIKANO AMARETO  2C MX 2.15 X 2.44. 0.15</t>
  </si>
  <si>
    <t>CAMPEK22</t>
  </si>
  <si>
    <t>CANTO PVC MOBILE DIS.PEKAN 22MM</t>
  </si>
  <si>
    <t>AGNEATV218</t>
  </si>
  <si>
    <t>PELIKANO AMARETO  2C MX 2.15 X 2.44. 0.18</t>
  </si>
  <si>
    <t>CAMPEK25</t>
  </si>
  <si>
    <t>CANTO PVC MOBILE DIS.PEKAN 25MM</t>
  </si>
  <si>
    <t>AGNEATV236</t>
  </si>
  <si>
    <t>PELIKANO AMARETTO MX 2.15X2.44X0.036</t>
  </si>
  <si>
    <t>CAMPEK33</t>
  </si>
  <si>
    <t>CANTO PVC MOBILE DIS.PEKAN 33MM</t>
  </si>
  <si>
    <t>AGNEATV315</t>
  </si>
  <si>
    <t>PELIKANO AMARETTO 1K MX 2.15X2.44X.015</t>
  </si>
  <si>
    <t>CAMPEK44</t>
  </si>
  <si>
    <t>CANTO PVC MOBILE DIS.PEKAN 44MM</t>
  </si>
  <si>
    <t>AGNEATV318</t>
  </si>
  <si>
    <t>PELIKANO AMARETTO 1K MX 2.15X2.44X.018</t>
  </si>
  <si>
    <t>CAMRLO29</t>
  </si>
  <si>
    <t>CANTO PVC MOBILE DIS.ROBLE CLARO 29 MM</t>
  </si>
  <si>
    <t>AGNEATW106</t>
  </si>
  <si>
    <t>PELIKANO AMARETTO  WO . 1C 2.44 X 2.15 0.006</t>
  </si>
  <si>
    <t>CAMROA19</t>
  </si>
  <si>
    <t>CANTO MIBILE ROBLE AHUMADO 19MM</t>
  </si>
  <si>
    <t>AGNEAZS106</t>
  </si>
  <si>
    <t>PELIKANO AZUL 1C SF 2.15X2.44X0.006</t>
  </si>
  <si>
    <t>CAMROA22</t>
  </si>
  <si>
    <t>CANTO PVC MOBILE ROBLE AHUMADO 22</t>
  </si>
  <si>
    <t>AGTESOR115</t>
  </si>
  <si>
    <t>AGLO UNICOR SODER C/B R 1.83X2.44X0.015</t>
  </si>
  <si>
    <t>CAMROG19</t>
  </si>
  <si>
    <t>CANTO PVC MOBILE ROBLE GRIS 19MM</t>
  </si>
  <si>
    <t>MFITRMI103</t>
  </si>
  <si>
    <t>HDF RH IMP TMB MIEL 1.22X2.44X0.003</t>
  </si>
  <si>
    <t>CAMROV22</t>
  </si>
  <si>
    <t>CANTO PVC MOBILE DIS. ROVERE 22MM</t>
  </si>
  <si>
    <t>AGNEAZS215</t>
  </si>
  <si>
    <t>PELIKANO AZUL 2C SF 2.15X2.44X0.015</t>
  </si>
  <si>
    <t>CAMSAP16</t>
  </si>
  <si>
    <t>CANTO PVC MOBILE DIS.SAPELI 16MM</t>
  </si>
  <si>
    <t>AGNEAZS218</t>
  </si>
  <si>
    <t>PELIKANO AZUL 2C SF 2.15X2.44X0.018</t>
  </si>
  <si>
    <t>CAMSAP19</t>
  </si>
  <si>
    <t>CANTO PVC MOBILE DIS.SAPELI 19MM</t>
  </si>
  <si>
    <t>AGNEAZS309</t>
  </si>
  <si>
    <t>PELIKANO AZUL 1K SF 2.15X2.44X0.009</t>
  </si>
  <si>
    <t>CPCES33R</t>
  </si>
  <si>
    <t>CANTO RIGIDO ORANGE CAFE ESPRESSO 33MM</t>
  </si>
  <si>
    <t>LMG5747TP8</t>
  </si>
  <si>
    <t>LAM. MOBILE  SIENA TX PF F8</t>
  </si>
  <si>
    <t>CAMSAP22</t>
  </si>
  <si>
    <t>CANTO PVC MOBILE DIS.SAPELI 22MM</t>
  </si>
  <si>
    <t>AGNEMIP236</t>
  </si>
  <si>
    <t>PELIKANO MIEL 2C PO 2.15X2.44X0.036</t>
  </si>
  <si>
    <t>CHGRMA22</t>
  </si>
  <si>
    <t>CANTO SEMI 1MM GALANTTI ROVERE MARSA 22M</t>
  </si>
  <si>
    <t>MFPTEAR103</t>
  </si>
  <si>
    <t>HDF PINTADO SALDO ARTIKO 2.10X2.44X0.003</t>
  </si>
  <si>
    <t>CAMSAP33</t>
  </si>
  <si>
    <t>CANTO PVC MOBILE DIS.SAPELI 33MM</t>
  </si>
  <si>
    <t>LMG5739TP8</t>
  </si>
  <si>
    <t>LAM. MOBILE CARAMELO TX PF F8</t>
  </si>
  <si>
    <t>f8</t>
  </si>
  <si>
    <t>CAMSAP44</t>
  </si>
  <si>
    <t>CANTO PVC MOBILE DIS.SAPELI 44MM</t>
  </si>
  <si>
    <t>AGTESOR315</t>
  </si>
  <si>
    <t>AGLO SUPERCOR SODER RK 1.83X2.44X0.015</t>
  </si>
  <si>
    <t>CAMSER19</t>
  </si>
  <si>
    <t>CANTO PVC  MOBILE DIS. SERENA 19MM</t>
  </si>
  <si>
    <t>AGTESOR319</t>
  </si>
  <si>
    <t>AGLO SUPERCOR SODER RK 1.83X2.44X0.019</t>
  </si>
  <si>
    <t>CAMSOD19</t>
  </si>
  <si>
    <t>CANTO PVC MOBILE DIS.SODER 19MM</t>
  </si>
  <si>
    <t>AGNEMGM106</t>
  </si>
  <si>
    <t>PELIKANO MANGO 1C MT 2.15X2.44X0.006</t>
  </si>
  <si>
    <t>CAMWEN16</t>
  </si>
  <si>
    <t>CANTO PVC MOBILE DIS.WENGUE 16MM</t>
  </si>
  <si>
    <t>AGTESOS204</t>
  </si>
  <si>
    <t>MDF SUPERFON SODER SF 1.83X2.44X0.004</t>
  </si>
  <si>
    <t>CAMWEN19</t>
  </si>
  <si>
    <t>CANTO PVC MOBILE DIS.WENGUE 19MM</t>
  </si>
  <si>
    <t>CAMWEN22</t>
  </si>
  <si>
    <t>CANTO PVC MOBILE DIS.WENGUE 22MM</t>
  </si>
  <si>
    <t>AGNRCSP215</t>
  </si>
  <si>
    <t>PELIKANO RH CAFE.E 2C PO 2.15X2.44X0.015</t>
  </si>
  <si>
    <t>CPAMR44R</t>
  </si>
  <si>
    <t>CANTO RIGIDO ORANGE AMARETTO 44MM</t>
  </si>
  <si>
    <t>AGCTR06830</t>
  </si>
  <si>
    <t>AGLO CRUDO SUPERT RH 1.83X2.44X0.030</t>
  </si>
  <si>
    <t>CPSAN44R</t>
  </si>
  <si>
    <t>CANTO RIGIDO ORANGE SANGRIA 44MM</t>
  </si>
  <si>
    <t>LW4830TP8</t>
  </si>
  <si>
    <t>LAM. WILSONART ACERO SATINADO TX PF F8</t>
  </si>
  <si>
    <t>CAPSAN22</t>
  </si>
  <si>
    <t>CANTO PVC ORANGE DIS. SANGRIA 22MM</t>
  </si>
  <si>
    <t>AGNECSP236</t>
  </si>
  <si>
    <t>PELIKANO CAFE.E 2C PO 2.15X2.44X0.036</t>
  </si>
  <si>
    <t>CPMNG22R</t>
  </si>
  <si>
    <t>CANTO RIGIDO ORANGE MANGO 22MM</t>
  </si>
  <si>
    <t>AGTEARW318</t>
  </si>
  <si>
    <t>AGLO SUPERCOR ARENA W 1.83X2.44X0.018</t>
  </si>
  <si>
    <t>CAMWEN44</t>
  </si>
  <si>
    <t>CANTO PVC MOBILE DIS.WENGUE 44MM</t>
  </si>
  <si>
    <t>AGTEARW105</t>
  </si>
  <si>
    <t>UNICOR ARENA W 1.83X2.44X0.0055</t>
  </si>
  <si>
    <t>CPMNG41R</t>
  </si>
  <si>
    <t>CANTO RIGIDO ORANGE MANGO 41MM</t>
  </si>
  <si>
    <t>AGHEEBN318C</t>
  </si>
  <si>
    <t>AGLO HG GALAN BLANCO 1.86X2.75X0.018TB</t>
  </si>
  <si>
    <t>CAMZEB16</t>
  </si>
  <si>
    <t>CANTO PVC MOBILE DIS.ZEBRANO 16 MM</t>
  </si>
  <si>
    <t>LMG7590BC6</t>
  </si>
  <si>
    <t>OLMO RUSTICO BRILLANTE NO POSTFOMABLE</t>
  </si>
  <si>
    <t>CAMZEB19</t>
  </si>
  <si>
    <t>CANTO PVC MOBILE DIS.ZEBRANO 19 MM</t>
  </si>
  <si>
    <t>LMG7603BC6</t>
  </si>
  <si>
    <t>PIMIENTA BRILLANTE NO POSTFORMABLE</t>
  </si>
  <si>
    <t>CAMZEB22</t>
  </si>
  <si>
    <t>CANTO PVC MOBILE DIS.ZEBRANO 22 MM</t>
  </si>
  <si>
    <t>LMG102TC10</t>
  </si>
  <si>
    <t>LAM. MOBILE BLANCO UNICOLOR
TX CT 1.0MM</t>
  </si>
  <si>
    <t>CAMZEB33</t>
  </si>
  <si>
    <t>CANTO PVC MOBILE DIS.ZEBRANO 33 MM</t>
  </si>
  <si>
    <t>MFCAE06815</t>
  </si>
  <si>
    <t>MDF FIBRAPLAC 600 1.83X2.44X0.015</t>
  </si>
  <si>
    <t>CAMZEB44</t>
  </si>
  <si>
    <t>CANTO PVC MOBILE DIS.ZEBRANO 44 MM</t>
  </si>
  <si>
    <t>OSBLM04818</t>
  </si>
  <si>
    <t>OSB MUEBLE L . P 1.22X2.44X0.018</t>
  </si>
  <si>
    <t>CANEG33R</t>
  </si>
  <si>
    <t>CANTO RIGIDO MOBILE NEGRO 33MM</t>
  </si>
  <si>
    <t>LMG7591TC6</t>
  </si>
  <si>
    <t>MISTCO MATE NO POSTFOMABLE</t>
  </si>
  <si>
    <t>CANMCB25</t>
  </si>
  <si>
    <t>CANTO MADERA CEDRO BOSSE 25MM</t>
  </si>
  <si>
    <t>AGFTE06815</t>
  </si>
  <si>
    <t>AGLO FORMALETA TABLEMAC 1.83X2.44X0.015</t>
  </si>
  <si>
    <t>CPROG33R</t>
  </si>
  <si>
    <t>CANTO RIGIDO ORANGE ROBLE GRIS 33MM</t>
  </si>
  <si>
    <t>ALCMF018</t>
  </si>
  <si>
    <t>ALISTONADO CACE MIELE FJI 0.9X2.40X0.018</t>
  </si>
  <si>
    <t>CAPHAB33</t>
  </si>
  <si>
    <t xml:space="preserve">CANTO PVC ORANGE DIS.HABANO 33MM </t>
  </si>
  <si>
    <t>AGTEHUW318</t>
  </si>
  <si>
    <t>AGLO SUPERCOR HUMO W 1.83X2.44X0.018</t>
  </si>
  <si>
    <t>CPSAN22R</t>
  </si>
  <si>
    <t>CANTO RIGIDO ORANGE SANGRIA 22MM</t>
  </si>
  <si>
    <t>AGTECPW318</t>
  </si>
  <si>
    <t>AGLO SUPERCOR CAPUCCIN W 1.83X2.44X0.018</t>
  </si>
  <si>
    <t>CANMCB32</t>
  </si>
  <si>
    <t>CANTO MADERA CEDRO BOSSE 32MM</t>
  </si>
  <si>
    <t>LW7938TP8</t>
  </si>
  <si>
    <t>LAM. WILSONART ROBLE FLOR MOR. TX PF F8</t>
  </si>
  <si>
    <t>CANMCB33</t>
  </si>
  <si>
    <t>CANTO MADERA CEDRO ROBLE ROSE 33MM</t>
  </si>
  <si>
    <t>AGNEBBS206</t>
  </si>
  <si>
    <t>PELIKANO BCO.MA 2C SF 2.15X2.44X0.006</t>
  </si>
  <si>
    <t>CANMCB41</t>
  </si>
  <si>
    <t>CANTO MADERA CEDRO BOSSE 41MM</t>
  </si>
  <si>
    <t>LMG0741TC7</t>
  </si>
  <si>
    <t>LAM. MOBILE PEKAN TX CT F7</t>
  </si>
  <si>
    <t>CANMCB43</t>
  </si>
  <si>
    <t>CANTO MADERA CEDRO ROBLE ROSE 43MM</t>
  </si>
  <si>
    <t>AGNEBMS218</t>
  </si>
  <si>
    <t>PELIKANO BCO.MA 2C SF 2.15X2.44X0.018</t>
  </si>
  <si>
    <t>CANMRR19</t>
  </si>
  <si>
    <t>CANTO MADERA ROBLE ROSE 19MM</t>
  </si>
  <si>
    <t>AGNEBBS212</t>
  </si>
  <si>
    <t>PELIKANO BCO.MA 2C SF 2.15X2.44X0.012</t>
  </si>
  <si>
    <t>CANMRR22</t>
  </si>
  <si>
    <t>CANTO MADERA ROBLE ROSE 22MM</t>
  </si>
  <si>
    <t>AGNEBBS215</t>
  </si>
  <si>
    <t>PELIKANO BCO.MA 2C SF 2.15X2.44X0.015</t>
  </si>
  <si>
    <t>CANMRR25</t>
  </si>
  <si>
    <t>CANTO MADERA ROBLE ROSE 25MM</t>
  </si>
  <si>
    <t>AGNEBBS218</t>
  </si>
  <si>
    <t>CANMRR29</t>
  </si>
  <si>
    <t>CANTO MADERA ROBLE ROSE 29MM</t>
  </si>
  <si>
    <t>AGNEBBS225</t>
  </si>
  <si>
    <t>PELIKANO BCO.MA 2C SF 2.15X2.44X0.025</t>
  </si>
  <si>
    <t>CANMRR33</t>
  </si>
  <si>
    <t>CANTO MADERA ROBLE ROSE 33MM</t>
  </si>
  <si>
    <t>AGNEBBS236</t>
  </si>
  <si>
    <t>PELIKANO BCO.MA 2C SF 2.15X2.44X0.036</t>
  </si>
  <si>
    <t>PERALM18</t>
  </si>
  <si>
    <t>PERF MANIJA PUERTA AMAZONAS X 3MT</t>
  </si>
  <si>
    <t>AGNEBBS309</t>
  </si>
  <si>
    <t>PELIKANO BCO.MA 1K SF 2.15X2.44X0.009</t>
  </si>
  <si>
    <t>CANMRR40</t>
  </si>
  <si>
    <t>CANTO MADERA ROBLE ROSE 40MM</t>
  </si>
  <si>
    <t>AGNEBBS315</t>
  </si>
  <si>
    <t>PELIKANO BCO.MA 1K SF 2.15X2.44X0.015</t>
  </si>
  <si>
    <t>CAPGRI19</t>
  </si>
  <si>
    <t>AGNEBBV215</t>
  </si>
  <si>
    <t>PELIKANO BCO.MA 2C MX 2.15X2.44X0.015</t>
  </si>
  <si>
    <t>CPGRI19R</t>
  </si>
  <si>
    <t>CANTO RIGIDO MOBILE GRIS 19MM</t>
  </si>
  <si>
    <t>AGNEBMS215</t>
  </si>
  <si>
    <t>CAPCEM33</t>
  </si>
  <si>
    <t>CANTO PVC ORANGE DIS.CEMENTO 33MM</t>
  </si>
  <si>
    <t>AGNEBNL415</t>
  </si>
  <si>
    <t>PELIKANO BCO.NO 1B LS 2.15X2.44X0.015</t>
  </si>
  <si>
    <t>CANOG22R</t>
  </si>
  <si>
    <t>CANTO RIGIDO MOBILE NOGAL  22MM</t>
  </si>
  <si>
    <t>AGNEBNS106</t>
  </si>
  <si>
    <t>PELIKANO BCO.NO 1C SF 2.15X2.44X0.006</t>
  </si>
  <si>
    <t>CANROL22</t>
  </si>
  <si>
    <t xml:space="preserve">CANTO RIGIDO DIS.OLMO 22X2MM  </t>
  </si>
  <si>
    <t>AGNEBNS115</t>
  </si>
  <si>
    <t>PELIKANO BCO.NO 1C SF 2.15X2.44X0.015</t>
  </si>
  <si>
    <t>CAPABE19</t>
  </si>
  <si>
    <t>CANTO PVC PROADEC DIS.ABEDUL 19MM</t>
  </si>
  <si>
    <t>AGNRNEW215</t>
  </si>
  <si>
    <t>PELIKANO RH WEN/WE 2C WO 2.15X2.44X0.015</t>
  </si>
  <si>
    <t>CAPABE22</t>
  </si>
  <si>
    <t>CANTO PVC PROADEC DIS.ABEDUL 22MM</t>
  </si>
  <si>
    <t>AGTRSOR112</t>
  </si>
  <si>
    <t>AGLO SUP RH SODER 1 C R 1.83X2.44X0.012</t>
  </si>
  <si>
    <t>CAPALU19</t>
  </si>
  <si>
    <t xml:space="preserve">CANTO PVC PROADEC DIS.ALUMINIO 19MM </t>
  </si>
  <si>
    <t>AGNRCSP106</t>
  </si>
  <si>
    <t>PELIKANO RH CAFE.E 1C PO 2.15X2.44X0.006</t>
  </si>
  <si>
    <t>CAPALU22</t>
  </si>
  <si>
    <t xml:space="preserve">CANTO PVC PROADEC DIS.ALUMINIO 22MM </t>
  </si>
  <si>
    <t>AGSRBNB218</t>
  </si>
  <si>
    <t>AGLO BLANCO BRILLANTE RH 2.10X2.80X0.018</t>
  </si>
  <si>
    <t>CAPALU44</t>
  </si>
  <si>
    <t xml:space="preserve">CANTO PVC PROADEC DIS.ALUMINIO 44MM </t>
  </si>
  <si>
    <t>LMPRD54141</t>
  </si>
  <si>
    <t>LISTON MAD PINO ARA DM 3.20X0.041X0.041</t>
  </si>
  <si>
    <t>CAPAMA19</t>
  </si>
  <si>
    <t>CANTO PVC PROADEC  DIS. AZUL MARINO 19MM</t>
  </si>
  <si>
    <t>ALGRUA018</t>
  </si>
  <si>
    <t>ALISTONADO GRUBER A PINO 1.20X2.40X0.018</t>
  </si>
  <si>
    <t>CAPAMA22</t>
  </si>
  <si>
    <t>CANTO PVC PROADEC AZUL MARINO 22MM</t>
  </si>
  <si>
    <t>HBCL104820</t>
  </si>
  <si>
    <t>HB CRUDO LIBERDEC TP1 1.22X2.44X0.0020</t>
  </si>
  <si>
    <t>CAPAMR19</t>
  </si>
  <si>
    <t>CANTO PVC PROADEC DIS AMARETTO 19MM</t>
  </si>
  <si>
    <t>AGNEBNS206</t>
  </si>
  <si>
    <t>PELIKANO BCO.NO 2C SF 2.15X2.44X0.006</t>
  </si>
  <si>
    <t>CAPAMR22</t>
  </si>
  <si>
    <t>CANTO PVC PROADEC DIS. AMARETTO 22MM</t>
  </si>
  <si>
    <t>LMG0293BC7</t>
  </si>
  <si>
    <t>LAM. MOBILE NEGRO BT CT F7</t>
  </si>
  <si>
    <t>CAPAMR44</t>
  </si>
  <si>
    <t>CANTO PVC ORANGE AMARETTO  44MM</t>
  </si>
  <si>
    <t>AGNERVP215</t>
  </si>
  <si>
    <t>PELIKANO ROVERE 2C PO 2.15X2.44X0.015</t>
  </si>
  <si>
    <t>CAPART16</t>
  </si>
  <si>
    <t xml:space="preserve"> CANTO PVC PROADEC ARTIKO16MM  </t>
  </si>
  <si>
    <t>AGNEBNS209</t>
  </si>
  <si>
    <t>PELIKANO BCO.NO 2C SF 2.15X2.44X0.009</t>
  </si>
  <si>
    <t>CAPART19</t>
  </si>
  <si>
    <t>CANTO PVC PROADEC DIS.ARTIKO 19MM</t>
  </si>
  <si>
    <t>MFHDECI318</t>
  </si>
  <si>
    <t>MDF HG DURATEX CAIRO 1.84X2.75X0.018</t>
  </si>
  <si>
    <t>CAPART22</t>
  </si>
  <si>
    <t>CANTO PVC PROADEC DIS.ARTIKO 22MM</t>
  </si>
  <si>
    <t>AGNEBNS212</t>
  </si>
  <si>
    <t>PELIKANO BCO.NO 2C SF 2.15X2.44X0.012</t>
  </si>
  <si>
    <t>CAPART33</t>
  </si>
  <si>
    <t xml:space="preserve"> CANTO PVC PROADEC ARTIKO 33MM  </t>
  </si>
  <si>
    <t>AGNEBNS215</t>
  </si>
  <si>
    <t>PELIKANO BCO.NO 2C SF 2.15X2.44X0.015</t>
  </si>
  <si>
    <t>CAMROV19</t>
  </si>
  <si>
    <t>CANTO PVC MOBILE DIS.ROVERE 19MM</t>
  </si>
  <si>
    <t>AGNEBNS218</t>
  </si>
  <si>
    <t>PELIKANO BCO.NO 2C SF 2.15X2.44X0.018</t>
  </si>
  <si>
    <t>CAPART44</t>
  </si>
  <si>
    <t xml:space="preserve"> CANTO PVC PROADEC ARTIKO 44MM  </t>
  </si>
  <si>
    <t>AGNEBNS219</t>
  </si>
  <si>
    <t>PELIKANO BCO.NO 2C SF 2.15X2.44X0.019</t>
  </si>
  <si>
    <t>CAPBCO16</t>
  </si>
  <si>
    <t>CANTO PVC ORANGE BLANCO
16MM</t>
  </si>
  <si>
    <t>AGNEBNS220</t>
  </si>
  <si>
    <t>PELIKANO BCO.NO 2C SF 2.15X2.44X0.020</t>
  </si>
  <si>
    <t>CAPBCO19</t>
  </si>
  <si>
    <t>CANTO PVC PROADEC BLANCO 19MM</t>
  </si>
  <si>
    <t>AGNEBNS225</t>
  </si>
  <si>
    <t>PELIKANO BCO.NO 2C SF 2.15X2.44X0.025</t>
  </si>
  <si>
    <t>CAPBCO22</t>
  </si>
  <si>
    <t>CANTO PVC PROADEC BLANCO 22MM</t>
  </si>
  <si>
    <t>AGNEBNS309</t>
  </si>
  <si>
    <t>PELIKANO BCO.NO 1K SF 2.15X2.44X0.009</t>
  </si>
  <si>
    <t>CAPBCO29</t>
  </si>
  <si>
    <t>CANTO PVC PROADEC BLANCO 29MM</t>
  </si>
  <si>
    <t>AGNECAP106</t>
  </si>
  <si>
    <t>PELIKANO CARAME 1C PO 2.15X2.44X0.006</t>
  </si>
  <si>
    <t>CAPBCO44</t>
  </si>
  <si>
    <t>CANTO PVC PROADEC DIS BLANCO 44MM</t>
  </si>
  <si>
    <t>ALLBB018</t>
  </si>
  <si>
    <t>ALISTONADO LOSAN B/B 1.22X2.44X0.018</t>
  </si>
  <si>
    <t>CAPPEK41</t>
  </si>
  <si>
    <t>LMG7614TC6</t>
  </si>
  <si>
    <t>DAKAR NO POSTFORMABLE</t>
  </si>
  <si>
    <t>CPPLO41R</t>
  </si>
  <si>
    <t>CANTO RIGIDO ORANGE PLOMO 41MM</t>
  </si>
  <si>
    <t>AGNECNW236</t>
  </si>
  <si>
    <t>PELIKANO CENIZA 2C WO 2.15X2.44X0.036</t>
  </si>
  <si>
    <t>CPONI33R</t>
  </si>
  <si>
    <t>CANTO RIGIDO ORANGE ONIX 33MM</t>
  </si>
  <si>
    <t xml:space="preserve">AGNEPAP218 </t>
  </si>
  <si>
    <t>CAPTAU22</t>
  </si>
  <si>
    <t>CANTO PVC ORANGE DIS. TAUPE 22MM</t>
  </si>
  <si>
    <t>MFPLESO103</t>
  </si>
  <si>
    <t>HDF PINTADO LCBX SOMBRA 1.22X2.44X0.003</t>
  </si>
  <si>
    <t>CAPBMQ19</t>
  </si>
  <si>
    <t>CANTO PVC PROADEC BLANCO MARQUEZ 19MM</t>
  </si>
  <si>
    <t>AGNEBNS406</t>
  </si>
  <si>
    <t>PELIKANO BCO.NO 1B SF 2.15X2.44X0.006</t>
  </si>
  <si>
    <t>CAPBMQ22</t>
  </si>
  <si>
    <t>CANTO PVC PROADEC BLANCO MARQUEZ 22MM</t>
  </si>
  <si>
    <t>AGNEBNS409</t>
  </si>
  <si>
    <t>PELIKANO BCO.NO 1B SF 2.15X2.44X0.009</t>
  </si>
  <si>
    <t>CAPBMQ33</t>
  </si>
  <si>
    <t>CANTO PVC PROADEC BLANCO MARQUEZ 33MM</t>
  </si>
  <si>
    <t>AGNEBNS412</t>
  </si>
  <si>
    <t>PELIKANO BCO.NO 1B SF 2.15X2.44X0.012</t>
  </si>
  <si>
    <t>CAPBMQ44</t>
  </si>
  <si>
    <t>CANTO PVC PROADEC BLANCO MARQUEZ 44MM</t>
  </si>
  <si>
    <t>AGNEBNS415</t>
  </si>
  <si>
    <t>PELIKANO BCO.NO 1B SF 2.15X2.44X0.015</t>
  </si>
  <si>
    <t>CAPBRU19</t>
  </si>
  <si>
    <t xml:space="preserve"> CANTO PVC ORANGE DIS.BRUMA 19MM</t>
  </si>
  <si>
    <t>AGNEBNS418</t>
  </si>
  <si>
    <t>PELIKANO BCO.NO 1B SF 2.15X2.44X0.018</t>
  </si>
  <si>
    <t>CAPBRU22</t>
  </si>
  <si>
    <t>CANTO PVC ORANGE DIS.BRUMA 22MM</t>
  </si>
  <si>
    <t>AGNEBNS425</t>
  </si>
  <si>
    <t>PELIKANO BCO.NO 1B SF 2.15X2.44X0.025</t>
  </si>
  <si>
    <t>CAPBRU33</t>
  </si>
  <si>
    <t>CANTO PVC ORANGE DIS.BRUMA 33MM</t>
  </si>
  <si>
    <t>AGNEBNS430</t>
  </si>
  <si>
    <t>PELIKANO BCO.NO 1B SF 2.15X2.44X0.030</t>
  </si>
  <si>
    <t>CAPCAO19</t>
  </si>
  <si>
    <t>CANTO PVC ORANGE DIS.CAOBA 19MM</t>
  </si>
  <si>
    <t>AGNEBNT106</t>
  </si>
  <si>
    <t>PELIKANO BCO.NO 1C VT 2.15X2.44X0.006</t>
  </si>
  <si>
    <t>CAPCAO22</t>
  </si>
  <si>
    <t>CANTO PVC ORANGE DIS.CAOBA 22MM</t>
  </si>
  <si>
    <t>LMG0194TC7</t>
  </si>
  <si>
    <t>LAM. MOBILE ROJO TX CT F7</t>
  </si>
  <si>
    <t>CAPCRB33</t>
  </si>
  <si>
    <t>CANTO PVC ORANGE DIS.CARBON 33MM</t>
  </si>
  <si>
    <t>LMG1001CP8</t>
  </si>
  <si>
    <t>LAM. MOBILE ALUMINIO BRUSH CT F8</t>
  </si>
  <si>
    <t>CAPCRB41</t>
  </si>
  <si>
    <t>CANTO PVC ORANGE DIS.CARBON 41MM</t>
  </si>
  <si>
    <t>AGFTE06809</t>
  </si>
  <si>
    <t xml:space="preserve">AGLO FORMALETA TABLEMAC 1.83X2.44X0.009
</t>
  </si>
  <si>
    <t>CAPCAO33</t>
  </si>
  <si>
    <t>CANTO PVC ORANGE DIS.CAOBA 33MM</t>
  </si>
  <si>
    <t>LMG5720TP8</t>
  </si>
  <si>
    <t>LAM. MOBILE GREY TABRIZ TX PF F8</t>
  </si>
  <si>
    <t>CAPCAP19</t>
  </si>
  <si>
    <t xml:space="preserve">CANTO PVC PROADEC DIS.CAPUCCINO 19MM         </t>
  </si>
  <si>
    <t>AGNEPLM236</t>
  </si>
  <si>
    <t>PELIKANO PLOMO 2C MT 2.15X2.44X0.0036</t>
  </si>
  <si>
    <t>CAPCAP22</t>
  </si>
  <si>
    <t>CANTO PVC ORANGE DIS.CAPUCCINO 22MM</t>
  </si>
  <si>
    <t>AGNRCSP218</t>
  </si>
  <si>
    <t>PELIKANO RH CAFE.E 2C PO 2.15X2.44X0.018</t>
  </si>
  <si>
    <t>PERALM28</t>
  </si>
  <si>
    <t>PERF MANIJA X 3M PTA CORD TAB18MM</t>
  </si>
  <si>
    <t>NOCVTB1500</t>
  </si>
  <si>
    <t>AGLO MDPKOR VARIOS COLORE2.15X2.44X0.015</t>
  </si>
  <si>
    <t>AGNEBNS215B</t>
  </si>
  <si>
    <t>AGLO BCO.NO 2C SF 2.10X2.44X0.015</t>
  </si>
  <si>
    <t>CAPCAR19</t>
  </si>
  <si>
    <t>CANTO PVC PROADEC CARAMELO 19MM</t>
  </si>
  <si>
    <t>AGNRNEW218</t>
  </si>
  <si>
    <t>PELIKANO RH WEN/WE 2C WO 2.15X2.44X0.018</t>
  </si>
  <si>
    <t>CAPCAR22</t>
  </si>
  <si>
    <t>CANTO PVC PROADEC DIS.CARAMELO 22MM</t>
  </si>
  <si>
    <t>AGNECSN215</t>
  </si>
  <si>
    <t>PELIKANO CAFE.E 2C NA 2.15X2.44X0.015</t>
  </si>
  <si>
    <t>CAPCAR44</t>
  </si>
  <si>
    <t>CANTO PVC PROADEC DIS. CARAMELO 44MM</t>
  </si>
  <si>
    <t>AGTECPW115</t>
  </si>
  <si>
    <t>AGLO UNICOR CAPPU C/B W1.83X2.44X0.015</t>
  </si>
  <si>
    <t>CAPCEM19</t>
  </si>
  <si>
    <t>CANTO PROADEC PVC CEMENTO 19MM</t>
  </si>
  <si>
    <t>AGNEBNV215</t>
  </si>
  <si>
    <t>PELIKANO BCO.NO 2C MX 2.15X2.44X0.015</t>
  </si>
  <si>
    <t>CAPCEM22</t>
  </si>
  <si>
    <t>CANTO PVC PROADEC DIS CEMENTO 22MM</t>
  </si>
  <si>
    <t>AGNEBNV218</t>
  </si>
  <si>
    <t>PELIKANO BCO.NO 2C MX 2.15X2.44X0.018</t>
  </si>
  <si>
    <t>CAPCEN22</t>
  </si>
  <si>
    <t>CANTO PVC PROADEC DIS.CENIZO 22 MM</t>
  </si>
  <si>
    <t>AGNECA1316</t>
  </si>
  <si>
    <t>AGLO CHAPA NOV CAOBA D/C 2.15X2.44X0.016</t>
  </si>
  <si>
    <t>CAPCEN23</t>
  </si>
  <si>
    <t>AGNECAN106</t>
  </si>
  <si>
    <t>PELIKANO CARAMELO  1C NA 2.15 X 2.44. 0.06</t>
  </si>
  <si>
    <t>CAPCER19</t>
  </si>
  <si>
    <t>CANTO PVC PROADEC DIS.CEREZO 19MM</t>
  </si>
  <si>
    <t>AGNECAN215</t>
  </si>
  <si>
    <t>PELIKANO CARAMELO  2C NA 2.15 X 2.44. 0.15</t>
  </si>
  <si>
    <t xml:space="preserve">CANTO PVC PROADEC DIS.CEREZO 19MM </t>
  </si>
  <si>
    <t>AGNECAN218</t>
  </si>
  <si>
    <t>PELIKANO CARAMELO  2C NA 2.15 X 2.44. 0.18</t>
  </si>
  <si>
    <t>CAPCER22</t>
  </si>
  <si>
    <t xml:space="preserve">PROADEC DIS.CEREZO 22MM </t>
  </si>
  <si>
    <t>AGNRLIS236</t>
  </si>
  <si>
    <t>PELIKANO RH LINO 2C SF 2.15X2.44X0.036</t>
  </si>
  <si>
    <t>CAPCER29</t>
  </si>
  <si>
    <t xml:space="preserve">PROADEC DIS.CEREZO 29MM </t>
  </si>
  <si>
    <t>AGNRCSP236</t>
  </si>
  <si>
    <t>PELIKANO RH CAFE.E 2C PO 2.15X2.44X0.036</t>
  </si>
  <si>
    <t>CAPCES19</t>
  </si>
  <si>
    <t>CANTO PVC PROADEC DIS CAFÉ ESPRESSO 19MM</t>
  </si>
  <si>
    <t>AGNECAN225</t>
  </si>
  <si>
    <t>PELIKANO CARAME 2C NA 2.15X2.44X0.025</t>
  </si>
  <si>
    <t>CAPCES22</t>
  </si>
  <si>
    <t>CANTO PVC PROADEC DIS CAFÉ ESPRESSO 22MM</t>
  </si>
  <si>
    <t>AGNECAN236</t>
  </si>
  <si>
    <t>PELIKANO CARAMELO 2C NA 2.15X2.44X0.036</t>
  </si>
  <si>
    <t>CAPCES44</t>
  </si>
  <si>
    <t>CANTO PVC PROADEC DIS CAFÉ ESPRESSO 44MM</t>
  </si>
  <si>
    <t>AGNECAN309</t>
  </si>
  <si>
    <t>PELIKANO CARAMELO  1K MX 2.15X2.44X0.009</t>
  </si>
  <si>
    <t>CAPCHA33</t>
  </si>
  <si>
    <t>CANTO PVC PROADEC DIS. CHANTILLI 33MM</t>
  </si>
  <si>
    <t>AGTRCPW318</t>
  </si>
  <si>
    <t>AGLO SUPERCOR RH CAPUC W 1.83X2.44X0.018</t>
  </si>
  <si>
    <t>CAPCHE19</t>
  </si>
  <si>
    <t>CANTO PVC PROADEC DIS.CHERRY 19MM</t>
  </si>
  <si>
    <t>AGNECAW106</t>
  </si>
  <si>
    <t>PELIKANO CARAMELO WO. 1C 2.44 X 2.15 0.006</t>
  </si>
  <si>
    <t>CAPCHE20</t>
  </si>
  <si>
    <t>AGNECAW215</t>
  </si>
  <si>
    <t>PELIKANO CARAMELO 2C  WO. 2.15X2.44X0.015</t>
  </si>
  <si>
    <t>CAPCNZ19</t>
  </si>
  <si>
    <t>AGNECEW215</t>
  </si>
  <si>
    <t xml:space="preserve">PELIKANO CEDRO 2C WO 2.15X2.44X0.015 </t>
  </si>
  <si>
    <t>CAPCNZ22</t>
  </si>
  <si>
    <t>CANTO PVC ORANGE DIS. CENIZA 22MM</t>
  </si>
  <si>
    <t>AGNECHS215</t>
  </si>
  <si>
    <t>PELIKANO CHAMPA 2C SF 2.15X2.44X0.015</t>
  </si>
  <si>
    <t>CAPCNZ44</t>
  </si>
  <si>
    <t>CANTO PVC ORANGE DIS. CENIZA 44MM</t>
  </si>
  <si>
    <t>AGNECHS225</t>
  </si>
  <si>
    <t>PELIKANO CHAMPA 2C SF 2.15X2.44X0.025</t>
  </si>
  <si>
    <t>CPNIE41R</t>
  </si>
  <si>
    <t>CANTO RIGIDO ORANGE NIEBLA 41MM</t>
  </si>
  <si>
    <t>AGNECMM106</t>
  </si>
  <si>
    <t>PELIKANO CEMENTO  1C MT 2.15 X 2.44. 0.06</t>
  </si>
  <si>
    <t>CPCRB41R</t>
  </si>
  <si>
    <t>CANTO RIGIDO ORANGE CARBON 41MM</t>
  </si>
  <si>
    <t>AGNECMM215</t>
  </si>
  <si>
    <t>PELIKANO CEMENTO  2C MT 2.15 X 2.44. 0.15</t>
  </si>
  <si>
    <t>CAPEBA19</t>
  </si>
  <si>
    <t>CANTO PVC ORANGE DIS. EBANO  19MM</t>
  </si>
  <si>
    <t>AGNECMM218</t>
  </si>
  <si>
    <t>PELIKANO CEMENTO  2C MT 2.15 X 2.44. 0.18</t>
  </si>
  <si>
    <t>CAPEBA22</t>
  </si>
  <si>
    <t>CANTO PVC ORANGE DIS.EBANO 22MM</t>
  </si>
  <si>
    <t>AGNECMM309</t>
  </si>
  <si>
    <t>PELIKANO CEMENTO  1K MT 2.15 X 2.44. 0.09</t>
  </si>
  <si>
    <t>CAPFMO19</t>
  </si>
  <si>
    <t xml:space="preserve">CANTO PVC PROADEC DIS.FLORMORADO 19MM  </t>
  </si>
  <si>
    <t>AGCNRL7812</t>
  </si>
  <si>
    <t>MDP RH NOVOPAN LJ 2.15X2.44X0.012</t>
  </si>
  <si>
    <t>CAPFMO22</t>
  </si>
  <si>
    <t xml:space="preserve">CANTO PVC PROADEC DIS.FLORMORADO 22MM  </t>
  </si>
  <si>
    <t>AGNECNN215</t>
  </si>
  <si>
    <t>PELIKANO CENIZA 2C NA 2.15X2.44X0.015</t>
  </si>
  <si>
    <t>CAPFMO29</t>
  </si>
  <si>
    <t xml:space="preserve">CANTO PVC PROADEC DIS.FLORMORADO 29MM  </t>
  </si>
  <si>
    <t>AGNECNW106</t>
  </si>
  <si>
    <t>PELIKANO CENIZA 2C WO 2.15X2.44X0.06</t>
  </si>
  <si>
    <t>AGNECNW215</t>
  </si>
  <si>
    <t>PELIKANO CENIZA 2C WO. 2.15X2.44X0.015</t>
  </si>
  <si>
    <t>AGNECNW218</t>
  </si>
  <si>
    <t>PELIKANO CENIZA 2C WO. 2.15X2.44X0.018</t>
  </si>
  <si>
    <t>CPMIE44R</t>
  </si>
  <si>
    <t>CANTO RIGIDO ORANGE MIEL 44MM</t>
  </si>
  <si>
    <t>AGNECNW309</t>
  </si>
  <si>
    <t>PELIKANO CENIZA 1K WO 2.15X2.44X0.09</t>
  </si>
  <si>
    <t>CPSAN19R</t>
  </si>
  <si>
    <t>CANTO RIGIDO ORANGE SANGRIA 19MM</t>
  </si>
  <si>
    <t>AGNECNW415</t>
  </si>
  <si>
    <t>PELIKANO CENIZA 1B WO 2.15X2.44X0.015</t>
  </si>
  <si>
    <t>CAPCRP19</t>
  </si>
  <si>
    <t>CANTO PVC ORANGE DIS.CANION RUS PRI 19MM</t>
  </si>
  <si>
    <t>AGNECOS106</t>
  </si>
  <si>
    <t>PELIKANO CORAL  1C SF 2.15 X 2.44. 0.06</t>
  </si>
  <si>
    <t>AGNECOS215</t>
  </si>
  <si>
    <t>PELIKANO CORAL  2C SF 2.15 X 2.44. 0.15</t>
  </si>
  <si>
    <t>MFSAEGR218</t>
  </si>
  <si>
    <t>SPAN SUPERMATE ANTRACITA 1.22X3.05X0.018</t>
  </si>
  <si>
    <t>AGNECOS218</t>
  </si>
  <si>
    <t>PELIKANO CORAL  2C SF 2.15 X 2.44. 0.18</t>
  </si>
  <si>
    <t>AGNECOS236</t>
  </si>
  <si>
    <t>PELIKANO CORAL 2C SF 2.15X2.44X0.036</t>
  </si>
  <si>
    <t>AGNECRS106</t>
  </si>
  <si>
    <t>PELIKANO CREMA 1C SF 2.15 X 2.44. 0.06</t>
  </si>
  <si>
    <t>CAPFMO33</t>
  </si>
  <si>
    <t>CANTO PVC PROADEC FLOR MORADO 33MM</t>
  </si>
  <si>
    <t>AGNEGAP236</t>
  </si>
  <si>
    <t>PELIKANO GALES 2C PO 2.15X2.44X0.036</t>
  </si>
  <si>
    <t>CAPFPI22</t>
  </si>
  <si>
    <t>CANTO PVC 1MM PROADEC FRESNO PIEDRA 22MM</t>
  </si>
  <si>
    <t>AGCEE06915</t>
  </si>
  <si>
    <t>AGLO EUCATEX 1.86X2.75X0.015</t>
  </si>
  <si>
    <t xml:space="preserve">CANTO PVC 1MM PROADEC FRESNO PIEDRA   22MM   </t>
  </si>
  <si>
    <t>AGNECRS215</t>
  </si>
  <si>
    <t>PELIKANO CREMA 2C SF 2.15 X 2.44. 0.15</t>
  </si>
  <si>
    <t>CAPHUM19</t>
  </si>
  <si>
    <t xml:space="preserve">CANTO PVC PROADEC DIS.HUMO 19MM         </t>
  </si>
  <si>
    <t>AGNECRS218</t>
  </si>
  <si>
    <t>PELIKANO CREMA 2C SF 2.15 X 2.44. 0.18</t>
  </si>
  <si>
    <t>CAPHUM22</t>
  </si>
  <si>
    <t>CANTO PVC ORANGE HUMO 22MM</t>
  </si>
  <si>
    <t>AGNECSV106</t>
  </si>
  <si>
    <t>PELIKANO CAFÉ .E.  1C MX 2.15 X 2.44. 0.06</t>
  </si>
  <si>
    <t>CAPHUM44</t>
  </si>
  <si>
    <t>CANTO PVC ORANGE DIS.HUMO 44MM</t>
  </si>
  <si>
    <t>AGNECSV215</t>
  </si>
  <si>
    <t>PELIKANO CAFÉ .E.  2C MX 2.15 X 2.44. 0.15</t>
  </si>
  <si>
    <t>CAPLAT19</t>
  </si>
  <si>
    <t xml:space="preserve">CANTO PVC PROADEC DIS.LATE 19MM  </t>
  </si>
  <si>
    <t>AGNECSV218</t>
  </si>
  <si>
    <t>PELIKANO CAFÉ .E.  2C MX 2.15 X 2.44. 0.18</t>
  </si>
  <si>
    <t xml:space="preserve">CANTO PVC PROADEC DIS.LATE 19MM   </t>
  </si>
  <si>
    <t>AGNECSV236</t>
  </si>
  <si>
    <t>PELIKANO CAFE.E 2C MX 2.15X2.44X0.036</t>
  </si>
  <si>
    <t>CAPLAT22</t>
  </si>
  <si>
    <t xml:space="preserve">CANTO PVC PROADEC DIS.LATE 22MM </t>
  </si>
  <si>
    <t>AGNECSV309</t>
  </si>
  <si>
    <t>PELIKANO CAFE.E 1K MX 2.15X2.44X0.009</t>
  </si>
  <si>
    <t>CAPLAT33</t>
  </si>
  <si>
    <t xml:space="preserve">CANTO PVC PROADEC DIS.LATE 33MM </t>
  </si>
  <si>
    <t>AGNECTM215</t>
  </si>
  <si>
    <t>PELIKANO CEZ.CT 2C MT 2.15X2.44X0.015</t>
  </si>
  <si>
    <t>CAPLAT44</t>
  </si>
  <si>
    <t xml:space="preserve">CANTO PVC PROADEC DIS.LATE 44MM </t>
  </si>
  <si>
    <t>AGNECTW106</t>
  </si>
  <si>
    <t>PELIKANO CEZ.CT 1C WO 2.15X2.44X0.006</t>
  </si>
  <si>
    <t>CAPMAN22</t>
  </si>
  <si>
    <t>CANTO PVC PROADEC DIS. MANZANO 22MM</t>
  </si>
  <si>
    <t>AGNECTW309</t>
  </si>
  <si>
    <t>PELIKANO CEZ.CT 1K WO 2.15X2.44X0.009</t>
  </si>
  <si>
    <t>CAPMAR19</t>
  </si>
  <si>
    <t>CANTO PVC PROADEC DIS.MARFIL 19MM</t>
  </si>
  <si>
    <t>AGNECTW315</t>
  </si>
  <si>
    <t>PELIKANO CEZ.CT 1K WO 2.15X2.44X0.015</t>
  </si>
  <si>
    <t>CAPMAR22</t>
  </si>
  <si>
    <t>CANTO PVC PROADEC DIS.MARFIL 22MM</t>
  </si>
  <si>
    <t>AGNECTW318</t>
  </si>
  <si>
    <t>PELIKANO CEZ.CT 1K WO 2.15X2.44X0.018</t>
  </si>
  <si>
    <t>CAPMAR33</t>
  </si>
  <si>
    <t xml:space="preserve">CANTO PVC PROADEC DIS.MARFIL 33MM </t>
  </si>
  <si>
    <t>AGNECYV106</t>
  </si>
  <si>
    <t>PELIKANO CHERRY 1C MX 2.15X2.44X0.006</t>
  </si>
  <si>
    <t>CAPMEN19</t>
  </si>
  <si>
    <t>CANTO PVC PROADEC MENTA 19MM</t>
  </si>
  <si>
    <t>AGNECYV212</t>
  </si>
  <si>
    <t>PELIKANO CHERRY 2C MX 2.15X2.44X0.012</t>
  </si>
  <si>
    <t>CAPMEN22</t>
  </si>
  <si>
    <t>CANTO PVC PROADEC DIS. MENTA 22MM</t>
  </si>
  <si>
    <t>AGNECYV215</t>
  </si>
  <si>
    <t>PELIKANO CHERRY 2C MX 2.15X2.44X0.015</t>
  </si>
  <si>
    <t>PERALM31</t>
  </si>
  <si>
    <t>PERF MINIJOTA NO RANURA X 3M TAB18MM</t>
  </si>
  <si>
    <t>CPSOM41R</t>
  </si>
  <si>
    <t>CANTO RIGIDO ORANGE SOMBRA 41MM</t>
  </si>
  <si>
    <t>AGNECYW215</t>
  </si>
  <si>
    <t>PELIKANO CHERRY 2C WO 2.15X2.44X0.015</t>
  </si>
  <si>
    <t>CAPNIE22</t>
  </si>
  <si>
    <t>CANTO PVC ORANGE DIS.NIEBLA 22MM</t>
  </si>
  <si>
    <t>AGNECZM215</t>
  </si>
  <si>
    <t>PELIKANO CEREZO 2C MT 2.15X2.44X0.015</t>
  </si>
  <si>
    <t>CPNIE22R</t>
  </si>
  <si>
    <t>CANTO RIGIDO ORANGE NIEBLA 22MM</t>
  </si>
  <si>
    <t>AGNECZW106</t>
  </si>
  <si>
    <t>PELIKANO CEREZO 1C WO 2.15X2.44X0.006</t>
  </si>
  <si>
    <t>PERALM29</t>
  </si>
  <si>
    <t>PERF CANTO-MAN NO RANURA X 3M TAB 18MM</t>
  </si>
  <si>
    <t>AGNECZW212</t>
  </si>
  <si>
    <t>PELIKANO CEREZO 2C WO 2.15X2.44X0.012</t>
  </si>
  <si>
    <t>CAPMOK16</t>
  </si>
  <si>
    <t xml:space="preserve"> CANTO PVC PROADEC DIS.MOKA 16MM</t>
  </si>
  <si>
    <t>AGNECZW215</t>
  </si>
  <si>
    <t>PELIKANO CEREZO 2C WO 2.15X2.44X0.015</t>
  </si>
  <si>
    <t>CAPMOK19</t>
  </si>
  <si>
    <t xml:space="preserve"> CANTO PVC PROADEC DIS.MOKA 19MM  </t>
  </si>
  <si>
    <t>AGNECZW309</t>
  </si>
  <si>
    <t>PELIKANO CEREZO 1K WO 2.15X2.44X0.009</t>
  </si>
  <si>
    <t>CAPMOK22</t>
  </si>
  <si>
    <t xml:space="preserve"> CANTO PVC PROADEC DIS.MOKA 22MM  </t>
  </si>
  <si>
    <t>AGNECZW315</t>
  </si>
  <si>
    <t>PELIKANO CEREZO 1K WO 2.15X2.44X0.015</t>
  </si>
  <si>
    <t>CAPMOK29</t>
  </si>
  <si>
    <t xml:space="preserve"> CANTO PVC PROADEC DIS.MOKA 29MM</t>
  </si>
  <si>
    <t>AGNECZW318</t>
  </si>
  <si>
    <t>PELIKANO CEREZO 1K WO 2.15X2.44X0.018</t>
  </si>
  <si>
    <t>CAPMOK33</t>
  </si>
  <si>
    <t xml:space="preserve"> CANTO PVC PROADEC DIS.MOKA 33MM  </t>
  </si>
  <si>
    <t>AGNEEBV215</t>
  </si>
  <si>
    <t xml:space="preserve">PELIKANO EBANO 2C MX 2.15X2.44X0.015 </t>
  </si>
  <si>
    <t>CAPMOK44</t>
  </si>
  <si>
    <t>CANTO PVC PROADEC DIS.MOKA 44MM</t>
  </si>
  <si>
    <t>AGNEEBW106</t>
  </si>
  <si>
    <t xml:space="preserve">PELIKANO EBANO 1C WO 2.15X2.44X0.006 </t>
  </si>
  <si>
    <t>CPCON22R</t>
  </si>
  <si>
    <t>CANTO RIGIDO ORANGE CONAC 22MM</t>
  </si>
  <si>
    <t>AGNEEBW209</t>
  </si>
  <si>
    <t xml:space="preserve">PELIKANO EBANO 2C WO 2.15X2.44X0.009 </t>
  </si>
  <si>
    <t>CAPNEG19</t>
  </si>
  <si>
    <t xml:space="preserve">CANTO PVC PROADEC NEGRO 19MM </t>
  </si>
  <si>
    <t>AGNEEBW215</t>
  </si>
  <si>
    <t xml:space="preserve">PELIKANO EBANO 2C WO 2.15X2.44X0.015 </t>
  </si>
  <si>
    <t>CAPNEG22</t>
  </si>
  <si>
    <t>AGNEEBW218</t>
  </si>
  <si>
    <t xml:space="preserve">PELIKANO EBANO 2C WO 2.15X2.44X0.018 </t>
  </si>
  <si>
    <t>CAPNEG33</t>
  </si>
  <si>
    <t>AGNEEBW236</t>
  </si>
  <si>
    <t xml:space="preserve">PELIKANO EBANO 2C WO 2.15X2.44X0.036 </t>
  </si>
  <si>
    <t>CAPNGP22</t>
  </si>
  <si>
    <t>CANTO PVC PROADEC DIS.NOGAL PZ 22MM</t>
  </si>
  <si>
    <t>AGNEEBW309</t>
  </si>
  <si>
    <t xml:space="preserve">PELIKANO EBANO 1K WO 2.15X2.44X0.009 </t>
  </si>
  <si>
    <t>CAPNIA19</t>
  </si>
  <si>
    <t>CANTO PVC ORANGE DIS.NIAGARA 19MM</t>
  </si>
  <si>
    <t>AGNEEBW315</t>
  </si>
  <si>
    <t xml:space="preserve">PELIKANO EBANO 1K WO 2.15X2.44X0.015 </t>
  </si>
  <si>
    <t>CAPNOG16 </t>
  </si>
  <si>
    <t xml:space="preserve">CANTO PVC PROADEC DIS.NOGAL  16MM </t>
  </si>
  <si>
    <t>MFCTR06815</t>
  </si>
  <si>
    <t>MDF RH TABLEMAC 1.83X2.44X0.015</t>
  </si>
  <si>
    <t>CAPNOG19</t>
  </si>
  <si>
    <t xml:space="preserve">CANTO PVC PROADEC DIS.NOGAL  19MM </t>
  </si>
  <si>
    <t>AGNRTAM215</t>
  </si>
  <si>
    <t>PELIKANO RH TAUPE 2C MT 2.15X2.44X0.015</t>
  </si>
  <si>
    <t xml:space="preserve">CANTO PVC PROADEC DIS.NOGAL 19MM   </t>
  </si>
  <si>
    <t>AGNRTAM106</t>
  </si>
  <si>
    <t>PELIKANO RH TAUPE 1C MT 2.15X2.44X0.006</t>
  </si>
  <si>
    <t>CAPNOG22</t>
  </si>
  <si>
    <t xml:space="preserve">CANTO PVC PROADEC DIS.NOGAL 22MM   </t>
  </si>
  <si>
    <t>AGNRSIP218</t>
  </si>
  <si>
    <t>PELIKANO RH SIENA 2C PO 2.15X2.44X0.018</t>
  </si>
  <si>
    <t>CAPNOG29</t>
  </si>
  <si>
    <t xml:space="preserve">CANTO PVC PROADEC DIS.NOGAL 29MM   </t>
  </si>
  <si>
    <t>AGNECUM218</t>
  </si>
  <si>
    <t>PELIKANO CUERO 2C MT 2.15X2.44X0.018</t>
  </si>
  <si>
    <t>CAPNOG33</t>
  </si>
  <si>
    <t xml:space="preserve">CANTO PVC PROADEC DIS.NOGAL 33MM   </t>
  </si>
  <si>
    <t>AGNRSIP106</t>
  </si>
  <si>
    <t>PELIKANO RH SIENA 1C PO 2.15X2.44X0.006</t>
  </si>
  <si>
    <t>CAPNOG44</t>
  </si>
  <si>
    <t xml:space="preserve">CANTO PVC PROADEC DIS.NOGAL  44MM </t>
  </si>
  <si>
    <t>LMG7125BC6</t>
  </si>
  <si>
    <t>MORADO BRILLANTE NO POSTFOMABLE</t>
  </si>
  <si>
    <t>CAPNUE22</t>
  </si>
  <si>
    <t>CANTO PVC ORANGE  NUEZ  22MM</t>
  </si>
  <si>
    <t>AGNENIP218</t>
  </si>
  <si>
    <t>PELIKANO NIEBLA 2C PO 2.15X2.44X0.018</t>
  </si>
  <si>
    <t>CAPOLI16</t>
  </si>
  <si>
    <t>CANTO PVC PROADEC DIS OLIVO 16MM</t>
  </si>
  <si>
    <t>AGNEFMV215</t>
  </si>
  <si>
    <t>PELIKANO FLOR.M 2C MX 2.15X2.44X0.015</t>
  </si>
  <si>
    <t>CAPOLI19</t>
  </si>
  <si>
    <t>CANTO PVC PROADEC DIS.OLIVO 19MM</t>
  </si>
  <si>
    <t>AGNEFMW106</t>
  </si>
  <si>
    <t>PELIKANO FLOR.M 1C WO 2.15X2.44X0.006</t>
  </si>
  <si>
    <t>CAPOLI22</t>
  </si>
  <si>
    <t>CANTO PVC PROADEC DIS.OLIVO 22MM</t>
  </si>
  <si>
    <t>AGNEFMW206</t>
  </si>
  <si>
    <t>PELIKANO FLOR.M 2C WO 2.15X2.44X0.006</t>
  </si>
  <si>
    <t>CAPOLI33</t>
  </si>
  <si>
    <t>CANTO PVC PROADEC DIS.OLIVO 33MM</t>
  </si>
  <si>
    <t>LMG5074TP8</t>
  </si>
  <si>
    <t>LAM. MOBILE ZEBRAIPES TX PF F8</t>
  </si>
  <si>
    <t>CAPOLI44</t>
  </si>
  <si>
    <t>CANTO PVC OLIVO 44MM</t>
  </si>
  <si>
    <t>AGNEFMW212</t>
  </si>
  <si>
    <t>PELIKANO FLOR.M 2C WO 2.15X2.44X0.012</t>
  </si>
  <si>
    <t>CAPOLN19</t>
  </si>
  <si>
    <t xml:space="preserve"> CANTO PVC PROADEC DIS.OLMO NOVOPAN 19MM </t>
  </si>
  <si>
    <t>AGNEFMW215</t>
  </si>
  <si>
    <t>PELIKANO FLOR.M 2C WO 2.15X2.44X0.015</t>
  </si>
  <si>
    <t>CAPOLN22</t>
  </si>
  <si>
    <t>CANTO PVC PROADEC DIS.OLMO NOVOPAN 22MM</t>
  </si>
  <si>
    <t>AGNEFMW218</t>
  </si>
  <si>
    <t>PELIKANO FLOR.M 2C WO 2.15X2.44X0.018</t>
  </si>
  <si>
    <t>CAPOXI19</t>
  </si>
  <si>
    <t>CANTO PVC PROADEC DIS. OXID 19MM</t>
  </si>
  <si>
    <t>AGNEFMW225</t>
  </si>
  <si>
    <t>PELIKANO FLOR.M 2C WO 2.15X2.44X0.025</t>
  </si>
  <si>
    <t>CAPOXI22</t>
  </si>
  <si>
    <t>CANTO PVC PROADEC DIS. OXID 22MM</t>
  </si>
  <si>
    <t>AGNEFMW309</t>
  </si>
  <si>
    <t>PELIKANO FLOR.M 1K WO 2.15X2.44X0.009</t>
  </si>
  <si>
    <t>CAPPEK16</t>
  </si>
  <si>
    <t>CANTO PVC PROADEC 16MM</t>
  </si>
  <si>
    <t>AGNEFMW312</t>
  </si>
  <si>
    <t>PELIKANO FLOR.M 1K WO 2.15X2.44X0.012</t>
  </si>
  <si>
    <t>CAPPEK19</t>
  </si>
  <si>
    <t xml:space="preserve">CANTO PVC PROADEC DIS.PEKAN 19MM </t>
  </si>
  <si>
    <t>CANTO PVC PROADEC DIS.PEKAN 19MM</t>
  </si>
  <si>
    <t>CAPPEK22</t>
  </si>
  <si>
    <t>CANTO PROADEC PEKAN 22MM</t>
  </si>
  <si>
    <t>AGNEPLM106</t>
  </si>
  <si>
    <t>PELIKANO PLOMO 1C MT 2.15X2.44X0.006</t>
  </si>
  <si>
    <t>CANTO PVC PROADEC DIS.PEKAN 22MM</t>
  </si>
  <si>
    <t>AGNEPAP106</t>
  </si>
  <si>
    <t>PELIKANO PARAMO 1C PO 2.15X2.44X0.006</t>
  </si>
  <si>
    <t>CAPPEK29</t>
  </si>
  <si>
    <t>CANTO PVC PROADEC DIS.PEKAN 29MM</t>
  </si>
  <si>
    <t>AGNESAP106</t>
  </si>
  <si>
    <t>PELIKANO SANGRIA 1C PO 2.15X2.44X0.006</t>
  </si>
  <si>
    <t>CAPPEK33</t>
  </si>
  <si>
    <t>CANTO PVC PROADEC DIS.PEKAN 33MM</t>
  </si>
  <si>
    <t>CAPPEK44</t>
  </si>
  <si>
    <t>CANTO PVC ORANGE DIS.PEKAN 44MM</t>
  </si>
  <si>
    <t>CAPRAN22</t>
  </si>
  <si>
    <t>CANTO PVC 1MM PROADEC ROBLE ANTRACITA 22</t>
  </si>
  <si>
    <t>CANTO PVC 1MM PROADEC ROBLE ANTRACITA 22mm</t>
  </si>
  <si>
    <t>CAPRLO19</t>
  </si>
  <si>
    <t>CANTO PVC ORANGE  ROBLE CLARO 19MM</t>
  </si>
  <si>
    <t xml:space="preserve">CANTO PVC PROADEC DIS.ROBLE CLARO 19MM </t>
  </si>
  <si>
    <t>AGNEFMW315</t>
  </si>
  <si>
    <t>PELIKANO FLOR.M 1K WO 2.15X2.44X0.015</t>
  </si>
  <si>
    <t>CAPRLO22</t>
  </si>
  <si>
    <t xml:space="preserve">CANTO PVC PROADEC DIS.ROBLE CLARO 22MM </t>
  </si>
  <si>
    <t>AGNEFMW318</t>
  </si>
  <si>
    <t>PELIKANO FLOR.M 1K WO 2.15X2.44X0.018</t>
  </si>
  <si>
    <t>CAPRLO29</t>
  </si>
  <si>
    <t xml:space="preserve">CANTO PVC PROADEC DIS.ROBLE CLARO 29MM </t>
  </si>
  <si>
    <t>AGNEFMW325</t>
  </si>
  <si>
    <t>PELIKANO FLOR.M 1K WO 2.15X2.44X0.025</t>
  </si>
  <si>
    <t>CAPROA19</t>
  </si>
  <si>
    <t xml:space="preserve">CANTO PVC PROADEC DIS.ROBLE AHUMADO 19MM </t>
  </si>
  <si>
    <t>AGNEGGS215</t>
  </si>
  <si>
    <t>PELIKANO GR.GRA 2C SF 2.15X2.44X0.015</t>
  </si>
  <si>
    <t>CAPROA22</t>
  </si>
  <si>
    <t xml:space="preserve">CANTO PVC PROADEC DIS.ROBLE AHUMADO 22MM </t>
  </si>
  <si>
    <t>AGNEGGS216</t>
  </si>
  <si>
    <t>PELIKANO GR.GRA 2C SF 2.15X2.44X0.016</t>
  </si>
  <si>
    <t>CAPROA33</t>
  </si>
  <si>
    <t>CANTO PVC ORANGE DIS.ROBLE AHUMADO 33MM</t>
  </si>
  <si>
    <t>AGNEGRS106</t>
  </si>
  <si>
    <t>PELIKANO GRIS 1C SF 2.15X2.44X0.006</t>
  </si>
  <si>
    <t>CAPROA44</t>
  </si>
  <si>
    <t>CANTO PVC ORANGE DIS. ROBLE AHUMADO 44MM</t>
  </si>
  <si>
    <t>AGNEGRS206</t>
  </si>
  <si>
    <t>PELIKANO GRIS 2C SF 2.15X2.44X0.006</t>
  </si>
  <si>
    <t>CAPROG19</t>
  </si>
  <si>
    <t>CANTO PVC PROADEC ROBLE GRIS 19MM</t>
  </si>
  <si>
    <t>AGNEGRS215</t>
  </si>
  <si>
    <t>PELIKANO GRIS 2C SF 2.15X2.44X0.015</t>
  </si>
  <si>
    <t xml:space="preserve">CANTO PVC PROADEC DIS.ROBLE GRIS 19MM    </t>
  </si>
  <si>
    <t>AGNEGRS306</t>
  </si>
  <si>
    <t>PELIKANO GRIS 1C SF 2.15X2.44X0.007</t>
  </si>
  <si>
    <t>CAPROG22</t>
  </si>
  <si>
    <t xml:space="preserve"> CANTO PVC PROADEC DIS.GRIS 22 MM</t>
  </si>
  <si>
    <t>AGNEGRS406</t>
  </si>
  <si>
    <t>PELIKANO GRIS 2C SF 2.15X2.44X0.007</t>
  </si>
  <si>
    <t>CAPROM19</t>
  </si>
  <si>
    <t>CANTO PVC PROADEC ROBLE MORO 19MM</t>
  </si>
  <si>
    <t>AGNEHYW209</t>
  </si>
  <si>
    <t>PELIKANO HAYA 2C WO 2.15X2.44X0.009</t>
  </si>
  <si>
    <t>CAPROS19</t>
  </si>
  <si>
    <t>CANTO PVC PROADEC DIS.ROBLE OSCURO 19MM</t>
  </si>
  <si>
    <t>AGNELAS106</t>
  </si>
  <si>
    <t>PELIKANO LIN.AC 1C SF 2.15X2.44X0.006</t>
  </si>
  <si>
    <t>CAPROS22</t>
  </si>
  <si>
    <t>CANTO PVC PROADEC DIS.ROBLE OSCURO 22MM</t>
  </si>
  <si>
    <t>AGNELAS212</t>
  </si>
  <si>
    <t>PELIKANO WENGUE 2C WO 2.15X2.44X0.012</t>
  </si>
  <si>
    <t>CAPROS33</t>
  </si>
  <si>
    <t>CANTO PVC PROADEC DIS.ROBLE OSCURO 33MM</t>
  </si>
  <si>
    <t>AGNELAS215</t>
  </si>
  <si>
    <t>PELIKANO LIN.AC 2C SF 2.15X2.44X0.015</t>
  </si>
  <si>
    <t>CAPROV19</t>
  </si>
  <si>
    <t>CANTO PVC PROADEC DIS. ROVERE 19MM</t>
  </si>
  <si>
    <t>AGNELAS218</t>
  </si>
  <si>
    <t>PELIKANO LIN.AC 2C SF 2.15X2.44X0.018</t>
  </si>
  <si>
    <t>CAPROV22</t>
  </si>
  <si>
    <t>CANTO PVC PROADEC DIS.ROVERE 22MM</t>
  </si>
  <si>
    <t>AGNELAS236</t>
  </si>
  <si>
    <t>PELIKANO LIN.AC 2C SF 2.15X2.44X0.036</t>
  </si>
  <si>
    <t>CAPROV44</t>
  </si>
  <si>
    <t>CANTO PVC ORANGE DIS.ROVERE 44MM</t>
  </si>
  <si>
    <t>AGNELAS309</t>
  </si>
  <si>
    <t>PELIKANO LIN.AC 1K SF 2.15X2.44X0.009</t>
  </si>
  <si>
    <t>CAPSAD19</t>
  </si>
  <si>
    <t>CANTO PVC ORANGE DIS. SANTORINI DES 19MM</t>
  </si>
  <si>
    <t>AGNELAS315</t>
  </si>
  <si>
    <t>PELIKANO LIN.AC 1K SF 2.15X2.44X0.015</t>
  </si>
  <si>
    <t>CPSAN33R</t>
  </si>
  <si>
    <t>CANTO RIGIDO ORANGE SANGRIA 33MM</t>
  </si>
  <si>
    <t>AGNELIS106</t>
  </si>
  <si>
    <t>PELIKANO LINO 1C SF 2.15X2.44X0.006</t>
  </si>
  <si>
    <t>CAPSAL19</t>
  </si>
  <si>
    <t xml:space="preserve"> CANTO PVC PROADEC DIS.SALVAJE 19MM </t>
  </si>
  <si>
    <t>AGNELIS215</t>
  </si>
  <si>
    <t>PELIKANO LINO 2C SF 2.15X2.44X0.015</t>
  </si>
  <si>
    <t>CAPSAL22</t>
  </si>
  <si>
    <t>CANTO PVC PROADEC DIS. SALVAJE 22MM</t>
  </si>
  <si>
    <t>AGNELIS218</t>
  </si>
  <si>
    <t>PELIKANO LINO 2C SF 2.15X2.44X0.018</t>
  </si>
  <si>
    <t>CAPSAL33</t>
  </si>
  <si>
    <t>CANTO PVC ORANGE DIS.SALVAJE 33MM</t>
  </si>
  <si>
    <t>AGNELIS225</t>
  </si>
  <si>
    <t>PELIKANO LINO 2C SF 2.15X2.44X0.025</t>
  </si>
  <si>
    <t>CAPSAL44</t>
  </si>
  <si>
    <t>CANTO PVC ORANGE DIS.SALVAJE 44MM</t>
  </si>
  <si>
    <t>AGNELIS309</t>
  </si>
  <si>
    <t>PELIKANO LINO 1K SF 2.15X2.44X0.009</t>
  </si>
  <si>
    <t>CAPSAP19</t>
  </si>
  <si>
    <t>CANTO PVC PROADEC DIS.SAPELI 19MM</t>
  </si>
  <si>
    <t>AGNELIS315</t>
  </si>
  <si>
    <t>PELIKANO LINO 1K SF 2.15X2.44X0.015</t>
  </si>
  <si>
    <t>CANTO PVC PROADEC DIS.SAPELI 19MM.</t>
  </si>
  <si>
    <t>AGNELIS409</t>
  </si>
  <si>
    <t>PELIKANO LINO 1B SF 2.15X2.44X0.009</t>
  </si>
  <si>
    <t>CAPSAP22</t>
  </si>
  <si>
    <t>AGNELIW215</t>
  </si>
  <si>
    <t>PELIKANO LINO 2C WO 2.15X2.44X0.015</t>
  </si>
  <si>
    <t xml:space="preserve"> CANTO PVC PROADEC DIS.SAPELI 22 MM </t>
  </si>
  <si>
    <t>AGNELTM106</t>
  </si>
  <si>
    <t xml:space="preserve">PELIKANO LATTE 1C MT 2.15X2.44X0.006 </t>
  </si>
  <si>
    <t xml:space="preserve">CANTO PVC PROADEC DIS.SAPELI 22MM </t>
  </si>
  <si>
    <t>AGNELTM215</t>
  </si>
  <si>
    <t xml:space="preserve">PELIKANO LATTE 2C MT 2.15X2.44X0.015 </t>
  </si>
  <si>
    <t>CAPSAP33</t>
  </si>
  <si>
    <t>CANTO PVC PROADEC DIS.SAPELI 33MM</t>
  </si>
  <si>
    <t>AGNELTM218</t>
  </si>
  <si>
    <t xml:space="preserve">PELIKANO LATTE 2C MT 2.15X2.44X0.018 </t>
  </si>
  <si>
    <t>CAPSER19</t>
  </si>
  <si>
    <t>CANTO PVC PROADEC DIS. SERENA 19MM</t>
  </si>
  <si>
    <t>AGNELTM225</t>
  </si>
  <si>
    <t xml:space="preserve">PELIKANO LATTE 2C MT 2.15X2.44X0.025 </t>
  </si>
  <si>
    <t>CAPSER22</t>
  </si>
  <si>
    <t>CANTO PVC PROADEC DIS. SERENA 22MM</t>
  </si>
  <si>
    <t>AGNELTM236</t>
  </si>
  <si>
    <t xml:space="preserve">PELIKANO LATTE 2C MT 2.15X2.44X0.036 </t>
  </si>
  <si>
    <t>CAPSIE19</t>
  </si>
  <si>
    <t>CANTO PVC PROADEC DIS. SIENA 19MM</t>
  </si>
  <si>
    <t>AGNELTM309</t>
  </si>
  <si>
    <t xml:space="preserve">PELIKANO LATTE 1K MT 2.15X2.44X0.009 </t>
  </si>
  <si>
    <t>CAPSIE22</t>
  </si>
  <si>
    <t>CANTO PVC PROADEC DIS. SIENA 22MM</t>
  </si>
  <si>
    <t>AGNELTM315</t>
  </si>
  <si>
    <t xml:space="preserve">PELIKANO LATTE 1K MT 2.15X2.44X0.015 </t>
  </si>
  <si>
    <t>CAPSIE44</t>
  </si>
  <si>
    <t>CANTO PVC ORANGE DIS. SIENA 44MM</t>
  </si>
  <si>
    <t>AGNELTM415</t>
  </si>
  <si>
    <t>PELIKANO LATTE 1B MT 2.15X2.44X0.015</t>
  </si>
  <si>
    <t>CAPTAB22</t>
  </si>
  <si>
    <t>CANTO PVC PROADEC DIS TABACO CH 22MM</t>
  </si>
  <si>
    <t>AGNELTM515</t>
  </si>
  <si>
    <t>PELIKANO LATTE 1N MT 2.15X2.44X0.015</t>
  </si>
  <si>
    <t>CAPVOL44</t>
  </si>
  <si>
    <t>CANTO PVC PROADEC DIS. VOLCANO  44MM</t>
  </si>
  <si>
    <t>AGNEMAM106</t>
  </si>
  <si>
    <t>PELIKANO MANZANO  1C MX 2.15 X 2.44. 0.06</t>
  </si>
  <si>
    <t>CAPWCH19</t>
  </si>
  <si>
    <t>CANTO PROADEC PVC WHITE CHIC 19MM</t>
  </si>
  <si>
    <t>AGNEMAM215</t>
  </si>
  <si>
    <t>PELIKANO MANZANO  2C MX 2.15 X 2.44. 0.15</t>
  </si>
  <si>
    <t>CAPWCH22</t>
  </si>
  <si>
    <t>CANTO PVC PROADEC DIS. WHITE CHIC 22MM</t>
  </si>
  <si>
    <t>AGNEMAM218</t>
  </si>
  <si>
    <t>PELIKANO MANZANO  2C MX 2.15 X 2.44. 0.18</t>
  </si>
  <si>
    <t>CAPWEN16</t>
  </si>
  <si>
    <t xml:space="preserve">CANTO PVC PROADEC DIS.WENGUE 16MM   </t>
  </si>
  <si>
    <t>AGNEMAM309</t>
  </si>
  <si>
    <t>PELIKANO MANZAN 1K MT 2.15X2.44X0.009</t>
  </si>
  <si>
    <t>CAPWEN19</t>
  </si>
  <si>
    <t xml:space="preserve">CANTO PVC PROADEC DIS.WENGUE 19MM </t>
  </si>
  <si>
    <t>AGNEMES106</t>
  </si>
  <si>
    <t>PELIKANO MENTA  1C SF 2.15 X 2.44. 0.06</t>
  </si>
  <si>
    <t>CAPWEN22</t>
  </si>
  <si>
    <t xml:space="preserve">CANTO PVC PROADEC DIS.WENGUE 22MM </t>
  </si>
  <si>
    <t>AGNEMES215</t>
  </si>
  <si>
    <t>PELIKANO MENTA  2C SF 2.15 X 2.44. 0.15</t>
  </si>
  <si>
    <t>CAPWEN29</t>
  </si>
  <si>
    <t xml:space="preserve">CANTO PVC PROADEC DIS.WENGUE 29MM </t>
  </si>
  <si>
    <t>AGNEMES218</t>
  </si>
  <si>
    <t>PELIKANO MENTA  2C SF 2.15 X 2.44. 0.18</t>
  </si>
  <si>
    <t>CAPWEN33</t>
  </si>
  <si>
    <t>CANTO PVC ORANGE DIS.WENGUE 33MM</t>
  </si>
  <si>
    <t>AGNEMES236</t>
  </si>
  <si>
    <t>PELIKANO MENTA 2C SF 2.15X2.44X0.036</t>
  </si>
  <si>
    <t>CAPWEN44</t>
  </si>
  <si>
    <t xml:space="preserve">CANTO PVC PROADEC DIS.WENGUE 44MM </t>
  </si>
  <si>
    <t>AGNEMFM106</t>
  </si>
  <si>
    <t>PELIKANO MARFIL 1C MT 2.15X2.44X0.006</t>
  </si>
  <si>
    <t>CAPWPZ19</t>
  </si>
  <si>
    <t>CANTO PVC PROADEC DIS.WENGUE PZ 19MM</t>
  </si>
  <si>
    <t>AGNEMFM215</t>
  </si>
  <si>
    <t>PELIKANO MARFIL 2C MT 2.15X2.44X0.015</t>
  </si>
  <si>
    <t>CAPWPZ22</t>
  </si>
  <si>
    <t>CANTO PVC PROADEC DIS.WENGUE PZ 22MM</t>
  </si>
  <si>
    <t>AGNEMFM218</t>
  </si>
  <si>
    <t>PELIKANO MARFIL 2C MT 2.15X2.44X0.018</t>
  </si>
  <si>
    <t>CAPWPZ44</t>
  </si>
  <si>
    <t>CANTO PVC PROADEC DIS.WENGUE PZ 44MM</t>
  </si>
  <si>
    <t>AGNEMFM225</t>
  </si>
  <si>
    <t>PELIKANO MARFIL 2C MT 2.15X2.44X0.025</t>
  </si>
  <si>
    <t>CAPWSH22</t>
  </si>
  <si>
    <t>CANTO PVC PROADEC DIS.WENGUE SHYRAZ 22MM</t>
  </si>
  <si>
    <t>AGNEMFM236</t>
  </si>
  <si>
    <t>PELIKANO MARFIL 2C MT 2.15X2.44X0.036</t>
  </si>
  <si>
    <t>CAROA19R</t>
  </si>
  <si>
    <t>CANTO RIGIDO MOBILE ROBLE AHUMADO 19MM</t>
  </si>
  <si>
    <t>AGNEMFM309</t>
  </si>
  <si>
    <t>PELIKANO MARFIL 1K MT 2.15X2.44X0.009</t>
  </si>
  <si>
    <t>CAROB19R</t>
  </si>
  <si>
    <t>CANTO RIGIDO MOBILE ROBLE CLARO 19 MM</t>
  </si>
  <si>
    <t>AGNEMFM315</t>
  </si>
  <si>
    <t>PELIKANO MARFIL 1K MT 2.15X2.44X0.015</t>
  </si>
  <si>
    <t>CAROB22R</t>
  </si>
  <si>
    <t>CANTO RIGIDO MOBILE ROBLE CLARO 22 MM</t>
  </si>
  <si>
    <t>AGNEMFV106</t>
  </si>
  <si>
    <t>PELIKANO MARFIL 1C MX 2.15X2.44X0.006</t>
  </si>
  <si>
    <t>CAROB33R</t>
  </si>
  <si>
    <t>CANTO RIGIDO MOBILE ROBLE CLARO 33 MM</t>
  </si>
  <si>
    <t>AGNEMFV115</t>
  </si>
  <si>
    <t>PELIKANO MARFIL 1C MX 2.15X2.44X0.015</t>
  </si>
  <si>
    <t>CAROV22R</t>
  </si>
  <si>
    <t>CANTO RIGIDO MOBILE ROVERE 22MM</t>
  </si>
  <si>
    <t>AGNEMFW215</t>
  </si>
  <si>
    <t>PELIKANO MARFIL 2C WO 2.15X2.44X0.015</t>
  </si>
  <si>
    <t>CHGBCO22</t>
  </si>
  <si>
    <t>CANTO ABS 1MM PROADEC BLANCO NIEVE 22MM</t>
  </si>
  <si>
    <t>AGNEMFW325</t>
  </si>
  <si>
    <t>PELIKANO MARFIL 1K WO 2.15X2.44X0.025</t>
  </si>
  <si>
    <t>CHGBCO44</t>
  </si>
  <si>
    <t>CANTO ABS 1MM PROADEC BLANCO NIEVE 44MM</t>
  </si>
  <si>
    <t>AGNEMOV106</t>
  </si>
  <si>
    <t>PELIKANO MOKA 1C MX 2.15X2.44X0.006</t>
  </si>
  <si>
    <t>CHGCIL22</t>
  </si>
  <si>
    <t>CANTO ABS 1MM PROADEC CILIEGIO CINZA 22M</t>
  </si>
  <si>
    <t>AGNEMOV215</t>
  </si>
  <si>
    <t>PELIKANO MOKA 2C MX 2.15X2.44X0.015</t>
  </si>
  <si>
    <t>CANTO ABS 1MM PROADEC CILIEGIO CINZA 22MM</t>
  </si>
  <si>
    <t>AGNEMOV218</t>
  </si>
  <si>
    <t>PELIKANO MOKA 2C MX 2.15X2.44X0.018</t>
  </si>
  <si>
    <t>CHGCIL44</t>
  </si>
  <si>
    <t>CANTO ABS 1MM PROADEC CILIEGIO CINZA 44M</t>
  </si>
  <si>
    <t>AGNEMOV225</t>
  </si>
  <si>
    <t>PELIKANO MOKA 2C MX 2.15X2.44X0.025</t>
  </si>
  <si>
    <t>CHGNEG22</t>
  </si>
  <si>
    <t>CANTO ABS 1MM PROADEC NEGRO MALAGA 22MM</t>
  </si>
  <si>
    <t>AGNEMOV236</t>
  </si>
  <si>
    <t>PELIKANO MOKA 2C MX 2.15X2.44X0.036</t>
  </si>
  <si>
    <t>CHGNEG44</t>
  </si>
  <si>
    <t>CANTO ABS 1MM PROADEC NEGRO MALAGA 44MM</t>
  </si>
  <si>
    <t>AGNEMOV309</t>
  </si>
  <si>
    <t>PELIKANO MOKA 1K MX 2.15X2.44X0.009</t>
  </si>
  <si>
    <t>CHGROV22</t>
  </si>
  <si>
    <t>CANTO ABS 1MM PROADEC ROVERE CINZA 22M</t>
  </si>
  <si>
    <t>AGNEMOV315</t>
  </si>
  <si>
    <t>PELIKANO MOKA 1K MX 2.15X2.44X0.015</t>
  </si>
  <si>
    <t>CHGROV44</t>
  </si>
  <si>
    <t>CANTO ABS 1MM PROADEC ROVERE CINZA 44M</t>
  </si>
  <si>
    <t>AGNEMOW106</t>
  </si>
  <si>
    <t>PELIKANO MOKA 1C WO 2.15X2.44X0.006</t>
  </si>
  <si>
    <t>CLAMAR19R</t>
  </si>
  <si>
    <t>CANTO RIGIDO MOBILE AMARETTO 19MM</t>
  </si>
  <si>
    <t>AGNEMOW109</t>
  </si>
  <si>
    <t>PELIKANO MOKA 1C WO 2.15X2.44X0.009</t>
  </si>
  <si>
    <t>CLAMR19R</t>
  </si>
  <si>
    <t>CANTO RIGIDO LIGDECOR AMARETTO  19MM</t>
  </si>
  <si>
    <t>AGNEMOW206</t>
  </si>
  <si>
    <t>PELIKANO MOKA 2C WO 2.15X2.44X0.006</t>
  </si>
  <si>
    <t>CLAMR22R</t>
  </si>
  <si>
    <t>CANTO RIGIDO LIGDECOR AMARETTO 22MM</t>
  </si>
  <si>
    <t>AGNEMOW209</t>
  </si>
  <si>
    <t>PELIKANO MOKA 2C WO 2.15X2.44X0.009</t>
  </si>
  <si>
    <t>CLBCO19R</t>
  </si>
  <si>
    <t>CANTO RIGIDO LIGNADECOR BLANCO 19MM</t>
  </si>
  <si>
    <t>AGNEMOW212</t>
  </si>
  <si>
    <t>PELIKANO MOKA 2C WO 2.15X2.44X0.012</t>
  </si>
  <si>
    <t>CLBCO22R</t>
  </si>
  <si>
    <t>CANTO RIGIDO LIGNADECOR BLANCO 22MM</t>
  </si>
  <si>
    <t>AGNEMOW215</t>
  </si>
  <si>
    <t>PELIKANO MOKA 2C WO 2.15X2.44X0.015</t>
  </si>
  <si>
    <t>CLBCO33R</t>
  </si>
  <si>
    <t>CANTO RIGIDO LIGDECOR BLANCO 33MM</t>
  </si>
  <si>
    <t>AGNEMOW218</t>
  </si>
  <si>
    <t>PELIKANO MOKA 2C WO 2.15X2.44X0.018</t>
  </si>
  <si>
    <t>CLGRI22R</t>
  </si>
  <si>
    <t>CANTO RIGIDO ORANGE GRIS 22MM</t>
  </si>
  <si>
    <t>AGNEMOW225</t>
  </si>
  <si>
    <t>PELIKANO MOKA 2C WO 2.15X2.44X0.025</t>
  </si>
  <si>
    <t>CLGRI33R</t>
  </si>
  <si>
    <t>CANTO RIGIDO ORANGE GRIS 33MM</t>
  </si>
  <si>
    <t>AGNEMOW230</t>
  </si>
  <si>
    <t>PELIKANO MOKA 2C WO 2.15X2.44X0.030</t>
  </si>
  <si>
    <t>CLNEG19R</t>
  </si>
  <si>
    <t>CANTO RIGIDO ORANGE NEGRO 19MM</t>
  </si>
  <si>
    <t>AGNEMOW236</t>
  </si>
  <si>
    <t>PELIKANO MOKA 2C WO 2.15X2.44X0.036</t>
  </si>
  <si>
    <t>CLNEG22R</t>
  </si>
  <si>
    <t>CANTO RIGIDO ORANGE NEGRO 22MM</t>
  </si>
  <si>
    <t>AGNEMOW306</t>
  </si>
  <si>
    <t>PELIKANO MOKA 1K WO 2.15X2.44X0.006</t>
  </si>
  <si>
    <t>CLPEK19R</t>
  </si>
  <si>
    <t>CANTO RIGIDO LIGNADECOR PEKAN 19MM</t>
  </si>
  <si>
    <t>AGNEMOW309</t>
  </si>
  <si>
    <t>PELIKANO MOKA 1K WO 2.15X2.44X0.009</t>
  </si>
  <si>
    <t>CLPEK22R</t>
  </si>
  <si>
    <t>CANTO RIGIDO LIGDECOR  PEKAN 22MM</t>
  </si>
  <si>
    <t>AGNEMOW312</t>
  </si>
  <si>
    <t>PELIKANO MOKA 1K WO 2.15X2.44X0.012</t>
  </si>
  <si>
    <t>CLROA19R</t>
  </si>
  <si>
    <t>CANTO RIGIDO ORANGE ROBLE AHU. 19MM</t>
  </si>
  <si>
    <t>AGNRMIP215</t>
  </si>
  <si>
    <t>PELIKANO RH MIEL 2C PO 2.15X2.44X0.015</t>
  </si>
  <si>
    <t>CLROA22R</t>
  </si>
  <si>
    <t>CANTO RIGIDO LIGNADECOR ROBLE AHUMADO 22MM</t>
  </si>
  <si>
    <t>AGNEMOW515</t>
  </si>
  <si>
    <t>PELIKANO MOKA 1N WO 2.15X2.44X0.015</t>
  </si>
  <si>
    <t>CLROG19R</t>
  </si>
  <si>
    <t>CANTO RIGIDO LIGDECOR  ROBLE GRIS  19MM</t>
  </si>
  <si>
    <t>AGNEMPV215</t>
  </si>
  <si>
    <t xml:space="preserve">PELIKANO MAPLE 2C MX 2.15X2.44X0.015 </t>
  </si>
  <si>
    <t>CLROG22R</t>
  </si>
  <si>
    <t>CANTO RIGIDO LIGDECOR  ROBLE GRIS  22MM</t>
  </si>
  <si>
    <t>AGNEMPW106</t>
  </si>
  <si>
    <t xml:space="preserve">PELIKANO MAPLE 1C WO 2.15X2.44X0.006 </t>
  </si>
  <si>
    <t>CLROV19R</t>
  </si>
  <si>
    <t>CANTO RIGIDO ORANGE ROVERE 19MM</t>
  </si>
  <si>
    <t>AGNEMPW215</t>
  </si>
  <si>
    <t xml:space="preserve">PELIKANO MAPLE 2C WO 2.15X2.44X0.015 </t>
  </si>
  <si>
    <t>CLROV22R</t>
  </si>
  <si>
    <t>CANTO RIGIDO ORANGE ROVERE 22MM</t>
  </si>
  <si>
    <t>AGNEMPW218</t>
  </si>
  <si>
    <t xml:space="preserve">PELIKANO MAPLE 2C WO 2.15X2.44X0.018 </t>
  </si>
  <si>
    <t>CLWEN19R</t>
  </si>
  <si>
    <t>CANTO RIGIDO LIGNADECOR WENGUE 19MM</t>
  </si>
  <si>
    <t>AGNEMPW225</t>
  </si>
  <si>
    <t xml:space="preserve">PELIKANO MAPLE 2C WO 2.15X2.44X0.025 </t>
  </si>
  <si>
    <t>CLWEN22R</t>
  </si>
  <si>
    <t>CANTO RIGIDO LIGDECOR WENGUE  22MM</t>
  </si>
  <si>
    <t>AGNEMPW315</t>
  </si>
  <si>
    <t xml:space="preserve">PELIKANO MAPLE 1K WO 2.15X2.44X0.015 </t>
  </si>
  <si>
    <t>CPABL22R</t>
  </si>
  <si>
    <t xml:space="preserve">CANTO RIGIDO PROADEC ABEDUL LAP 22MM </t>
  </si>
  <si>
    <t>AGNEMUW106</t>
  </si>
  <si>
    <t>PELIKANO MUESTRAS CATALOGOS 6MM</t>
  </si>
  <si>
    <t>CPABL33R</t>
  </si>
  <si>
    <t xml:space="preserve"> CANTO RIGIDO PROADEC ABEDUL LAP 33MM </t>
  </si>
  <si>
    <t>AGNENAS215</t>
  </si>
  <si>
    <t>PELIKANO NARANJ 2C SF 2.15X2.44X0.015</t>
  </si>
  <si>
    <t>CPALP22R</t>
  </si>
  <si>
    <t xml:space="preserve">CANTO RIGIDO PROADEC ALPI 22MM </t>
  </si>
  <si>
    <t>AGNENAS218</t>
  </si>
  <si>
    <t>PELIKANO NARANJ 2C SF 2.15X2.44X0.018</t>
  </si>
  <si>
    <t>CPALP33R</t>
  </si>
  <si>
    <t xml:space="preserve">CANTO RIGIDO PROADEC ALPI 33MM </t>
  </si>
  <si>
    <t>AGNENAS236</t>
  </si>
  <si>
    <t>PELIKANO NARANJ 2C SF 2.15X2.44X0.036</t>
  </si>
  <si>
    <t>CPALU19R</t>
  </si>
  <si>
    <t>CANTO RIGIDO PROADEC ALUMINIO 19MM</t>
  </si>
  <si>
    <t>AGNENAS309</t>
  </si>
  <si>
    <t>CPALU22R</t>
  </si>
  <si>
    <t xml:space="preserve">CANTO RIGIDO PROADEC ALUMINO 22MM </t>
  </si>
  <si>
    <t>AGNENEL209</t>
  </si>
  <si>
    <t>PELIKANO NEGRO 2C LS 2.15X2.44X0.009</t>
  </si>
  <si>
    <t>CPAMA22R</t>
  </si>
  <si>
    <t>CANTO RIGIDO PROADEC AZUL MARINO 22MM</t>
  </si>
  <si>
    <t>AGNENEL215</t>
  </si>
  <si>
    <t>PELIKANO NEGRO 2C LS 2.15X2.44X0.015</t>
  </si>
  <si>
    <t>CPAMR19R</t>
  </si>
  <si>
    <t>CANTO RIGIDO PROADEC AMARETTO 19MM</t>
  </si>
  <si>
    <t>AGNENEL218</t>
  </si>
  <si>
    <t>PELIKANO NEGRO 2C LS 2.15X2.44X0.018</t>
  </si>
  <si>
    <t>CPAMR22R</t>
  </si>
  <si>
    <t>CANTO RIGIDO PROADEC AMARETTO 22MM</t>
  </si>
  <si>
    <t>AGNENES106</t>
  </si>
  <si>
    <t>PELIKANO NEGRO 1C SF 2.15X2.44X0.006</t>
  </si>
  <si>
    <t>CPAMR33R</t>
  </si>
  <si>
    <t>CANTO RIGIDO ORANGE AMARETTO 33MM</t>
  </si>
  <si>
    <t>AGNENES212</t>
  </si>
  <si>
    <t xml:space="preserve">PELIKANO NEGRO 2C SF 2.15X2.44X0.012 </t>
  </si>
  <si>
    <t>CPARC19R</t>
  </si>
  <si>
    <t>CANTO RIGIDO ORANGE ARIZONA CROSS 19MM</t>
  </si>
  <si>
    <t>AGNENES215</t>
  </si>
  <si>
    <t xml:space="preserve">PELIKANO NEGRO 2C SF 2.15X2.44X0.015 </t>
  </si>
  <si>
    <t>CPART19R</t>
  </si>
  <si>
    <t xml:space="preserve">CANTO RIGIDO PROADEC ARTIKO 19MM </t>
  </si>
  <si>
    <t>AGNENES218</t>
  </si>
  <si>
    <t xml:space="preserve">PELIKANO NEGRO 2C SF 2.15X2.44X0.018 </t>
  </si>
  <si>
    <t>CPART22R</t>
  </si>
  <si>
    <t>CANTO RIGIDO PROADEC ARTIKO 22MM</t>
  </si>
  <si>
    <t>AGNENES309</t>
  </si>
  <si>
    <t>PELIKANO NEGRO 1K SF 2.15X2.44X0.009</t>
  </si>
  <si>
    <t xml:space="preserve">CANTO RIGIDO PROADEC ARTIKO 22MM </t>
  </si>
  <si>
    <t>AGNENES315</t>
  </si>
  <si>
    <t>PELIKANO NEGRO 1K SF 2.15X2.44X0.015</t>
  </si>
  <si>
    <t>CPART29R</t>
  </si>
  <si>
    <t xml:space="preserve">CANTO RIGIDO PROADEC ARTIKO 29MM   </t>
  </si>
  <si>
    <t>AGNENES318</t>
  </si>
  <si>
    <t xml:space="preserve">PELIKANO NEGRO 1K SF 2.15X2.44X0.018 </t>
  </si>
  <si>
    <t>CPART33R</t>
  </si>
  <si>
    <t>CANTO RIGIDO PROADEC DIS. ARTIKO 33MM</t>
  </si>
  <si>
    <t>AGNENEV215</t>
  </si>
  <si>
    <t xml:space="preserve">PELIKANO NEGRO 2C MX 2.15X2.44X0.015 </t>
  </si>
  <si>
    <t xml:space="preserve"> CANTO RIGIDO PROADEC ARTIKO 33MM  </t>
  </si>
  <si>
    <t>AGNENGW106</t>
  </si>
  <si>
    <t xml:space="preserve">PELIKANO NOGAL 1C WO 2.15X2.44X0.006 </t>
  </si>
  <si>
    <t>CPART44R</t>
  </si>
  <si>
    <t>CANTO RIGIDO ORANGE ARTIKO  44MM</t>
  </si>
  <si>
    <t>AGNENGW115</t>
  </si>
  <si>
    <t xml:space="preserve">PELIKANO NOGAL 1C WO 2.15X2.44X0.015 </t>
  </si>
  <si>
    <t>CPASD19R</t>
  </si>
  <si>
    <t>CANTO RIGIDO PROADEC ASIAN SAND 19MM</t>
  </si>
  <si>
    <t>AGNENGW118</t>
  </si>
  <si>
    <t xml:space="preserve">PELIKANO NOGAL 1C WO 2.15X2.44X0.018 </t>
  </si>
  <si>
    <t>CPASD33R</t>
  </si>
  <si>
    <t>CANTO RIGIDO PROADEC ASIAN SAND 33MM</t>
  </si>
  <si>
    <t>AGNENGW206</t>
  </si>
  <si>
    <t xml:space="preserve">PELIKANO NOGAL 2C WO 2.15X2.44X0.006 </t>
  </si>
  <si>
    <t>CPBCO19R</t>
  </si>
  <si>
    <t>CANTO RIGIDO PROADEC DIS. BLANCO 19MM</t>
  </si>
  <si>
    <t>AGNENGW209</t>
  </si>
  <si>
    <t xml:space="preserve">PELIKANO NOGAL 2C WO 2.15X2.44X0.009 </t>
  </si>
  <si>
    <t>CPBCO22R</t>
  </si>
  <si>
    <t>CANTO RIGIDO PROADEC BLANCO 22MM</t>
  </si>
  <si>
    <t>AGNENGW212</t>
  </si>
  <si>
    <t xml:space="preserve">PELIKANO NOGAL 2C WO 2.15X2.44X0.012 </t>
  </si>
  <si>
    <t>CPBCO33R</t>
  </si>
  <si>
    <t>CANTO RIGIDO PROADEC DIS. BLANCO 33MM</t>
  </si>
  <si>
    <t>AGNENGW215</t>
  </si>
  <si>
    <t xml:space="preserve">PELIKANO NOGAL 2C WO 2.15X2.44X0.015 </t>
  </si>
  <si>
    <t>CPBMQ22R</t>
  </si>
  <si>
    <t>CANTO RIGIDO ORANGE BLANCO 22MM</t>
  </si>
  <si>
    <t>AGNENGW218</t>
  </si>
  <si>
    <t xml:space="preserve">PELIKANO NOGAL 2C WO 2.15X2.44X0.018 </t>
  </si>
  <si>
    <t>CPBMQ33R</t>
  </si>
  <si>
    <t>CANTO RIGIDO PROADEC BLANCO MARQUEZ 33MM</t>
  </si>
  <si>
    <t>AGNENGW225</t>
  </si>
  <si>
    <t xml:space="preserve">PELIKANO NOGAL 2C WO 2.15X2.44X0.025 </t>
  </si>
  <si>
    <t>CPBMQ44R</t>
  </si>
  <si>
    <t>CANTO RIGIDO PROADEC BLANCO MARQUEZ 44MM</t>
  </si>
  <si>
    <t>AGNENGW236</t>
  </si>
  <si>
    <t>PELIKANO NOGAL 2C WO 2.15X2.44X0.036</t>
  </si>
  <si>
    <t>CPBRU22R</t>
  </si>
  <si>
    <t>CANTO RIGIDO ORANGE BRUMA 22MM</t>
  </si>
  <si>
    <t>AGNENGW309</t>
  </si>
  <si>
    <t xml:space="preserve">PELIKANO NOGAL 1K WO 2.15X2.44X0.009 </t>
  </si>
  <si>
    <t>CPBRU33R</t>
  </si>
  <si>
    <t>CANTO RIGIDO ORANGE BRUMA 33MM</t>
  </si>
  <si>
    <t>AGNENGW312</t>
  </si>
  <si>
    <t xml:space="preserve">PELIKANO NOGAL 1K WO 2.15X2.44X0.012 </t>
  </si>
  <si>
    <t>CPCAO22R</t>
  </si>
  <si>
    <t>CANTO RIGIDO ORANGE CAOBA 22MM</t>
  </si>
  <si>
    <t>AGNENGW315</t>
  </si>
  <si>
    <t xml:space="preserve">PELIKANO NOGAL 1K WO 2.15X2.44X0.015 </t>
  </si>
  <si>
    <t>CPCAO33R</t>
  </si>
  <si>
    <t>CANTO RIGIDO ORANGE CAOBA 33MM</t>
  </si>
  <si>
    <t>AGNEOLM106</t>
  </si>
  <si>
    <t xml:space="preserve">PELIKANO OLIVO 1C MT 2.15X2.44X0.006 </t>
  </si>
  <si>
    <t>CPCAP19R</t>
  </si>
  <si>
    <t>CANTO RIGIDO ORANGE CAPUCCINO 19MM</t>
  </si>
  <si>
    <t>AGNEOLM215</t>
  </si>
  <si>
    <t xml:space="preserve">PELIKANO OLIVO 2C MT 2.15X2.44X0.015 </t>
  </si>
  <si>
    <t>CPCAP22R</t>
  </si>
  <si>
    <t>CANTO RIGIDO ORANGE CAPUCCINO 22MM</t>
  </si>
  <si>
    <t>AGNEOLM218</t>
  </si>
  <si>
    <t xml:space="preserve">PELIKANO OLIVO 2C MT 2.15X2.44X0.018 </t>
  </si>
  <si>
    <t>CPCAR19R</t>
  </si>
  <si>
    <t>CANTO RIGIDO PROADEC DIS.CARAMELO19MM</t>
  </si>
  <si>
    <t>AGNEOLM225</t>
  </si>
  <si>
    <t xml:space="preserve">PELIKANO OLIVO 2C MT 2.15X2.44X0.025 </t>
  </si>
  <si>
    <t>CPCAR22R</t>
  </si>
  <si>
    <t>CANTO RIGIDO PROADEC CARAMELO 22MM</t>
  </si>
  <si>
    <t>AGNEOLM230</t>
  </si>
  <si>
    <t>PELIKANO OLIVO 2C MT 2.15X2.44X0.030</t>
  </si>
  <si>
    <t>CPCAR33R</t>
  </si>
  <si>
    <t>CANTO RIGIDO PROADEC CARAMELO  33MM</t>
  </si>
  <si>
    <t>AGNEOLM236</t>
  </si>
  <si>
    <t xml:space="preserve">PELIKANO OLIVO 2C MT 2.15X2.44X0.036 </t>
  </si>
  <si>
    <t>CPCAR44R</t>
  </si>
  <si>
    <t>CANTO RIGIDO ORANGE CARAMELO 44MM</t>
  </si>
  <si>
    <t>AGNEOLM309</t>
  </si>
  <si>
    <t>PELIKANO OLIVO 1K MT 2.15X2.44X0.009</t>
  </si>
  <si>
    <t>CPCEM22R</t>
  </si>
  <si>
    <t>CANTO RIGIDO PROADEC CEMENTO 22MM</t>
  </si>
  <si>
    <t>AGNEOLM315</t>
  </si>
  <si>
    <t>PELIKANO OLIVO 1K MT 2.15X2.44X0.015</t>
  </si>
  <si>
    <t>CPCEM33R</t>
  </si>
  <si>
    <t>CANTO RIGIDO ORANGE CEMENTO 33MM</t>
  </si>
  <si>
    <t>AGNEOLM415</t>
  </si>
  <si>
    <t>PELIKANO OLIVO 1B MT 2.15X2.44X0.015</t>
  </si>
  <si>
    <t>CPCER19R</t>
  </si>
  <si>
    <t xml:space="preserve">CANTO RIGIDO PROADEC CEREZO 19MM </t>
  </si>
  <si>
    <t>AGNEOLM515</t>
  </si>
  <si>
    <t>PELIKANO OLIVO 1N MT 2.15X2.44X0.015</t>
  </si>
  <si>
    <t>CPCES19R</t>
  </si>
  <si>
    <t>CANTO RIGIDO ORANGE CAFE ESPRESSO 19MM</t>
  </si>
  <si>
    <t>AGNEOLS215</t>
  </si>
  <si>
    <t>PELIKANO OLIVO 2C SF 2.15X2.44X0.015</t>
  </si>
  <si>
    <t>CPCES22R</t>
  </si>
  <si>
    <t>CANTO RIGIDO PROADEC DIS CAFÉ ESPRESSO 22MM</t>
  </si>
  <si>
    <t>AGNEOLS225</t>
  </si>
  <si>
    <t>PELIKANO OLIVO 2C SF 2.15X2.44X0.025</t>
  </si>
  <si>
    <t>CPCES44R</t>
  </si>
  <si>
    <t>CANTO RIGIDO ORANGE CAFE ESPRESSO 44MM</t>
  </si>
  <si>
    <t>AGNEOLS236</t>
  </si>
  <si>
    <t>PELIKANO OLIVO 2C SF 2.15X2.44X0.036</t>
  </si>
  <si>
    <t>CPCHA22R</t>
  </si>
  <si>
    <t>CANTO RIGIDO ORANGE CHANTILLI 22MM</t>
  </si>
  <si>
    <t>AGNEOLV218</t>
  </si>
  <si>
    <t>PELIKANO OLIVO 2C  MX 2.15X2.44X0.0018</t>
  </si>
  <si>
    <t>CPCHE22R</t>
  </si>
  <si>
    <t>CANTO RIGIDO WILD CHERRY 22MM</t>
  </si>
  <si>
    <t>AGNEOLW236</t>
  </si>
  <si>
    <t>PELIKANO OLIVO 2C WO 2.15X2.44X0.036</t>
  </si>
  <si>
    <t>CPCHE33R</t>
  </si>
  <si>
    <t>CANTO RIGIDO PROADEC CHERRY   33MM</t>
  </si>
  <si>
    <t>AGNEOMM106</t>
  </si>
  <si>
    <t>PELIKANO OLMO 1C MT 2.15X2.44X0.006</t>
  </si>
  <si>
    <t>CPCNZ19R</t>
  </si>
  <si>
    <t>CANTO RIGIDO ORANGE CENIZA 19MM</t>
  </si>
  <si>
    <t>AGNEOMM212</t>
  </si>
  <si>
    <t>PELIKANO OLMO 2C MT 2.15X2.44X0.012</t>
  </si>
  <si>
    <t>CPCNZ22R</t>
  </si>
  <si>
    <t>CANTO RIGIDO PROADEC CENIZA 22MM</t>
  </si>
  <si>
    <t>AGNEOMM215</t>
  </si>
  <si>
    <t>PELIKANO OLMO 2C MT 2.15X2.44X0.015</t>
  </si>
  <si>
    <t>CPCNZ44R</t>
  </si>
  <si>
    <t>CANTO RIGIDO ORANGE CENIZA 44MM</t>
  </si>
  <si>
    <t>AGNEOMM218</t>
  </si>
  <si>
    <t>PELIKANO OLMO 2C MT 2.15X2.44X0.018</t>
  </si>
  <si>
    <t>CPCOR22R</t>
  </si>
  <si>
    <t>CANTO RIGIDO PROADEC CORAL 22MM</t>
  </si>
  <si>
    <t>AGNEOMM236</t>
  </si>
  <si>
    <t>PELIKANO OLMO 2C MT 2.15X2.44X0.036</t>
  </si>
  <si>
    <t>CPCOR44R</t>
  </si>
  <si>
    <t>CANTO RIGIDO ORANGE CORAL 44MM</t>
  </si>
  <si>
    <t>AGNEOMM309</t>
  </si>
  <si>
    <t>PELIKANO OLMO 1K MT 2.15X2.44X0.009</t>
  </si>
  <si>
    <t>CPEBA19R</t>
  </si>
  <si>
    <t>CANTO RIGIDO PROADEC DIS.EBANO 19MM</t>
  </si>
  <si>
    <t>AGNEOMM315</t>
  </si>
  <si>
    <t>PELIKANO OLMO 1K MT 2.15X2.44X0.015</t>
  </si>
  <si>
    <t>CPEBA22R</t>
  </si>
  <si>
    <t>CANTO RIGIDO PROADEC EBANO 22MM</t>
  </si>
  <si>
    <t>AGNEOMV106</t>
  </si>
  <si>
    <t>PELIKANO OLMO 1C MX 2.15X2.44X0.006</t>
  </si>
  <si>
    <t xml:space="preserve">CANTO RIGIDO PROADEC EBANO 22MM     </t>
  </si>
  <si>
    <t>AGNEOMV215</t>
  </si>
  <si>
    <t>PELIKANO OLMO 2C MX 2.15X2.44X0.015</t>
  </si>
  <si>
    <t>CPEBA29R</t>
  </si>
  <si>
    <t xml:space="preserve">CANTO RIGIDO PROADEC EBANO 29MM     </t>
  </si>
  <si>
    <t>AGNEOMV218</t>
  </si>
  <si>
    <t>PELIKANO OLMO 2C MX 2.15X2.44X0.018</t>
  </si>
  <si>
    <t>CPEBA33R</t>
  </si>
  <si>
    <t xml:space="preserve">CANTO RIGIDO PROADEC EBANO 33MM     </t>
  </si>
  <si>
    <t>AGNEOMV236</t>
  </si>
  <si>
    <t>PELIKANO OLMO 2C MX 2.15X2.44X0.036</t>
  </si>
  <si>
    <t>CPEBA44R</t>
  </si>
  <si>
    <t xml:space="preserve">CANTO RIGIDO PROADEC EBANO 44MM     </t>
  </si>
  <si>
    <t>AGNEOMW106</t>
  </si>
  <si>
    <t>PELIKANO OLMO 1C WO 2.15X2.44X0.006</t>
  </si>
  <si>
    <t>CPFEU22R</t>
  </si>
  <si>
    <t>CANTO RIGIDO PROADEC FRESNO EU. 22MM</t>
  </si>
  <si>
    <t>AGNEOMW215</t>
  </si>
  <si>
    <t>PELIKANO OLMO 2C WO 2.15X2.44X0.015</t>
  </si>
  <si>
    <t>CPFMO19R</t>
  </si>
  <si>
    <t xml:space="preserve">CANTO RIGIDO PROADEC FLOR MORADO 19MM </t>
  </si>
  <si>
    <t>AGNEOMW225</t>
  </si>
  <si>
    <t>PELIKANO OLMO 2C WO 2.15X2.44X0.025</t>
  </si>
  <si>
    <t>CPFMO22R</t>
  </si>
  <si>
    <t xml:space="preserve">CANTO RIGIDO PROADEC FLORMORADO 22MM </t>
  </si>
  <si>
    <t>AGNEOXIS215</t>
  </si>
  <si>
    <t>PELIKANO OXID 2C SF. 2.15X2.44X0.015</t>
  </si>
  <si>
    <t xml:space="preserve">CANTO RIGIDO PROADEC FLOR MORADO 22MM </t>
  </si>
  <si>
    <t>AGNEOXS106</t>
  </si>
  <si>
    <t>PELIKANO OXID 1C SF 2.15X2.44X0.006</t>
  </si>
  <si>
    <t>CPFMO29R</t>
  </si>
  <si>
    <t xml:space="preserve">CANTO RIGIDO PROADEC FLOR MORADO 29MM </t>
  </si>
  <si>
    <t>AGNEOXS215</t>
  </si>
  <si>
    <t>PELIKANO OXID 2C SF 2.15X2.44X0.015</t>
  </si>
  <si>
    <t>CPFMO33R</t>
  </si>
  <si>
    <t xml:space="preserve">CANTO RIGIDO PROADEC FLOR MORADO 33MM </t>
  </si>
  <si>
    <t>AGNEOXS218</t>
  </si>
  <si>
    <t>PELIKANO OXID 2C SF 2.15X2.44X0.018</t>
  </si>
  <si>
    <t>CPGRH33R</t>
  </si>
  <si>
    <t xml:space="preserve"> CANTO RIGIDO ORANGE GRIS HUMO 33MM  </t>
  </si>
  <si>
    <t>AGNEOXS236</t>
  </si>
  <si>
    <t>PELIKANO OXID 2C SF 2.15X2.44X0.36</t>
  </si>
  <si>
    <t>CPHAW22R</t>
  </si>
  <si>
    <t xml:space="preserve">CANTO RIGIDO PROADEC HAYA WOOD 22MM     </t>
  </si>
  <si>
    <t>AGNEOXS309</t>
  </si>
  <si>
    <t>PELIKANO OXID 1K SF 2.15X2.44X0.09</t>
  </si>
  <si>
    <t>CPHUM22R</t>
  </si>
  <si>
    <t>CANTO RIGIDO ORANGE HUMO 22MM</t>
  </si>
  <si>
    <t>AGNEPEM215</t>
  </si>
  <si>
    <t xml:space="preserve">PELIKANO PERAL 2C MT 2.15X2.44X0.015 </t>
  </si>
  <si>
    <t>CPHUM33R</t>
  </si>
  <si>
    <t>CANTO RIGIDO ORANGE HUMO 33MM</t>
  </si>
  <si>
    <t>AGNEPEW106</t>
  </si>
  <si>
    <t xml:space="preserve">PELIKANO PERAL 1C WO 2.15X2.44X0.006 </t>
  </si>
  <si>
    <t>CPLAT22R</t>
  </si>
  <si>
    <t>CANTO RIGIDO PROADEC DIS. LATTE 22MM</t>
  </si>
  <si>
    <t>AGNEPEW215</t>
  </si>
  <si>
    <t xml:space="preserve">PELIKANO PERAL 2C WO 2.15X2.44X0.015 </t>
  </si>
  <si>
    <t xml:space="preserve">CANTO RIGIDO PROADEC LATE 22 MM  </t>
  </si>
  <si>
    <t>AGNEPKM215</t>
  </si>
  <si>
    <t xml:space="preserve">PELIKANO PEKAN 2C MT 2.15X2.44X0.015 </t>
  </si>
  <si>
    <t>CPLAT33R</t>
  </si>
  <si>
    <t xml:space="preserve"> CANTO RIGIDO PROADEC LATE 33MM</t>
  </si>
  <si>
    <t>AGNEPKS315</t>
  </si>
  <si>
    <t xml:space="preserve">PELIKANO PEKAN 1K SF 2.15X2.44X0.015 </t>
  </si>
  <si>
    <t>CAPONI41</t>
  </si>
  <si>
    <t>CANTO PVC ORANGE DIS.ONIX 41MM</t>
  </si>
  <si>
    <t>AGNEPKT315</t>
  </si>
  <si>
    <t xml:space="preserve">PELIKANO PEKAN 1K VT 2.15X2.44X0.015 </t>
  </si>
  <si>
    <t>CAPONI33</t>
  </si>
  <si>
    <t>CANTO PVC ORANGE DIS.ONIX 33MM</t>
  </si>
  <si>
    <t>AGNEPKV215</t>
  </si>
  <si>
    <t xml:space="preserve">PELIKANO PEKAN 2C MX 2.15X2.44X0.015 </t>
  </si>
  <si>
    <t>CPLIN19R</t>
  </si>
  <si>
    <t>CANTO RIGIDO PROADEC LINO 19MM</t>
  </si>
  <si>
    <t>AGNEPKW106</t>
  </si>
  <si>
    <t xml:space="preserve">PELIKANO PEKAN 1C WO 2.15X2.44X0.006 </t>
  </si>
  <si>
    <t>CPLIN22R</t>
  </si>
  <si>
    <t xml:space="preserve">CANTO RIGIDO PROADEC LINO 22MM </t>
  </si>
  <si>
    <t>AGNEPKW109</t>
  </si>
  <si>
    <t xml:space="preserve">PELIKANO PEKAN 1C WO 2.15X2.44X0.009 </t>
  </si>
  <si>
    <t>CPLIN29R</t>
  </si>
  <si>
    <t xml:space="preserve">CANTO RIGIDO PROADEC LINO 29MM </t>
  </si>
  <si>
    <t>AGNEPKW118</t>
  </si>
  <si>
    <t xml:space="preserve">PELIKANO PEKAN 1C WO 2.15X2.44X0.018 </t>
  </si>
  <si>
    <t>CPLIN33R</t>
  </si>
  <si>
    <t xml:space="preserve">CANTO RIGIDO PROADEC LINO 33MM </t>
  </si>
  <si>
    <t>AGNEPKW209</t>
  </si>
  <si>
    <t xml:space="preserve">PELIKANO PEKAN 2C WO 2.15X2.44X0.009 </t>
  </si>
  <si>
    <t>CPMAN19R</t>
  </si>
  <si>
    <t>CANTO RIGIDO ORANGE MANZANO   19MM</t>
  </si>
  <si>
    <t>AGNEPKW212</t>
  </si>
  <si>
    <t xml:space="preserve">PELIKANO PEKAN 2C WO 2.15X2.44X0.012 </t>
  </si>
  <si>
    <t>CPMAN22R</t>
  </si>
  <si>
    <t>CANTO RIGIDO PROADEC DIS. MANZANO 22MM</t>
  </si>
  <si>
    <t>AGNEPKW215</t>
  </si>
  <si>
    <t xml:space="preserve">PELIKANO PEKAN 2C WO 2.15X2.44X0.015 </t>
  </si>
  <si>
    <t>CPMAN33R</t>
  </si>
  <si>
    <t>CANTO RIGIDO PROADEC MANZANO 33MM</t>
  </si>
  <si>
    <t>AGNEPKW218</t>
  </si>
  <si>
    <t xml:space="preserve">PELIKANO PEKAN 2C WO 2.15X2.44X0.018 </t>
  </si>
  <si>
    <t>CPMAN44R</t>
  </si>
  <si>
    <t>CANTO RIGIDO ORANGE MANZANO
44MM</t>
  </si>
  <si>
    <t>AGNEPKW225</t>
  </si>
  <si>
    <t xml:space="preserve">PELIKANO PEKAN 2C WO 2.15X2.44X0.025 </t>
  </si>
  <si>
    <t>CPMAR19R</t>
  </si>
  <si>
    <t>CANTO RIGIDO ORANGE MARFIL 19MM</t>
  </si>
  <si>
    <t>AGNEPKW236</t>
  </si>
  <si>
    <t xml:space="preserve">PELIKANO PEKAN 2C WO 2.15X2.44X0.036 </t>
  </si>
  <si>
    <t>CPMAR22R</t>
  </si>
  <si>
    <t>CANTO RIGIDO PROADEC MARFIL 22MM</t>
  </si>
  <si>
    <t>AGNEPKW309</t>
  </si>
  <si>
    <t xml:space="preserve">PELIKANO PEKAN 1K WO 2.15X2.44X0.009 </t>
  </si>
  <si>
    <t xml:space="preserve">CANTO RIGIDO PROADEC MARFIL 22MM </t>
  </si>
  <si>
    <t>AGNEPKW312</t>
  </si>
  <si>
    <t>PELIKANO PEKAN 1K WO 2.15X2.44X0.012</t>
  </si>
  <si>
    <t xml:space="preserve">CANTO RIGIDO PROADEC MARFIL 22MM  </t>
  </si>
  <si>
    <t>AGNEPKW315</t>
  </si>
  <si>
    <t xml:space="preserve">PELIKANO PEKAN 1K WO 2.15X2.44X0.015 </t>
  </si>
  <si>
    <t>CPMAR33R</t>
  </si>
  <si>
    <t>CANTO RIGIDO ORANGE MARFIL 33MM</t>
  </si>
  <si>
    <t>AGNEPKW318</t>
  </si>
  <si>
    <t xml:space="preserve">PELIKANO PEKAN 1K WO 2.15X2.44X0.018 </t>
  </si>
  <si>
    <t xml:space="preserve">CANTO RIGIDO PROADEC MARFIL 33MM   </t>
  </si>
  <si>
    <t>AGNEPKW325</t>
  </si>
  <si>
    <t xml:space="preserve">PELIKANO PEKAN 1K WO 2.15X2.44X0.025 </t>
  </si>
  <si>
    <t>CPMEN22R</t>
  </si>
  <si>
    <t>CANTO RIGIDO ORANGE MENTA 22MM</t>
  </si>
  <si>
    <t>AGNEPKW330</t>
  </si>
  <si>
    <t xml:space="preserve">PELIKANO PEKAN 1K WO 2.15X2.44X0.030 </t>
  </si>
  <si>
    <t>CPMEN44R</t>
  </si>
  <si>
    <t>CANTO RIGIDO ORANGE MENTA 44MM</t>
  </si>
  <si>
    <t>AGCTE04836</t>
  </si>
  <si>
    <t>AGLO CRUDO SUPERT 1.22X2.44X0.036</t>
  </si>
  <si>
    <t>CPMOK19R</t>
  </si>
  <si>
    <t>CANTO RIGIDO ORANGE MOKA 19MM</t>
  </si>
  <si>
    <t>MFITECB103</t>
  </si>
  <si>
    <t>HDF IMP.DIG TMB CARBONO 1.22X2.44X0.003</t>
  </si>
  <si>
    <t>CPMOK22R</t>
  </si>
  <si>
    <t xml:space="preserve">CANTO RIGIDO PROADEC MOKA 22MM  </t>
  </si>
  <si>
    <t>AGNERAV106</t>
  </si>
  <si>
    <t>PELIKANO ROB.AH 1C MX 2.15X2.44X0.006</t>
  </si>
  <si>
    <t>CPMOK29R</t>
  </si>
  <si>
    <t>CANTO RIGIDO PROADEC MOKA 29MM</t>
  </si>
  <si>
    <t>AGNERAV215</t>
  </si>
  <si>
    <t>PELIKANO ROB.AH 2C MX 2.15X2.44X0.015</t>
  </si>
  <si>
    <t>CPMOK33R</t>
  </si>
  <si>
    <t>CANTO RIGIDO PROADEC DIS. MOKA 33MM</t>
  </si>
  <si>
    <t>AGNERAV218</t>
  </si>
  <si>
    <t>PELIKANO ROB.AH 2C MX 2.15X2.44X0.018</t>
  </si>
  <si>
    <t xml:space="preserve">CANTO RIGIDO PROADEC MOKA 33MM   </t>
  </si>
  <si>
    <t>AGNERAV236</t>
  </si>
  <si>
    <t>PELIKANO ROB.AH 2C MX 2.15X2.44X0.036</t>
  </si>
  <si>
    <t>CPMOK44R</t>
  </si>
  <si>
    <t xml:space="preserve">CANTO RIGIDO PROADEC MOKA 44MM  </t>
  </si>
  <si>
    <t>AGNERAW106</t>
  </si>
  <si>
    <t>PELIKANO ROB.AH 1C WO 2.15X2.44X0.006</t>
  </si>
  <si>
    <t>CPNEG19R</t>
  </si>
  <si>
    <t xml:space="preserve">CANTO RIGIDO PROADEC NEGRO 19MM   </t>
  </si>
  <si>
    <t>AGNERAW212</t>
  </si>
  <si>
    <t>PELIKANO ROB.AH 2C WO 2.15X2.44X0.012</t>
  </si>
  <si>
    <t>CPNEG22R</t>
  </si>
  <si>
    <t xml:space="preserve">CANTO RIGIDO PROADEC NEGRO 22MM      </t>
  </si>
  <si>
    <t>AGNERAW215</t>
  </si>
  <si>
    <t>PELIKANO ROB.AH 2C WO 2.15X2.44X0.015</t>
  </si>
  <si>
    <t>CPNEG29R</t>
  </si>
  <si>
    <t xml:space="preserve">CANTO RIGIDO PROADEC NEGRO 29MM </t>
  </si>
  <si>
    <t>AGNERAW218</t>
  </si>
  <si>
    <t>PELIKANO ROB.AH 2C WO 2.15X2.44X0.018</t>
  </si>
  <si>
    <t>CPNEG33R</t>
  </si>
  <si>
    <t xml:space="preserve">CANTO RIGIDO PROADEC NEGRO 33MM    </t>
  </si>
  <si>
    <t>AGNERAW225</t>
  </si>
  <si>
    <t>PELIKANO ROB.AH 2C WO 2.15X2.44X0.025</t>
  </si>
  <si>
    <t>CPNOG19R</t>
  </si>
  <si>
    <t>CANTO RIGIDO PROADEC NOGAL 19MM</t>
  </si>
  <si>
    <t>AGNERAW236</t>
  </si>
  <si>
    <t>PELIKANO ROB.AH 2C WO 2.15X2.44X0.036</t>
  </si>
  <si>
    <t>CPNOG22R</t>
  </si>
  <si>
    <t>CANTO RIGIDO PROADEC NOGAL 22MM</t>
  </si>
  <si>
    <t>AGNERAW309</t>
  </si>
  <si>
    <t>PELIKANO ROB.AH 1K WO 2.15X2.44X0.009</t>
  </si>
  <si>
    <t xml:space="preserve">CANTO RIGIDO PROADEC NOGAL 22MM    </t>
  </si>
  <si>
    <t>AGNERAW315</t>
  </si>
  <si>
    <t>PELIKANO ROB.AH 1K WO 2.15X2.44X0.015</t>
  </si>
  <si>
    <t>CPNOG29R</t>
  </si>
  <si>
    <t xml:space="preserve"> CANTO RIGIDO PROADEC NOGAL 29MM    </t>
  </si>
  <si>
    <t>AGNERBW106</t>
  </si>
  <si>
    <t xml:space="preserve">PELIKANO ROBLE 1C WO 2.15X2.44X0.006 </t>
  </si>
  <si>
    <t>CPNOG33R</t>
  </si>
  <si>
    <t xml:space="preserve">CANTO RIGIDO PROADEC NOGAL 33MM    </t>
  </si>
  <si>
    <t>AGNERBW215</t>
  </si>
  <si>
    <t xml:space="preserve">PELIKANO ROBLE 2C WO 2.15X2.44X0.015 </t>
  </si>
  <si>
    <t>CPNUE22R</t>
  </si>
  <si>
    <t>CANTO RIGIDO ORANGE NUEZ 22MM</t>
  </si>
  <si>
    <t>AGNRPLM218C</t>
  </si>
  <si>
    <t>PELIK RH PLOMO 2C MT TB2.15X2.44X0.0018</t>
  </si>
  <si>
    <t>CPOLI22R</t>
  </si>
  <si>
    <t>CANTO RIGIDO PROADEC OLIVO 22 MM</t>
  </si>
  <si>
    <t>AGNERBW218</t>
  </si>
  <si>
    <t xml:space="preserve">PELIKANO ROBLE 2C WO 2.15X2.44X0.018 </t>
  </si>
  <si>
    <t>CPOLI33R</t>
  </si>
  <si>
    <t>CANTO RIGIDO ORANGE OLIVO 33MM</t>
  </si>
  <si>
    <t>AGNERBW225</t>
  </si>
  <si>
    <t xml:space="preserve">PELIKANO ROBLE 2C WO 2.15X2.44X0.025 </t>
  </si>
  <si>
    <t>CPOLI44R</t>
  </si>
  <si>
    <t>CANTO RIGIDO ORANGE OLIVO 44MM</t>
  </si>
  <si>
    <t>AGNERBW236</t>
  </si>
  <si>
    <t>PELIKANO ROBLE 2C WO 2.15X2.44X0.036</t>
  </si>
  <si>
    <t>CPOLM22R</t>
  </si>
  <si>
    <t xml:space="preserve"> CANTO RIGIDO PROADEC OLMO 22MM </t>
  </si>
  <si>
    <t>AGNERCV106</t>
  </si>
  <si>
    <t>PELIKANO ROB.CL 1C MX 2.15X2.44X0.006</t>
  </si>
  <si>
    <t>CPOLN19R</t>
  </si>
  <si>
    <t>CANTO RIGIDO ORANGE OLMO 19MM</t>
  </si>
  <si>
    <t>AGNERCV215</t>
  </si>
  <si>
    <t>PELIKANO ROB.CL 2C MX 2.15X2.44X0.015</t>
  </si>
  <si>
    <t>CPGRH19R</t>
  </si>
  <si>
    <t>CANTO RIGIDO ORANGE GRIS HUMO 19MM</t>
  </si>
  <si>
    <t>AGNERCW106</t>
  </si>
  <si>
    <t>PELIKANO ROB.CL 1C WO 2.15X2.44X0.006</t>
  </si>
  <si>
    <t>CPOLN22R</t>
  </si>
  <si>
    <t>CANTO RIGIDO PROADEC OLMO NP 22MM</t>
  </si>
  <si>
    <t>AGNERCW209</t>
  </si>
  <si>
    <t>PELIKANO ROB.CL 2C WO 2.15X2.44X0.009</t>
  </si>
  <si>
    <t>CPOPL33R</t>
  </si>
  <si>
    <t>CANTO RIGIDO ORANGE ONTARIO POLAR 33MM</t>
  </si>
  <si>
    <t>AGNERCW215</t>
  </si>
  <si>
    <t>PELIKANO ROB.CL 2C WO 2.15X2.44X0.015</t>
  </si>
  <si>
    <t>CPOXI22R</t>
  </si>
  <si>
    <t>CANTO RIGIDO PROADEC OXID 22MM</t>
  </si>
  <si>
    <t>AGNERCW225</t>
  </si>
  <si>
    <t>PELIKANO ROB.CL 2C WO 2.15X2.44X0.025</t>
  </si>
  <si>
    <t>CPPEK19R</t>
  </si>
  <si>
    <t>CANTO RIGIDO PROADEC PEKAN 19MM</t>
  </si>
  <si>
    <t>AGNERCW236</t>
  </si>
  <si>
    <t>PELIKANO ROB.CL 2C WO 2.15X2.44X0.036</t>
  </si>
  <si>
    <t>CPPEK22R</t>
  </si>
  <si>
    <t xml:space="preserve"> CANTO RIGIDO PROADEC PEKAN 22MM    </t>
  </si>
  <si>
    <t>AGNERCW309</t>
  </si>
  <si>
    <t>PELIKANO ROB.CL 1K WO 2.15X2.44X0.009</t>
  </si>
  <si>
    <t>CPPEK29R</t>
  </si>
  <si>
    <t>CANTO RIGIDO PROADEC PEKAN 29MM</t>
  </si>
  <si>
    <t>AGNERCW315</t>
  </si>
  <si>
    <t>PELIKANO ROB.CL 1K WO 2.15X2.44X0.015</t>
  </si>
  <si>
    <t>CPPEK33R</t>
  </si>
  <si>
    <t xml:space="preserve">CANTO RIGIDO PROADEC PEKAN 33MM </t>
  </si>
  <si>
    <t>AGNERCW515</t>
  </si>
  <si>
    <t>PELIKANO ROB.CL 1N WO 2.15X2.44X0.015</t>
  </si>
  <si>
    <t>CPRLO19R</t>
  </si>
  <si>
    <t xml:space="preserve">CANTO RIGIDO PROADEC ROBLE CLARO 19MM </t>
  </si>
  <si>
    <t>AGNERGV106</t>
  </si>
  <si>
    <t>PELIKANO ROB.GR 1C MX 2.15X2.44X0.006</t>
  </si>
  <si>
    <t>CPRLO22R</t>
  </si>
  <si>
    <t xml:space="preserve">CANTO RIGIDO PROADEC ROBLE CLARO 22MM </t>
  </si>
  <si>
    <t>AGNERGV215</t>
  </si>
  <si>
    <t>PELIKANO ROB.GR 2C MX 2.15X2.44X0.015</t>
  </si>
  <si>
    <t xml:space="preserve">CANTO RIGIDO PROADEC ROBLE CLARO 22MM  </t>
  </si>
  <si>
    <t>AGNERGW106</t>
  </si>
  <si>
    <t>PELIKANO ROB.GR 1C WO 2.15X2.44X0.006</t>
  </si>
  <si>
    <t>CPRLO29R</t>
  </si>
  <si>
    <t xml:space="preserve">CANTO RIGIDO PROADEC ROBLE CLARO 29MM   </t>
  </si>
  <si>
    <t>AGNERGW215</t>
  </si>
  <si>
    <t>PELIKANO ROB.GR 2C WO 2.15X2.44X0.015</t>
  </si>
  <si>
    <t>CPRLO33R</t>
  </si>
  <si>
    <t xml:space="preserve">CANTO RIGIDO PROADEC ROBLE CLARO 33MM </t>
  </si>
  <si>
    <t>AGNERGW218</t>
  </si>
  <si>
    <t>PELIKANO ROB.GR 2C WO 2.15X2.44X0.018</t>
  </si>
  <si>
    <t>CPRLO44R</t>
  </si>
  <si>
    <t>CANTO RIGIDO ORANGE ROBLE CLARO 44MM</t>
  </si>
  <si>
    <t>AGNERGW225</t>
  </si>
  <si>
    <t>PELIKANO ROB.GR 2C WO 2.15X2.44X0.025</t>
  </si>
  <si>
    <t>CPROA19R</t>
  </si>
  <si>
    <t>CANTO RIGIDO PROADEC DIS.  ROBLE AHUMADO 19MM</t>
  </si>
  <si>
    <t>AGNERGW236</t>
  </si>
  <si>
    <t>PELIKANO ROB.GR 2C WO 2.15X2.44X0.036</t>
  </si>
  <si>
    <t>CPROA22R</t>
  </si>
  <si>
    <t>CANTO RIGIDO PROADEC ROBLEAHUMADO 22</t>
  </si>
  <si>
    <t>AGNERGW309</t>
  </si>
  <si>
    <t>PELIKANO ROB.GR 1K WO 2.15X2.44X0.009</t>
  </si>
  <si>
    <t xml:space="preserve">CANTO RIGIDO PROADEC ROBLE AHUMADO 22MM   </t>
  </si>
  <si>
    <t>AGNERGW312</t>
  </si>
  <si>
    <t>PELIKANO ROB.GR 1K WO 2.15X2.44X0.012</t>
  </si>
  <si>
    <t>CPROA33R</t>
  </si>
  <si>
    <t>CANTO RIGIDO ORANGE ROBLE AHUMADO 33 MM</t>
  </si>
  <si>
    <t>AGNERGW315</t>
  </si>
  <si>
    <t>PELIKANO ROB.GR 1K WO 2.15X2.44X0.015</t>
  </si>
  <si>
    <t>CPROA44R</t>
  </si>
  <si>
    <t>CANTO RIGIDO ROBLE AHU. 44MM</t>
  </si>
  <si>
    <t>AGNRCUM218</t>
  </si>
  <si>
    <t>PELIKANO RH CUERO 2C MT 2.15X2.44X0.018</t>
  </si>
  <si>
    <t>CPROG19R</t>
  </si>
  <si>
    <t>CANTO RIGIDO PROADEC ROBLE GRIS 19MM</t>
  </si>
  <si>
    <t>AGNERGW515</t>
  </si>
  <si>
    <t>PELIKANO ROB.GR 1N WO 2.15X2.44X0.015</t>
  </si>
  <si>
    <t>CPROG22R</t>
  </si>
  <si>
    <t xml:space="preserve"> CANTO RIGIDO PROADEC ROBLE GRIS 22MM    </t>
  </si>
  <si>
    <t>AGNEROS106</t>
  </si>
  <si>
    <t>PELIKANO ROJO 1C SF 2.15X2.44X0.006</t>
  </si>
  <si>
    <t>CPROG29R</t>
  </si>
  <si>
    <t xml:space="preserve">CANTO RIGIDO PROADEC ROBLE GRIS 29MM </t>
  </si>
  <si>
    <t>AGNEROS215</t>
  </si>
  <si>
    <t>PELIKANO ROJO 2C SF 2.15X2.44X0.015</t>
  </si>
  <si>
    <t>CPROS22R</t>
  </si>
  <si>
    <t>CANTO RIGIDO PROADEC ROBLE OSCURO 22MM</t>
  </si>
  <si>
    <t>AGNEROS218</t>
  </si>
  <si>
    <t>PELIKANO ROJO 2C SF 2.15X2.44X0.018</t>
  </si>
  <si>
    <t>CPROS33R</t>
  </si>
  <si>
    <t xml:space="preserve">CANTO RIGIDO PROADEC ROBLE OSCURO 33MM  </t>
  </si>
  <si>
    <t>AGNEROS236</t>
  </si>
  <si>
    <t>PELIKANO ROJO 2C SF 2.15X2.44X0.036</t>
  </si>
  <si>
    <t>CPROV19R</t>
  </si>
  <si>
    <t>CANTO RIGIDO PROADEC DIS. ROVERE 19MM</t>
  </si>
  <si>
    <t>AGNEROS309</t>
  </si>
  <si>
    <t>PELIKANO ROJO 1K SF 2.15X2.44X0.009</t>
  </si>
  <si>
    <t>CPROV22R</t>
  </si>
  <si>
    <t>CANTO RIGIDO PROADEC ROVERE 22MM</t>
  </si>
  <si>
    <t>AGNEROS315</t>
  </si>
  <si>
    <t>PELIKANO ROJO 1K SF 2.15X2.44X0.015</t>
  </si>
  <si>
    <t>CPROV33R</t>
  </si>
  <si>
    <t>CANTO RIGIDO ORANGE ROVERE
33MM</t>
  </si>
  <si>
    <t>AGNERVM106</t>
  </si>
  <si>
    <t>PELIKANO ROVERE  1C MT 2.15 X 2.44. 0.06</t>
  </si>
  <si>
    <t>CPSAD19R</t>
  </si>
  <si>
    <t>CANTO RIGIDO ORANGE SANTORINI DESIG 19MM</t>
  </si>
  <si>
    <t>AGNERVM215</t>
  </si>
  <si>
    <t>PELIKANO ROVERE  2C MT 2.15 X 2.44. 0.15</t>
  </si>
  <si>
    <t>CPSAL22R</t>
  </si>
  <si>
    <t>CANTO RIGIDO PROADEC DIS SALVAJE 22MM</t>
  </si>
  <si>
    <t>AGNERVM218</t>
  </si>
  <si>
    <t>PELIKANO ROVERE  2C MT 2.15 X 2.44. 0.18</t>
  </si>
  <si>
    <t>CANTO RIGIDO ORANGE SALVAJE 22MM</t>
  </si>
  <si>
    <t>AGNERVM236</t>
  </si>
  <si>
    <t>PELIKANO ROVERE 2C MT 2.15X2.44X0.036</t>
  </si>
  <si>
    <t>CPSAL33R</t>
  </si>
  <si>
    <t>CANTO RIGIDO ORANGE SALVAJE 33MM</t>
  </si>
  <si>
    <t>AGNERVM309</t>
  </si>
  <si>
    <t>PELIKANO ROVERE  1K MT 2.15 X 2.44. 0.09</t>
  </si>
  <si>
    <t>CPSER22R</t>
  </si>
  <si>
    <t>CANTO RIGIDO PROADEC SERENA 22MM</t>
  </si>
  <si>
    <t>AGNESIN215</t>
  </si>
  <si>
    <t>PELIKANO SIENA 2C NA 2.15X2.44X0.015</t>
  </si>
  <si>
    <t>CPSIE19R</t>
  </si>
  <si>
    <t>CANTO RIGIDO ORANGE SIENA 19MM</t>
  </si>
  <si>
    <t>AGNESIV106</t>
  </si>
  <si>
    <t xml:space="preserve">PELIKANO SIENA 1C MX 2.15X2.44X0.006 </t>
  </si>
  <si>
    <t>CPSIE22R</t>
  </si>
  <si>
    <t>CANTO RIGIDO PROADEC DIS. SIENA 22MM</t>
  </si>
  <si>
    <t>AGNESIV215</t>
  </si>
  <si>
    <t>PELIKANO SIENA 2C MX 2.15X2.44X 0.015</t>
  </si>
  <si>
    <t>CPSIE44R</t>
  </si>
  <si>
    <t>CANTO RIGIDO ORANGE SIENA 44MM</t>
  </si>
  <si>
    <t>AGNESIV218</t>
  </si>
  <si>
    <t>PELIKANO  SIENA 2C MX 2.15X2.44X0.018</t>
  </si>
  <si>
    <t>CPTAB22R</t>
  </si>
  <si>
    <t>CANTO RIGIDO PROADEC DIS. TABACO CH 22MM</t>
  </si>
  <si>
    <t>AGNESIV236</t>
  </si>
  <si>
    <t>PELIKANO SIENA 2C MX 2.15X2.44X0.036</t>
  </si>
  <si>
    <t>CPUPL33R</t>
  </si>
  <si>
    <t>CANTO RIGIDO ORANGE UPTOWN 33MM</t>
  </si>
  <si>
    <t>AGNESIV309</t>
  </si>
  <si>
    <t>PELIKANO SIENA 1K MX 2.15X2.44X0.009</t>
  </si>
  <si>
    <t>CPWCH19R</t>
  </si>
  <si>
    <t>CANTO ORANGE RIGIDO WHITE CHIC 19MM</t>
  </si>
  <si>
    <t>AGNESPM215</t>
  </si>
  <si>
    <t>PELIKANO SAPELL 2C MT 2.15X2.44X0.015</t>
  </si>
  <si>
    <t>CPWCH22R</t>
  </si>
  <si>
    <t>CANTO ORANGE RIGIDO WHITE CHIC 22MM</t>
  </si>
  <si>
    <t>AGNESPW106</t>
  </si>
  <si>
    <t>PELIKANO SAPELL 1C WO 2.15X2.44X0.006</t>
  </si>
  <si>
    <t>CPWCH44R</t>
  </si>
  <si>
    <t>CANTO RIGIDO ORANGE WHITE CHIC  44MM</t>
  </si>
  <si>
    <t>AGNESPW109</t>
  </si>
  <si>
    <t>PELIKANO SAPELL 1C WO 2.15X2.44X0.009</t>
  </si>
  <si>
    <t>CPWEN19R</t>
  </si>
  <si>
    <t xml:space="preserve">CANTO RIGIDO PROADEC DIS.WENGUE 19MM </t>
  </si>
  <si>
    <t>AGNESPW118</t>
  </si>
  <si>
    <t>PELIKANO SAPELL 1C WO 2.15X2.44X0.018</t>
  </si>
  <si>
    <t xml:space="preserve">CANTO RIGIDO PROADEC WENGUE 19MM </t>
  </si>
  <si>
    <t>AGNESPW209</t>
  </si>
  <si>
    <t>PELIKANO SAPELL 2C WO 2.15X2.44X0.009</t>
  </si>
  <si>
    <t>CPWEN22R</t>
  </si>
  <si>
    <t>CANTO RIGIDO PROADEC WENGUE 22MM</t>
  </si>
  <si>
    <t>AGNESPW212</t>
  </si>
  <si>
    <t>PELIKANO SAPELL 2C WO 2.15X2.44X0.012</t>
  </si>
  <si>
    <t xml:space="preserve">CANTO RIGIDO PROADEC WENGUE 22MM  </t>
  </si>
  <si>
    <t>AGNESPW215</t>
  </si>
  <si>
    <t>PELIKANO SAPELL 2C WO 2.15X2.44X0.015</t>
  </si>
  <si>
    <t>CPWEN29R</t>
  </si>
  <si>
    <t xml:space="preserve">CANTO RIGIDO PROADEC WENGUE 29MM   </t>
  </si>
  <si>
    <t>AGNESPW218</t>
  </si>
  <si>
    <t>PELIKANO SAPELL 2C WO 2.15X2.44X0.018</t>
  </si>
  <si>
    <t>CPWEN33R</t>
  </si>
  <si>
    <t>CANTO PROADEC DIS WENGUE 33MM</t>
  </si>
  <si>
    <t>AGNESPW230</t>
  </si>
  <si>
    <t>PELIKANO SAPELL 2C WO 2.15X2.44X0.030</t>
  </si>
  <si>
    <t xml:space="preserve"> CANTO RIGIDO PROADEC WENGUE 33MM  </t>
  </si>
  <si>
    <t>AGNESPW236</t>
  </si>
  <si>
    <t>PELIKANO SAPELL 2C WO 2.15X2.44X0.036</t>
  </si>
  <si>
    <t>CPWEN40R</t>
  </si>
  <si>
    <t>CANTO RIGIDO ORANGE WENGUE 40MM</t>
  </si>
  <si>
    <t>AGNESPW309</t>
  </si>
  <si>
    <t>PELIKANO SAPELL 1K WO 2.15X2.44X0.009</t>
  </si>
  <si>
    <t>CPWEN44R</t>
  </si>
  <si>
    <t>CANTO RIGIDO ORANGE WENGUE  44MM</t>
  </si>
  <si>
    <t>AGNESPW312</t>
  </si>
  <si>
    <t>PELIKANO SAPELL 1K WO 2.15X2.44X0.012</t>
  </si>
  <si>
    <t>CPWPZ33R</t>
  </si>
  <si>
    <t>CANTO RIGIDO PROADEC WENGUE PZ 33MM</t>
  </si>
  <si>
    <t>AGNESPW315</t>
  </si>
  <si>
    <t>PELIKANO SAPELL 1K WO 2.15X2.44X0.015</t>
  </si>
  <si>
    <t>CAPMAR44</t>
  </si>
  <si>
    <t>CANTO PVC ORANGE   DIS.MARFIL 44MM</t>
  </si>
  <si>
    <t>AGNEVES106</t>
  </si>
  <si>
    <t>PELIKANO VERDE 1C SF 2.15X2.44X0.006</t>
  </si>
  <si>
    <t>CPMIE19R</t>
  </si>
  <si>
    <t>CANTO RIGIDO ORANGE MIEL
19MM</t>
  </si>
  <si>
    <t>AGNEVES215</t>
  </si>
  <si>
    <t xml:space="preserve">PELIKANO VERDE 2C SF 2.15X2.44X0.015 </t>
  </si>
  <si>
    <t>CPPLO19R</t>
  </si>
  <si>
    <t>CANTO RIGIDO ORANGE PLOMO
19MM</t>
  </si>
  <si>
    <t>AGNEVES218</t>
  </si>
  <si>
    <t xml:space="preserve">PELIKANO VERDE 2C SF 2.15X2.44X0.018 </t>
  </si>
  <si>
    <t>CAPPAR19</t>
  </si>
  <si>
    <t>CANTO PVC ORANGE DIS. PARAMO
19MM</t>
  </si>
  <si>
    <t>AGNEVES236</t>
  </si>
  <si>
    <t xml:space="preserve">PELIKANO VERDE 2C SF 2.15X2.44X0.036 </t>
  </si>
  <si>
    <t>CPPAR19R</t>
  </si>
  <si>
    <t>CANTO RIGIDO ORANGE DIS. PARAMO
19MM</t>
  </si>
  <si>
    <t>AGNEVES309</t>
  </si>
  <si>
    <t>PELIKANO VERDE 1K SF 2.15X2.44X0.009</t>
  </si>
  <si>
    <t>CPBCO44R</t>
  </si>
  <si>
    <t>CANTO RIGIDO ORANGE DIS. BLANCO 44MM</t>
  </si>
  <si>
    <t>AGNEVES315</t>
  </si>
  <si>
    <t>PELIKANO VERDE 1K SF 2.15X2.44X0.015</t>
  </si>
  <si>
    <t>CAPROV33</t>
  </si>
  <si>
    <t>CANTO PVC ORANGE DIS.ROVERE 33MM</t>
  </si>
  <si>
    <t>AGNEWCM106</t>
  </si>
  <si>
    <t>PELIKANO WHITE 1C MT 2.15X2.44X0.006</t>
  </si>
  <si>
    <t>CPROV44R</t>
  </si>
  <si>
    <t>CANTO RIGIDO ORANGE DIS.ROVERE 44MM</t>
  </si>
  <si>
    <t>AGNEWCM215</t>
  </si>
  <si>
    <t>PELIKANO WHITE 2C MT 2.15X2.44X0.015</t>
  </si>
  <si>
    <t>CAGRI44R</t>
  </si>
  <si>
    <t>CANTO RIGIDO ORANGE DIS. GRIS  44MM</t>
  </si>
  <si>
    <t>AGNEWCM218</t>
  </si>
  <si>
    <t>PELIKANO WHITE 2C MT 2.15X2.44X0.018</t>
  </si>
  <si>
    <t>CPOXI19R</t>
  </si>
  <si>
    <t>CANTO RIGIDO ORANGE DIS. OXID 19MM</t>
  </si>
  <si>
    <t>AGNEWCM236</t>
  </si>
  <si>
    <t>PELIKANO WGHITE CH  MT. 2.15X2.44X0.036</t>
  </si>
  <si>
    <t>CPOXI33R</t>
  </si>
  <si>
    <t>CANTO RIGIDO ORANGE DIS. OXID 33MM</t>
  </si>
  <si>
    <t>AGNEWCM309</t>
  </si>
  <si>
    <t>PELIKANO WHITE 1K MT 2.15X2.44X0.09</t>
  </si>
  <si>
    <t>CPWCH33R</t>
  </si>
  <si>
    <t>CANTO RIGIDO ORANGE WHITE CHIC 33MM</t>
  </si>
  <si>
    <t>AGNEWES106</t>
  </si>
  <si>
    <t>PELIKANO WENGUE 1C SF 2.15X2.44X0.006</t>
  </si>
  <si>
    <t>CPUPL19R</t>
  </si>
  <si>
    <t>CANTO RIGIDO ORANGE UPTOWN 19MM</t>
  </si>
  <si>
    <t>AGNEWES215</t>
  </si>
  <si>
    <t>PELIKANO WENGUE 2C SF 2.15X2.44X0.015</t>
  </si>
  <si>
    <t>CAPMIE19</t>
  </si>
  <si>
    <t>AGNEWES315</t>
  </si>
  <si>
    <t>PELIKANO WENGUE 1K SF 2.15X2.44X0.015</t>
  </si>
  <si>
    <t>CAPPLO19</t>
  </si>
  <si>
    <t>CANTO PVC ORANGE DIS. PLOMO 19MM</t>
  </si>
  <si>
    <t>AGNEWET315</t>
  </si>
  <si>
    <t>PELIKANO WENGUE 1K VT 2.15X2.44X0.015</t>
  </si>
  <si>
    <t>CAPHAB19</t>
  </si>
  <si>
    <t>CANTO PVC ORANGE DIS. HABANO 19MM</t>
  </si>
  <si>
    <t>AGNEWEV215</t>
  </si>
  <si>
    <t>PELIKANO WENGUE 2C MX 2.15X2.44X0.015</t>
  </si>
  <si>
    <t>CAPSAN19</t>
  </si>
  <si>
    <t>CANTO PVC ORANGE DIS. SANGRIA 19MM</t>
  </si>
  <si>
    <t>AGNEWEV218</t>
  </si>
  <si>
    <t>PELIKANO WENGUE 2C MX 2.15X2.44X0.018</t>
  </si>
  <si>
    <t>CAPMNG19</t>
  </si>
  <si>
    <t>CANTO PVC ORANGE DIS. MANGO 19MM</t>
  </si>
  <si>
    <t>AGNEWEV225</t>
  </si>
  <si>
    <t>PELIKANO WENGUE 2C MX 2.15X2.44X0.025</t>
  </si>
  <si>
    <t>CAPSOM19</t>
  </si>
  <si>
    <t>CANTO PVC ORANGE DIS. SOMBRA 19MM</t>
  </si>
  <si>
    <t>AGNEWEW106</t>
  </si>
  <si>
    <t>PELIKANO WENGUE 1C WO 2.15X2.44X0.006</t>
  </si>
  <si>
    <t>CHGFRE22</t>
  </si>
  <si>
    <t>CANTO SEM 1MM GALANTI FRESNO DECAPE 22MM</t>
  </si>
  <si>
    <t>AGNEWEW109</t>
  </si>
  <si>
    <t>PELIKANO WENGUE 1C WO 2.15X2.44X0.009</t>
  </si>
  <si>
    <t>CHGCAS22</t>
  </si>
  <si>
    <t>CANTO SEM 1MM GALANTI  CASTANHO  22MM</t>
  </si>
  <si>
    <t>AGNEWEW115</t>
  </si>
  <si>
    <t>PELIKANO WENGUE 1C WO 2.15X2.44X0.015</t>
  </si>
  <si>
    <t>CAPLIN22</t>
  </si>
  <si>
    <t>CANTO PVC ORANGE DIS.LINO 22MM</t>
  </si>
  <si>
    <t>AGNEWEW118</t>
  </si>
  <si>
    <t>PELIKANO WENGUE 1C WO 2.15X2.44X0.018</t>
  </si>
  <si>
    <t>CAPBCO33</t>
  </si>
  <si>
    <t>CANTO PVC ORANGE BLANCO 33MM</t>
  </si>
  <si>
    <t>AGNEWEW209</t>
  </si>
  <si>
    <t>PELIKANO WENGUE 2C WO 2.15X2.44X0.009</t>
  </si>
  <si>
    <t>CAPNEG16</t>
  </si>
  <si>
    <t>CANTO PVC ORANGE NEGRO 16MM</t>
  </si>
  <si>
    <t>AGNEWEW212</t>
  </si>
  <si>
    <t>CACROV19</t>
  </si>
  <si>
    <t>AGNEWEW215</t>
  </si>
  <si>
    <t>PELIKANO WENGUE 2C WO 2.15X2.44X0.015</t>
  </si>
  <si>
    <t>CAPCHA19</t>
  </si>
  <si>
    <t>CANTO PVC ORANGE DIS.CHANTILLI 19MM</t>
  </si>
  <si>
    <t>AGNEWEW218</t>
  </si>
  <si>
    <t>PELIKANO WENGUE 2C WO 2.15X2.44X0.018</t>
  </si>
  <si>
    <t>CLNEG44R</t>
  </si>
  <si>
    <t>CANTO RIGIDO ORANGE NEGRO 44MM</t>
  </si>
  <si>
    <t>AGNEWEW225</t>
  </si>
  <si>
    <t>PELIKANO WENGUE 2C WO 2.15X2.44X0.025</t>
  </si>
  <si>
    <t>CPSOM19R</t>
  </si>
  <si>
    <t>CANTO RIGIDO ORANGE SOMBRA 19MM</t>
  </si>
  <si>
    <t>AGNEWEW236</t>
  </si>
  <si>
    <t>PELIKANO WENGUE 2C WO 2.15X2.44X0.036</t>
  </si>
  <si>
    <t>PERALM40</t>
  </si>
  <si>
    <t>PERFIL MANIJA C NO RANURA X 3M TABL 18MM</t>
  </si>
  <si>
    <t>AGNEWEW309</t>
  </si>
  <si>
    <t>PELIKANO WENGUE 1K WO 2.15X2.44X0.009</t>
  </si>
  <si>
    <t>CPWHL33R</t>
  </si>
  <si>
    <t>CANTO RIGIDO ORANGE WALNUT HEIGHTS 33MM</t>
  </si>
  <si>
    <t>AGNEWEW312</t>
  </si>
  <si>
    <t>PELIKANO WENGUE 1K WO 2.15X2.44X0.012</t>
  </si>
  <si>
    <t>CPCUE19R</t>
  </si>
  <si>
    <t>CANTO RIGIDO ORANGE CUERO 19MM</t>
  </si>
  <si>
    <t>AGNEWEW315</t>
  </si>
  <si>
    <t>PELIKANO WENGUE 1K WO 2.15X2.44X0.015</t>
  </si>
  <si>
    <t>CAPONI19</t>
  </si>
  <si>
    <t>CANTO PVC ORANGE DIS.ONIX 19MM</t>
  </si>
  <si>
    <t>AGNEWEW318</t>
  </si>
  <si>
    <t>PELIKANO WENGUE 1K WO 2.15X2.44X0.018</t>
  </si>
  <si>
    <t>CAPMAN41</t>
  </si>
  <si>
    <t>CANTO PVC ORANGE DIS.MANZANO 41MM</t>
  </si>
  <si>
    <t>AGNEWEW325</t>
  </si>
  <si>
    <t>PELIKANO WENGUE 1K WO 2.15X2.44X0.025</t>
  </si>
  <si>
    <t>CPALU41R</t>
  </si>
  <si>
    <t>CANTO RIGIDO ORANGE ALUMINIO 41MM</t>
  </si>
  <si>
    <t>AGNEWEW515</t>
  </si>
  <si>
    <t>PELIKANO WENGUE 1N WO 2.15X2.44X0.015</t>
  </si>
  <si>
    <t>CPCRB19R</t>
  </si>
  <si>
    <t>CANTO RIGIDO ORANGE CARBON 19MM</t>
  </si>
  <si>
    <t>AGNRABW215</t>
  </si>
  <si>
    <t>PELIKANO RH ABEDUL 2C WO 2.15X2.44X0.015</t>
  </si>
  <si>
    <t>CPTAU19R</t>
  </si>
  <si>
    <t>CANTO RIGIDO ORANGE TAUPE 19MM</t>
  </si>
  <si>
    <t>AGNRALS215</t>
  </si>
  <si>
    <t>PELIKANO RH ALUMIN 2C SF 2.15X2.44X0.015</t>
  </si>
  <si>
    <t>CAPDUN22</t>
  </si>
  <si>
    <t>CANTO PVC ORANGE DIS.DUNA 22MM</t>
  </si>
  <si>
    <t>AGNRAMS215</t>
  </si>
  <si>
    <t>PELIKANO RH AZ.MAR 2C SF 2.15X2.44X0.015</t>
  </si>
  <si>
    <t>CAPPAR22</t>
  </si>
  <si>
    <t>CANTO PVC ORANGE DIS. PARAMO 22MM</t>
  </si>
  <si>
    <t>AGNRARN215</t>
  </si>
  <si>
    <t>PELIKANO RH ARTIKO NA.2C 2.44 X 2.15 X0.015</t>
  </si>
  <si>
    <t>CAPONI22</t>
  </si>
  <si>
    <t>CANTO PVC ORANGE DIS.ONIX 22MM</t>
  </si>
  <si>
    <t>AGNRARN218</t>
  </si>
  <si>
    <t>PELIKANO RH ARTIKO 2C NA 2.15X2.44X0.018</t>
  </si>
  <si>
    <t>CAPGLA22</t>
  </si>
  <si>
    <t>CANTO PVC ORANGE DIS.GLACIAL 22MM</t>
  </si>
  <si>
    <t>AGNRARN230</t>
  </si>
  <si>
    <t>PELIKANO RH ARTIKO 2C NA 2.15X2.44X0.030</t>
  </si>
  <si>
    <t>CAPCRB19</t>
  </si>
  <si>
    <t>CANTO PVC ORANGE DIS.CARBON 19MM</t>
  </si>
  <si>
    <t>AGNRARN236</t>
  </si>
  <si>
    <t>PELIKANO RH ARTIKO 2C NA 2.15X2.44X0.036</t>
  </si>
  <si>
    <t>CPOLI41R</t>
  </si>
  <si>
    <t>AGNRARN309</t>
  </si>
  <si>
    <t>PELIKANO RH ARTIKO NA.1K 2.44 X 2.15 X0.009</t>
  </si>
  <si>
    <t>CAPDUN41</t>
  </si>
  <si>
    <t>CANTO PVC ORANGE DIS.DUNA 41MM</t>
  </si>
  <si>
    <t>AGNRARW106</t>
  </si>
  <si>
    <t>PELIKANO RH ARTIKO WO 1C 244 X 2.15 X 0.006</t>
  </si>
  <si>
    <t>CPDUN41R</t>
  </si>
  <si>
    <t>CANTO RIGIDO ORANGE DUNA 41MM</t>
  </si>
  <si>
    <t>AGNRARW215</t>
  </si>
  <si>
    <t>PELIKANO RH ARTIKO 2C WO 2.15X2.44X0.015</t>
  </si>
  <si>
    <t>CAPTAU19</t>
  </si>
  <si>
    <t>CANTO PVC ORANGE TAUPE 19MM</t>
  </si>
  <si>
    <t>AGNRATV106</t>
  </si>
  <si>
    <t>PELIKANO RH AMARET 1C MX 2.15X2.44X0.006</t>
  </si>
  <si>
    <t>CALCNZ22</t>
  </si>
  <si>
    <t>AGNRATV215</t>
  </si>
  <si>
    <t>PELIKANO RH AMARET 2C MX 2.15X2.44X0.015</t>
  </si>
  <si>
    <t>CAPCON41</t>
  </si>
  <si>
    <t>CANTO PVC ORANGE DIS.CONAC 41MM</t>
  </si>
  <si>
    <t>AGNRATV218</t>
  </si>
  <si>
    <t>PELIKANO RH AMARET 2C MX 2.15X2.44X0.018</t>
  </si>
  <si>
    <t>CAPGAL22</t>
  </si>
  <si>
    <t>CANTO PVC ORANGE DIS.GALES 22MM</t>
  </si>
  <si>
    <t>AGNRATV236</t>
  </si>
  <si>
    <t>PELIKANO RH AMARETTO 2C MX. 2.15X2.44X0.036</t>
  </si>
  <si>
    <t>CPGAL22R</t>
  </si>
  <si>
    <t>CANTO RIGIDO ORANGE GALES 22MM</t>
  </si>
  <si>
    <t>AGNRATV309</t>
  </si>
  <si>
    <t>PELIKANO RH AMARETTO  1K MX 2.15X2.44X0.009</t>
  </si>
  <si>
    <t>CAPGAL41</t>
  </si>
  <si>
    <t>CANTO PVC ORANGE DIS.GALES 41MM</t>
  </si>
  <si>
    <t>AGNRAZS215</t>
  </si>
  <si>
    <t xml:space="preserve">PELIKANO RH AZUL 2C SF 2.15X2.44X0.015  </t>
  </si>
  <si>
    <t>CPGAL41R</t>
  </si>
  <si>
    <t>CANTO RIGIDO ORANGE GALES 41MM</t>
  </si>
  <si>
    <t>AGNRBBS206</t>
  </si>
  <si>
    <t>PELIKANO RH BCO.MA 2C SF 2.15X2.44X0.006</t>
  </si>
  <si>
    <t>CPDUN33R</t>
  </si>
  <si>
    <t>CANTO RIGIDO ORANGE DUNA 33MM</t>
  </si>
  <si>
    <t>AGNRBMS106</t>
  </si>
  <si>
    <t>PELIKANO RH BCO.MA 1C SF 2.15X2.44X0.006</t>
  </si>
  <si>
    <t>CAPDUN33</t>
  </si>
  <si>
    <t>CANTO PVC ORANGE DUNA 33MM</t>
  </si>
  <si>
    <t>AGNRBMS209</t>
  </si>
  <si>
    <t>PELIKANO RH BCO.MA 2C SF 2.15X2.44X0.009</t>
  </si>
  <si>
    <t>CPCON41R</t>
  </si>
  <si>
    <t>CANTO RIGIDO ORANGE CONAC 41MM</t>
  </si>
  <si>
    <t>AGNRBMS215</t>
  </si>
  <si>
    <t>PELIKANO RH BCO.MA 2C SF 2.15X2.44X0.015</t>
  </si>
  <si>
    <t>CAPCON33</t>
  </si>
  <si>
    <t>CANTO PVC ORANGE DIS.CONAC 33MM</t>
  </si>
  <si>
    <t>AGNRBMS218</t>
  </si>
  <si>
    <t>PELIKANO RH BCO.MA 2C SF 2.15X2.44X0.018</t>
  </si>
  <si>
    <t>CPCON33R</t>
  </si>
  <si>
    <t>CANTO RIGIDO ORANGE CONAC 33MM</t>
  </si>
  <si>
    <t>AGNRBMS225</t>
  </si>
  <si>
    <t>PELIKANO RH BCO.MA 2C SF 2.15X2.44X0.025</t>
  </si>
  <si>
    <t>CPNIE33R</t>
  </si>
  <si>
    <t>CANTO RIGIDO ORANGE NIEBLA 33MM</t>
  </si>
  <si>
    <t>AGNRBMS230</t>
  </si>
  <si>
    <t>PELIKANO RH BCO.MA 2C SF 2.15X2.44X0.030</t>
  </si>
  <si>
    <t>CPCRB22R</t>
  </si>
  <si>
    <t>CANTO RIGIDO ORANGE CARBON 22MM</t>
  </si>
  <si>
    <t>AGNRBNM106</t>
  </si>
  <si>
    <t>PELIKANO RH BCO.NO 1C MT 2.15X2.44X0.006</t>
  </si>
  <si>
    <t>CAPMNG22</t>
  </si>
  <si>
    <t>CANTO PVC ORANGE DIS. MANGO 22MM</t>
  </si>
  <si>
    <t>AGNRBNM215</t>
  </si>
  <si>
    <t>PELIKANO RH BCO.NO 2C MT 2.15X2.44X0.015</t>
  </si>
  <si>
    <t>CAPNIE41</t>
  </si>
  <si>
    <t>CANTO PVC ORANGE DIS.NIEBLA 41MM</t>
  </si>
  <si>
    <t>AGNRBNM218</t>
  </si>
  <si>
    <t>PELIKANO RH BCO.NO 2C MT 2.15X2.44X0.018</t>
  </si>
  <si>
    <t>CAPTAU33</t>
  </si>
  <si>
    <t>CANTO PVC ORANGE DIS.TAUPE 33MM</t>
  </si>
  <si>
    <t>AGNRBNS106</t>
  </si>
  <si>
    <t>PELIKANO RH BCO.NO 1C SF 2.15X2.44X0.006</t>
  </si>
  <si>
    <t>CPHAW33R</t>
  </si>
  <si>
    <t>CANTO RIGIDO ORANGE HAYA WOOD 33MM</t>
  </si>
  <si>
    <t>AGNRBNS212</t>
  </si>
  <si>
    <t>PELIKANO RH BCO.NO 2C SF 2.15X2.44X0.012</t>
  </si>
  <si>
    <t>PERALM93</t>
  </si>
  <si>
    <t>PERF MANIJA PUERTA PLUS TABLERO 15 MM</t>
  </si>
  <si>
    <t>AGNRBNS215</t>
  </si>
  <si>
    <t>PELIKANO RH BCO.NO 2C SF 2.15X2.44X0.015</t>
  </si>
  <si>
    <t>CAPNIE33</t>
  </si>
  <si>
    <t>CANTO PVC ORANGE DIS.NIEBLA 33MM</t>
  </si>
  <si>
    <t>AGNRBNS218</t>
  </si>
  <si>
    <t>PELIKANO RH BCO.NO 2C SF 2.15X2.44X0.018</t>
  </si>
  <si>
    <t>CPTAU22R</t>
  </si>
  <si>
    <t>CANTO RIGIDO ORANGE TAUPE 22MM</t>
  </si>
  <si>
    <t>AGNRBNS406</t>
  </si>
  <si>
    <t>PELIKANO RH BCO.NO 1B SF 2.15X2.44X0.006</t>
  </si>
  <si>
    <t>CALMIE22</t>
  </si>
  <si>
    <t>AGNRBNS409</t>
  </si>
  <si>
    <t>PELIKANO RH BCO.NO 1B SF 2.15X2.44X0.009</t>
  </si>
  <si>
    <t>CAPTAU41</t>
  </si>
  <si>
    <t>CANTO PVC ORANGE DIS. TAUPE 41MM</t>
  </si>
  <si>
    <t>AGNRBNS412</t>
  </si>
  <si>
    <t>PELIKANO RH BCO.NO 1B SF 2.15X2.44X0.012</t>
  </si>
  <si>
    <t>CPTAU41R</t>
  </si>
  <si>
    <t>CANTO RIGIDO ORANGE TAUPE 41MM</t>
  </si>
  <si>
    <t>AGNRBNS415</t>
  </si>
  <si>
    <t>PELIKANO RH BCO.NO 1B SF 2.15X2.44X0.015</t>
  </si>
  <si>
    <t>CPTAU33R</t>
  </si>
  <si>
    <t>CANTO RIGIDO ORANGE TAUPE 33MM</t>
  </si>
  <si>
    <t>AGNRBNS418</t>
  </si>
  <si>
    <t>PELIKANO RH BCO.NO 1B SF 2.15X2.44X0.018</t>
  </si>
  <si>
    <t>CPCRB33R</t>
  </si>
  <si>
    <t>CANTO RIGIDO ORANGE CARBON 33MM</t>
  </si>
  <si>
    <t>AGNRBNV215</t>
  </si>
  <si>
    <t>PELIKANO RH BCO.NO 2C MX 2.15X2.44X0.015</t>
  </si>
  <si>
    <t>CPCUE22R</t>
  </si>
  <si>
    <t>CANTO RIGIDO ORANGE CUERO 22MM</t>
  </si>
  <si>
    <t>AGNRBNV218</t>
  </si>
  <si>
    <t>PELIKANO RH BCO.NO 2C MX 2.15X2.44X0.018</t>
  </si>
  <si>
    <t>CAPPLO41</t>
  </si>
  <si>
    <t>CANTO PVC ORANGE DIS. PLOMO 41MM</t>
  </si>
  <si>
    <t>AGNRCAN215</t>
  </si>
  <si>
    <t>PELIKANO RH CARAME 2C NA 2.15X2.44X0.015</t>
  </si>
  <si>
    <t>CPCHA33R</t>
  </si>
  <si>
    <t>CANTO RIGIDO ORANGE CHANTILLI 33MM</t>
  </si>
  <si>
    <t>AGNRCAN218</t>
  </si>
  <si>
    <t>PELIKANO RH CARAME 2C NA 2.15X2.44X0.018</t>
  </si>
  <si>
    <t>CAPCRB22</t>
  </si>
  <si>
    <t>CANTO PVC ORANGE DIS.CARBON 22MM</t>
  </si>
  <si>
    <t>AGNRCAW106</t>
  </si>
  <si>
    <t>PELIKANO RH CARAME 1C WO 2.15X2.44X0.006</t>
  </si>
  <si>
    <t>CAPCUE22</t>
  </si>
  <si>
    <t>CANTO PVC ORANGE DIS.CUERO 22MM</t>
  </si>
  <si>
    <t>AGNRCHS215</t>
  </si>
  <si>
    <t>PELIKANO RH CHAMPA 2C SF 2.15X2.44X0.015</t>
  </si>
  <si>
    <t>CAPCUE41</t>
  </si>
  <si>
    <t>CANTO PVC ORANGE DIS.CUERO 41MM</t>
  </si>
  <si>
    <t>AGNRCMM215</t>
  </si>
  <si>
    <t>PELIKANO RH CEMENT 2C MT. 2.15X2.44X0.015</t>
  </si>
  <si>
    <t>CAPCUE19</t>
  </si>
  <si>
    <t>CANTO PVC ORANGE DIS.CUERO 19MM</t>
  </si>
  <si>
    <t>AGNRCMM218</t>
  </si>
  <si>
    <t>PELIKANO RH CEMENT 2C MT 2.15X2.44X0.018</t>
  </si>
  <si>
    <t>CPONI22R</t>
  </si>
  <si>
    <t>CANTO RIGIDO ORANGE ONIX 22MM</t>
  </si>
  <si>
    <t>AGNRCNW106</t>
  </si>
  <si>
    <t>PELIKANO RH CENIZA 1C WO. 2.15X2.44X0.006</t>
  </si>
  <si>
    <t>PERALM35</t>
  </si>
  <si>
    <t>PERF CANTO NO RANURA X 3M TABLERO 36MM</t>
  </si>
  <si>
    <t>AGNRCNW215</t>
  </si>
  <si>
    <t>PELIKANO RH CENIZA 2C WO. 2.15X2.44X0.015</t>
  </si>
  <si>
    <t>CAPLIN41</t>
  </si>
  <si>
    <t>CANTO PVC ORANGE DIS.LINO 41MM</t>
  </si>
  <si>
    <t>AGNRCNW218</t>
  </si>
  <si>
    <t>PELIKANO RH CENIZA 2C WO 2.15X2.44X0.018</t>
  </si>
  <si>
    <t>CAPGAL33</t>
  </si>
  <si>
    <t>CANTO PVC ORANGE DIS.GALES 33MM</t>
  </si>
  <si>
    <t>AGNRCNW309</t>
  </si>
  <si>
    <t>PELIKANO RH CENIZA 1K WO. 2.15X2.44X0.009</t>
  </si>
  <si>
    <t>CPGAL33R</t>
  </si>
  <si>
    <t>CANTO RIGIDO ORANGE GALES 33MM</t>
  </si>
  <si>
    <t>AGNRCSV106</t>
  </si>
  <si>
    <t>PELIKANO RH CAFE.E 1C MX 2.15X2.44X0.006</t>
  </si>
  <si>
    <t>PERALM93-230</t>
  </si>
  <si>
    <t>PERF MANIJA PLUS X 2.30 MTS TABLERO 15</t>
  </si>
  <si>
    <t>AGNRCSV215</t>
  </si>
  <si>
    <t>PELIKANO RH CAFÉ E. 2C MX 2.15X2.44X0.0.15</t>
  </si>
  <si>
    <t>CPOLI19R</t>
  </si>
  <si>
    <t>CANTO RIGIDO ORANGE OLIVO 19MM</t>
  </si>
  <si>
    <t>AGNRCSV218</t>
  </si>
  <si>
    <t>PELIKANO RH CAFÉ E. 2C MX 2.15X2.44X0.0.18</t>
  </si>
  <si>
    <t>CPGRI22R</t>
  </si>
  <si>
    <t>CANTO RIGIDO MOBILE GRIS 22MM</t>
  </si>
  <si>
    <t>AGNRBNS236</t>
  </si>
  <si>
    <t>PELIKANO RH BCO.NO 2C SF 2.15X2.44X0.036</t>
  </si>
  <si>
    <t>PERALM41PN</t>
  </si>
  <si>
    <t>PERFIL CANTO X 3M TAB 15MM PINTURA NEGRA</t>
  </si>
  <si>
    <t>AGPICB4809</t>
  </si>
  <si>
    <t>AGLO PIZARRON CUADRI. BC 1.22X2.44X0.009</t>
  </si>
  <si>
    <t>PERALM21</t>
  </si>
  <si>
    <t>PERF CANTO ALUMINIO X 3M TABLERO 19MM</t>
  </si>
  <si>
    <t>MFCPE06804</t>
  </si>
  <si>
    <t>MDF DELGADO P.PLUS 1.83X2.44X0.004</t>
  </si>
  <si>
    <t>CAPALU33</t>
  </si>
  <si>
    <t>CANTO PVC ORANGE DIS.ALUMINIO 33MM</t>
  </si>
  <si>
    <t>NOCVTB3600</t>
  </si>
  <si>
    <t>AGLO PELIKA VARIOS COLORE2.15X2.44X0.036</t>
  </si>
  <si>
    <t>CAPGRI22</t>
  </si>
  <si>
    <t>AGNRCSV236</t>
  </si>
  <si>
    <t>PELIKANO RH CAFÉ E. 2C MX 2.15X2.44X0.0.36</t>
  </si>
  <si>
    <t>CPONI41R</t>
  </si>
  <si>
    <t>CANTO RIGIDO ORANGE ONIX 41MM</t>
  </si>
  <si>
    <t>AGNRCTW215</t>
  </si>
  <si>
    <t>PELIKANO RH CEZ.CT 2C WO 2.15X2.44X0.015</t>
  </si>
  <si>
    <t>CPCUE33R</t>
  </si>
  <si>
    <t>CANTO RIGIDO ORANGE CUERO 33MM</t>
  </si>
  <si>
    <t>AGNRCTW315</t>
  </si>
  <si>
    <t>PELIKANO RH CEZ.CT 1K WO 2.15X2.44X0.015</t>
  </si>
  <si>
    <t>CAPBEL19</t>
  </si>
  <si>
    <t>CANTO PVC ORANGE BELLOTA 19MM</t>
  </si>
  <si>
    <t>AGNRCZW106</t>
  </si>
  <si>
    <t>PELIKANO RH CEREZO 1C WO 2.15X2.44X0.006</t>
  </si>
  <si>
    <t>CPBEL19R</t>
  </si>
  <si>
    <t>CANTO RIG ORANGE BELLOTA 19MM</t>
  </si>
  <si>
    <t>AGNRCZW215</t>
  </si>
  <si>
    <t>PELIKANO RH CEREZO 2C WO 2.15X2.44X0.015</t>
  </si>
  <si>
    <t>CPBEL33R</t>
  </si>
  <si>
    <t>CANTO RIG ORANGE BELLOTA 33MM</t>
  </si>
  <si>
    <t>AGNREBW106</t>
  </si>
  <si>
    <t xml:space="preserve">PELIKANO RH EBANO 1C WO 2.15X2.44X0.006 </t>
  </si>
  <si>
    <t>CAPBEL33</t>
  </si>
  <si>
    <t>CANTO PVC ORANGE BELLOTA 33MM</t>
  </si>
  <si>
    <t>AGNREBW215</t>
  </si>
  <si>
    <t xml:space="preserve">PELIKANO RH EBANO 2C WO 2.15X2.44X0.015 </t>
  </si>
  <si>
    <t>CPNAC22R</t>
  </si>
  <si>
    <t>CANTO RIGIDO ORANGE NACAR 22MM</t>
  </si>
  <si>
    <t>AGNREBW218</t>
  </si>
  <si>
    <t xml:space="preserve">PELIKANO RH EBANO 2C WO 2.15X2.44X0.018 </t>
  </si>
  <si>
    <t>CAPNAC33</t>
  </si>
  <si>
    <t>CANTO PVC ORANGE DIS.NACAR 33MM</t>
  </si>
  <si>
    <t>AGNRFMW215</t>
  </si>
  <si>
    <t>PELIKANO RH FLOR.M 2C WO 2.15X2.44X0.015</t>
  </si>
  <si>
    <t>CAPMAC19</t>
  </si>
  <si>
    <t>CANTO PVC ORANGE DIS. MACADAMIA</t>
  </si>
  <si>
    <t>AGNRFMW218</t>
  </si>
  <si>
    <t>PELIKANO RH FLOR.M 2C WO 2.15X2.44X0.018</t>
  </si>
  <si>
    <t>CANTO RIGIDO ORANGE CARAMELO 22MM</t>
  </si>
  <si>
    <t>AGNRFMW309</t>
  </si>
  <si>
    <t>PELIKANO RH FLOR.M 1K WO 2.15X2.44X0.009</t>
  </si>
  <si>
    <t>CANTO PVC ORANGE DIS.CARAMELO 19MM</t>
  </si>
  <si>
    <t>AGNRGRS106</t>
  </si>
  <si>
    <t>PELIKANO RH GRIS 1C SF2.15X2.44X0.006</t>
  </si>
  <si>
    <t>CANTO PVC ORANGE DIS.HUMO 22MM</t>
  </si>
  <si>
    <t>AGNRGRS215</t>
  </si>
  <si>
    <t xml:space="preserve">PELIKANO RH GRIS 2C SF 2.15X2.44X0.015  </t>
  </si>
  <si>
    <t>CAPHUM33</t>
  </si>
  <si>
    <t>CANTO PVC ORANGE DIS.HUMO 33MM</t>
  </si>
  <si>
    <t>AGNRGRW215</t>
  </si>
  <si>
    <t>PELIKANO RH GRIS 2C WO 2.15X2.44X0.015</t>
  </si>
  <si>
    <t>CPBEL22R</t>
  </si>
  <si>
    <t>CANTO RIGIDO ORANGE BELLOTA 22MM</t>
  </si>
  <si>
    <t>AGNRHYW215</t>
  </si>
  <si>
    <t>PELIKANO RH HAYA 2C WO 2.15X2.44X0.015</t>
  </si>
  <si>
    <t>AGCNRL4818</t>
  </si>
  <si>
    <t>MDP NOVOPAN RH LIJ 1.22X2.44X0.018</t>
  </si>
  <si>
    <t>CPNAC33R</t>
  </si>
  <si>
    <t>CANTO RIGIDO ORANGE NACAR 33MM</t>
  </si>
  <si>
    <t>HTU432-01</t>
  </si>
  <si>
    <t>TUB 432 AC CROM OVAL 15X30MM X 3MT</t>
  </si>
  <si>
    <t>CAPBEL41</t>
  </si>
  <si>
    <t>CANTO PVC ORANGE DIS. BELLOTA 41MM</t>
  </si>
  <si>
    <t>MFCTE06802</t>
  </si>
  <si>
    <t>HDF TABLEMAC 1.83X2.44X0.027</t>
  </si>
  <si>
    <t>CAPIBI19</t>
  </si>
  <si>
    <t>CANTO PVC ORANGE DIS. IBIZA 19MM</t>
  </si>
  <si>
    <t>AGNRLAS106</t>
  </si>
  <si>
    <t>PELIKANO RH LIN.AC 1C SF 2.15X2.44X0.006</t>
  </si>
  <si>
    <t>CANTO PVC ORANGE DIS. MACADAMIA 19MM</t>
  </si>
  <si>
    <t>AGNRLAS215</t>
  </si>
  <si>
    <t>PELIKANO RH LIN.AC 2C SF 2.15X2.44X0.015</t>
  </si>
  <si>
    <t>CPMAC19R</t>
  </si>
  <si>
    <t>CANTO RIGIDO ORANGE MACADAMIA 19MM </t>
  </si>
  <si>
    <t>AGNRLAS218</t>
  </si>
  <si>
    <t>PELIKANO RH LIN.AC 2C SF 2.15X2.44X0.018</t>
  </si>
  <si>
    <t>CAPMAC33</t>
  </si>
  <si>
    <t>CANTO PVC ORANGE DIS. MACADAMIA 33MM</t>
  </si>
  <si>
    <t>AGNRLAS236</t>
  </si>
  <si>
    <t>PELIKANO RH LIN.AC 2C SF 2.15X2.44X0.036</t>
  </si>
  <si>
    <t>CAALU33R</t>
  </si>
  <si>
    <t xml:space="preserve">CANTORIGIDOMOBILEALUMINIO33MM           </t>
  </si>
  <si>
    <t>AGNRLIS215</t>
  </si>
  <si>
    <t>PELIKANO RH LINO 2C SF 2.15X2.44X0.015</t>
  </si>
  <si>
    <t>CACAN19R</t>
  </si>
  <si>
    <t xml:space="preserve">CANTO RIGIDO MOBILE CANNOLO 19MM        </t>
  </si>
  <si>
    <t>AGNRLIS218</t>
  </si>
  <si>
    <t xml:space="preserve">PELIKANO RH LINO 2C SF 2.15X2.44X0.018  </t>
  </si>
  <si>
    <t>CACOT19R</t>
  </si>
  <si>
    <t xml:space="preserve">CANTO RIGIDO MOBILE COTTA 19MM          </t>
  </si>
  <si>
    <t>AGNRLIW215</t>
  </si>
  <si>
    <t>PELIKANO RH LINO 2C WO 2.15X2.44X0.015</t>
  </si>
  <si>
    <t>CACOT22R</t>
  </si>
  <si>
    <t>CANTO RIGIDO MOBILE COTTA 22MM</t>
  </si>
  <si>
    <t>AGNRLTM106</t>
  </si>
  <si>
    <t xml:space="preserve">PELIKANO RH LATTE 1C MT 2.15X2.44X0.006 </t>
  </si>
  <si>
    <t>CALROV33</t>
  </si>
  <si>
    <t>AGNRLTM215</t>
  </si>
  <si>
    <t xml:space="preserve">PELIKANO RH LATTE 2C MT 2.15X2.44X0.015 </t>
  </si>
  <si>
    <t>CAMCAN19</t>
  </si>
  <si>
    <t>CANTO PVC MOBILE DIS. CANNOLO 19MM</t>
  </si>
  <si>
    <t>AGNRLTM218</t>
  </si>
  <si>
    <t xml:space="preserve">PELIKANO RH LATTE 2C MT 2.15X2.44X0.018 </t>
  </si>
  <si>
    <t>CAMCAN22</t>
  </si>
  <si>
    <t>CANTO PVC MOBILE DIS.CANNOLO 22MM</t>
  </si>
  <si>
    <t>AGNRLTW215</t>
  </si>
  <si>
    <t xml:space="preserve">PELIKANO RH LATTE 2C WO 2.15X2.44X0.015 </t>
  </si>
  <si>
    <t>CAMCAN33</t>
  </si>
  <si>
    <t xml:space="preserve">CANTO PVC MOBILE DIS. CANNOLO 33MM      </t>
  </si>
  <si>
    <t>AGNRMAM106</t>
  </si>
  <si>
    <t>PELIKANO RH MANZANO 1C MT 2.15X2.44X0.006</t>
  </si>
  <si>
    <t>CAMCAN41</t>
  </si>
  <si>
    <t xml:space="preserve">CANTO PVC MOBILE DIS. CANNOLO 41MM      </t>
  </si>
  <si>
    <t>AGNRMAM215</t>
  </si>
  <si>
    <t>PELIKANO RH MANZAN 2C MT 2.15X2.44X0.015</t>
  </si>
  <si>
    <t>CAMCOT19</t>
  </si>
  <si>
    <t>CANTO PVC MOBILE DIS. COTTA 19MM</t>
  </si>
  <si>
    <t>AGNRMAN215</t>
  </si>
  <si>
    <t>PELIKANO RH MANZANO 2C MT 2.15X2.44X0.015</t>
  </si>
  <si>
    <t>CAMCOT22</t>
  </si>
  <si>
    <t>CANTO PVC MOBILE DIS.COTTA 22MM</t>
  </si>
  <si>
    <t>AGNRMAN218</t>
  </si>
  <si>
    <t>PELIKANO RH MANZANO 2C NA 2.15X2.44X0.018</t>
  </si>
  <si>
    <t>CAMCOT33</t>
  </si>
  <si>
    <t xml:space="preserve">CANTO PVC MOBILE DIS. COTTA 33MM        </t>
  </si>
  <si>
    <t>AGNRMFM106</t>
  </si>
  <si>
    <t>PELIKANO RH MARFIL 1C MT 2.15X2.44X0.006</t>
  </si>
  <si>
    <t>CAMCOT41</t>
  </si>
  <si>
    <t xml:space="preserve">CANTO PVC MOBILE DIS. COTTA 41MM        </t>
  </si>
  <si>
    <t>AGNRMFM215</t>
  </si>
  <si>
    <t>PELIKANO RH MARFIL 2C MT 2.15X2.44X0.015</t>
  </si>
  <si>
    <t>CAMNEU19</t>
  </si>
  <si>
    <t xml:space="preserve">CANTO PVC MOBILE DIS.NOGAL EUROPEO 19MM </t>
  </si>
  <si>
    <t>AGNRMFM218</t>
  </si>
  <si>
    <t>PELIKANO RH MARFIL 2C MT 2.15X2.44X0.018</t>
  </si>
  <si>
    <t>CANEU33R</t>
  </si>
  <si>
    <t xml:space="preserve">CANTO RIGIDO MOBILE NOGAL EUROPEO 33MM  </t>
  </si>
  <si>
    <t>AGNRMFM225</t>
  </si>
  <si>
    <t>PELIKANO RH MARFIL 2C MT 2.15X2.44X0.025</t>
  </si>
  <si>
    <t>CAPAGA19</t>
  </si>
  <si>
    <t xml:space="preserve">CANTO PVC ORANGE DIS. AGAVE 19MM        </t>
  </si>
  <si>
    <t>AGNRMFM236</t>
  </si>
  <si>
    <t>PELIKANO RH MARFIL 2C MT 2.15X2.44X0.036</t>
  </si>
  <si>
    <t>CAPAGA22</t>
  </si>
  <si>
    <t xml:space="preserve">CANTO PVC ORANGE DIS. AGAVE 22MM        </t>
  </si>
  <si>
    <t>AGNRMFV215</t>
  </si>
  <si>
    <t>PELIKANO RH MARFIL 2C MX 2.15X2.44X0.015</t>
  </si>
  <si>
    <t>CAPAGA33</t>
  </si>
  <si>
    <t xml:space="preserve">CANTO PVC ORANGE DIS. AGAVE 33MM        </t>
  </si>
  <si>
    <t>AGNRMFW215</t>
  </si>
  <si>
    <t>PELIKANO RH MARFIL 2C WO 2.15X2.44X0.015</t>
  </si>
  <si>
    <t>CAPAGA41</t>
  </si>
  <si>
    <t xml:space="preserve">CANTO PVC ORANGE DIS. AGAVE 41MM        </t>
  </si>
  <si>
    <t>AGNRMOV215</t>
  </si>
  <si>
    <t>PELIKANO RH MOKA MX WO. 2C 2.15X2.44X0.015</t>
  </si>
  <si>
    <t>CAPARC22</t>
  </si>
  <si>
    <t>CANTO PVC ORANGE DIS. ARIZONA CROSS 22MM</t>
  </si>
  <si>
    <t>AGNRMOV236</t>
  </si>
  <si>
    <t>PELIKANO RH MOKA MX WO. 2C 2.15X2.44X0.036</t>
  </si>
  <si>
    <t>CAPARC33</t>
  </si>
  <si>
    <t>CANTO PVC ORANGE DIS. ARIZONA CROSS 33MM</t>
  </si>
  <si>
    <t>AGNRMOW106</t>
  </si>
  <si>
    <t>PELIKANO RH MOKA 1C WO 2.15X2.44X0.006</t>
  </si>
  <si>
    <t>CAPARC41</t>
  </si>
  <si>
    <t>CANTO PVC ORANGE DIS. ARIZONA CROSS 41MM</t>
  </si>
  <si>
    <t>AGNRMOW215</t>
  </si>
  <si>
    <t>PELIKANO RH MOKA WO. 2.15X2.44X0.015</t>
  </si>
  <si>
    <t>CAPARU19</t>
  </si>
  <si>
    <t xml:space="preserve">CANTO PVC ORANGE DIS. ARUPO 19MM        </t>
  </si>
  <si>
    <t>AGNRMPW106</t>
  </si>
  <si>
    <t xml:space="preserve">PELIKANO RH MAPLE 1C WO 2.15X2.44X0.006
</t>
  </si>
  <si>
    <t>CAPARU22</t>
  </si>
  <si>
    <t xml:space="preserve">CANTO PVC ORANGE DIS. ARUPO 22MM        </t>
  </si>
  <si>
    <t>AGNRMPW215</t>
  </si>
  <si>
    <t xml:space="preserve">PELIKANO RH MAPLE 2C WO 2.15X2.44X0.015 </t>
  </si>
  <si>
    <t>CAPARU33</t>
  </si>
  <si>
    <t xml:space="preserve">CANTO PVC ORANGE DIS. ARUPO 33MM        </t>
  </si>
  <si>
    <t>AGNRMPW218</t>
  </si>
  <si>
    <t xml:space="preserve">PELIKANO RH MAPLE 2C WO 2.15X2.44X0.018 </t>
  </si>
  <si>
    <t>CAPARU41</t>
  </si>
  <si>
    <t xml:space="preserve">CANTO PVC ORANGE DIS. ARUPO 41MM        </t>
  </si>
  <si>
    <t>AGNRNES215</t>
  </si>
  <si>
    <t xml:space="preserve">PELIKANO RH NEGRO 2C SF 2.15X2.44X0.015 </t>
  </si>
  <si>
    <t>CAPBAR19</t>
  </si>
  <si>
    <t>CANTO PVC ORANGE DIS. BARDOLINO 19MM</t>
  </si>
  <si>
    <t>AGNRNGW106</t>
  </si>
  <si>
    <t xml:space="preserve">PELIKANO RH NOGAL 1C WO 2.15X2.44X0.006 </t>
  </si>
  <si>
    <t>CAPBAR22</t>
  </si>
  <si>
    <t>CANTO PVC ORANGE DIS. BARDOLINO 22MM</t>
  </si>
  <si>
    <t>AGNRNGW209</t>
  </si>
  <si>
    <t>PELIKANO RH NOGAL 2C WO 2.15X2.44X0.009</t>
  </si>
  <si>
    <t>CAPBAR33</t>
  </si>
  <si>
    <t xml:space="preserve">CANTO PVC ORANGE DIS. BARDOLINO 33MM    </t>
  </si>
  <si>
    <t>AGNRNGW215</t>
  </si>
  <si>
    <t xml:space="preserve">PELIKANO RH NOGAL 2C WO 2.15X2.44X0.015 </t>
  </si>
  <si>
    <t>CAPBAR41</t>
  </si>
  <si>
    <t xml:space="preserve">CANTO PVC ORANGE DIS. BARDOLINO 41MM    </t>
  </si>
  <si>
    <t>AGNRNGW218</t>
  </si>
  <si>
    <t xml:space="preserve">PELIKANO RH NOGAL 2C WO 2.15X2.44X0.018 </t>
  </si>
  <si>
    <t>CAPBEL22</t>
  </si>
  <si>
    <t xml:space="preserve">CANTO PVC ORANGE DIS. BELLOTA 22MM      </t>
  </si>
  <si>
    <t>AGNRNGW225</t>
  </si>
  <si>
    <t>PELIKANO RH NOGAL 2C WO 2.15X2.44X0.025</t>
  </si>
  <si>
    <t>CAPCAN19</t>
  </si>
  <si>
    <t xml:space="preserve">CANTO PVC ORANGE DIS. CANNOLO 19MM      </t>
  </si>
  <si>
    <t>AGNRNGW236</t>
  </si>
  <si>
    <t xml:space="preserve">PELIKANO RH NOGAL 2C WO 2.15X2.44X0.036 </t>
  </si>
  <si>
    <t>CAPCAN33</t>
  </si>
  <si>
    <t xml:space="preserve">CANTO PVC ORANGE DIS. CANNOLO 33MM      </t>
  </si>
  <si>
    <t>AGNRNGW309</t>
  </si>
  <si>
    <t xml:space="preserve">PELIKANO RH NOGAL 1K WO 2.15X2.44X0.009 </t>
  </si>
  <si>
    <t>CAPCAS19</t>
  </si>
  <si>
    <t>CANTO PVC ORANGE DIS. CASTAÑO 19MM</t>
  </si>
  <si>
    <t>AGNRNGW315</t>
  </si>
  <si>
    <t xml:space="preserve">PELIKANO RH NOGAL 1N WO 2.15X2.44X0.015 </t>
  </si>
  <si>
    <t>CAPCAS22</t>
  </si>
  <si>
    <t>CANTO PVC ORANGE DIS. CASTAÑO 22MM</t>
  </si>
  <si>
    <t>AGNROLM106</t>
  </si>
  <si>
    <t xml:space="preserve">PELIKANO RH OLIVO 1C MT 2.15X2.44X0.006 </t>
  </si>
  <si>
    <t>CAPCAS33</t>
  </si>
  <si>
    <t>CANTO PVC ORANGE DIS. CASTAÑO 33MM</t>
  </si>
  <si>
    <t>AGNROLM209</t>
  </si>
  <si>
    <t>PELIKANO RH OLIVO 2C MT 2.15X2.44X0.009</t>
  </si>
  <si>
    <t>CAPCAS41</t>
  </si>
  <si>
    <t>CANTO PVC ORANGE DIS. CASTAÑO 41MM</t>
  </si>
  <si>
    <t>AGNROLM215</t>
  </si>
  <si>
    <t xml:space="preserve">PELIKANO RH OLIVO 2C MT 2.15X2.44X0.015 </t>
  </si>
  <si>
    <t>CAPCHA41</t>
  </si>
  <si>
    <t xml:space="preserve">CANTO PVC ORANGE DIS.CHANTILLI 41MM     </t>
  </si>
  <si>
    <t>AGNROLM218</t>
  </si>
  <si>
    <t xml:space="preserve">PELIKANO RH OLIVO 2C MT 2.15X2.44X0.018 </t>
  </si>
  <si>
    <t>CAPCOT19</t>
  </si>
  <si>
    <t xml:space="preserve">CANTO PVC ORANGE DIS. COTTA 19MM        </t>
  </si>
  <si>
    <t>AGNROLM225</t>
  </si>
  <si>
    <t xml:space="preserve">PELIKANO RH OLIVO 2C MT 2.15X2.44X0.025 </t>
  </si>
  <si>
    <t>CAPCOT33</t>
  </si>
  <si>
    <t xml:space="preserve">CANTO PVC ORANGE DIS. COTTA 33MM        </t>
  </si>
  <si>
    <t>AGNROLM236</t>
  </si>
  <si>
    <t xml:space="preserve">PELIKANO RH OLIVO 2C MT 2.15X2.44X0.036 </t>
  </si>
  <si>
    <t>CAPCPR19</t>
  </si>
  <si>
    <t xml:space="preserve">CANTO PVC ORANGE DIS.CAPRI 19MM         </t>
  </si>
  <si>
    <t>AGNROLM309</t>
  </si>
  <si>
    <t>PELIKANO RH OLIVO 1K MT 2.44 X 2.15X 0.009</t>
  </si>
  <si>
    <t>CAPCPR22</t>
  </si>
  <si>
    <t>CANTO PVC ORANGE DIS. CAPRI 22MM</t>
  </si>
  <si>
    <t>AGNROLV215</t>
  </si>
  <si>
    <t>PELIKANO RH OLMO 2C MX 2.15X2.44X0.015</t>
  </si>
  <si>
    <t>CAPCPR33</t>
  </si>
  <si>
    <t xml:space="preserve">CANTO PVC ORANGE DIS.CAPRI 33MM         </t>
  </si>
  <si>
    <t>AGNROLV218</t>
  </si>
  <si>
    <t xml:space="preserve">PELIKANO RH OLIVO 2C 2.15X2.44X0.018    </t>
  </si>
  <si>
    <t>CAPCPR41</t>
  </si>
  <si>
    <t xml:space="preserve">CANTO PVC ORANGE DIS. CAPRI 41MM        </t>
  </si>
  <si>
    <t xml:space="preserve">AGNRDUP236 </t>
  </si>
  <si>
    <t>PELIKANO RH DUNA 2C PO 2.15X2.44X0.036</t>
  </si>
  <si>
    <t>CAPCRP22</t>
  </si>
  <si>
    <t>CANTO PVC ORANGE DIS.CANION RUS PRI 22MM</t>
  </si>
  <si>
    <t>AGNROMM106</t>
  </si>
  <si>
    <t>PELIKANO RH OLMO 1C MT 2.15X2.44X0.006</t>
  </si>
  <si>
    <t>CAPCRP41</t>
  </si>
  <si>
    <t>CANTO PVC ORANGE DIS.CANION RUS PRI 41MM</t>
  </si>
  <si>
    <t>AGNROMM215</t>
  </si>
  <si>
    <t>PELIKANO RH OLMO 2C MT 2.15X2.44X0.015</t>
  </si>
  <si>
    <t>CAPCUE33</t>
  </si>
  <si>
    <t>CANTO PVC ORANGE DIS.CUERO 33MM</t>
  </si>
  <si>
    <t>AGNROMM218</t>
  </si>
  <si>
    <t>PELIKANO RH OLMO 2C MT 2.15X2.44X0.018</t>
  </si>
  <si>
    <t>CAPFEU19</t>
  </si>
  <si>
    <t xml:space="preserve">CANTO PVC ORANGE DIS. FRESNO EUROP 19MM </t>
  </si>
  <si>
    <t>AGNROMM236</t>
  </si>
  <si>
    <t>PELIKANO RH OLMO 2C MT 2.15X2.44X0.036</t>
  </si>
  <si>
    <t>CAPFEU22</t>
  </si>
  <si>
    <t>CANTO PVC ORANGE DIS. FRESNO EUROP 22MM</t>
  </si>
  <si>
    <t>AGNROMV106</t>
  </si>
  <si>
    <t>PELIKANO RH OLMO 1C MX 2.15X2.44X0.006</t>
  </si>
  <si>
    <t>CAPFEU33</t>
  </si>
  <si>
    <t xml:space="preserve">CANTO PVC ORANGE DIS. FRESNO EUROP 33MM </t>
  </si>
  <si>
    <t>AGNROMV209</t>
  </si>
  <si>
    <t xml:space="preserve">PELIKANO RH OLIVO 2C 2.15X2.44X0.009    </t>
  </si>
  <si>
    <t>CAPFEU41</t>
  </si>
  <si>
    <t xml:space="preserve">CANTO PVC ORANGE DIS. FRESNO EUROP 41MM </t>
  </si>
  <si>
    <t>AGNROMV215</t>
  </si>
  <si>
    <t xml:space="preserve">PELIKANO RH OLIVO 2C MX 2.15X2.44X0.015 </t>
  </si>
  <si>
    <t>CAPIBI22</t>
  </si>
  <si>
    <t>CANTO PVC ORANGE DIS.IBIZA 22MM</t>
  </si>
  <si>
    <t>AGNROMW215</t>
  </si>
  <si>
    <t xml:space="preserve">PELIKANO RH OLMO 2C WO 2.15X2.44X0.015  </t>
  </si>
  <si>
    <t>CAPIBI33</t>
  </si>
  <si>
    <t>CANTO PVC ORANGE DIS.IBIZA 33MM</t>
  </si>
  <si>
    <t>AGNROMW218</t>
  </si>
  <si>
    <t xml:space="preserve">PELIKANO RH OLMO 2C WO 2.15X2.44X0.018  </t>
  </si>
  <si>
    <t>CAPIBI41</t>
  </si>
  <si>
    <t>CANTO PVC ORANGE DIS.IBIZA 41MM</t>
  </si>
  <si>
    <t>AGNROXS215</t>
  </si>
  <si>
    <t>PELIKANO RH OXID 2C SF 2.15X2.44X0.015</t>
  </si>
  <si>
    <t>CAPIND19</t>
  </si>
  <si>
    <t>CANTO PVC ORANGE DIS. INDIGO 19MM</t>
  </si>
  <si>
    <t>AGNRPKV218</t>
  </si>
  <si>
    <t xml:space="preserve">PELIKANO RH PEKAN 2C MX 2.15X2.44X0.018 </t>
  </si>
  <si>
    <t>CAPIND33</t>
  </si>
  <si>
    <t>CANTO PVC ORANGE DIS. INDIGO 33MM</t>
  </si>
  <si>
    <t>AGNRPKW106</t>
  </si>
  <si>
    <t xml:space="preserve">PELIKANO RH PEKAN 1C WO 2.15X2.44X0.006 </t>
  </si>
  <si>
    <t>CAPMAC41</t>
  </si>
  <si>
    <t xml:space="preserve">CANTO PVC ORANGE DIS.MACADAMIA 41MM     </t>
  </si>
  <si>
    <t>AGNRPKW215</t>
  </si>
  <si>
    <t xml:space="preserve">PELIKANO RH PEKAN 2C WO 2.15X2.44X0.015 </t>
  </si>
  <si>
    <t>CAPMAL19</t>
  </si>
  <si>
    <t xml:space="preserve">CANTO PVC ORANGE DIS. MALLADO 19MM      </t>
  </si>
  <si>
    <t>AGNRPKW218</t>
  </si>
  <si>
    <t xml:space="preserve">PELIKANO RH PEKAN 2C WO 2.15X2.44X0.018 </t>
  </si>
  <si>
    <t>CAPMAL22</t>
  </si>
  <si>
    <t xml:space="preserve">CANTO PVC ORANGE DIS. MALLADO 22MM      </t>
  </si>
  <si>
    <t>AGNRPKW236</t>
  </si>
  <si>
    <t xml:space="preserve">PELIKANO RH PEKAN 2C WO 2.15X2.44X0.036 </t>
  </si>
  <si>
    <t>CAPMAL33</t>
  </si>
  <si>
    <t xml:space="preserve">CANTO PVC ORANGE DIS. MALLADO 33MM      </t>
  </si>
  <si>
    <t>AGNRPKW315</t>
  </si>
  <si>
    <t>PELIKANO RH PEKAN 1K WO 2.15X2.44X0.015</t>
  </si>
  <si>
    <t>CAPMAL41</t>
  </si>
  <si>
    <t xml:space="preserve">CANTO PVC ORANGE DIS. MALLADO 41MM      </t>
  </si>
  <si>
    <t>AGNRRAV215</t>
  </si>
  <si>
    <t>PELIKANO RH ROB.AH 2C MX 2.15X2.44X0.015</t>
  </si>
  <si>
    <t>CAPMIL19</t>
  </si>
  <si>
    <t xml:space="preserve">CANTO PVC ORANGE DIS. MILAN 19MM        </t>
  </si>
  <si>
    <t>AGNRRAV218</t>
  </si>
  <si>
    <t>PELIKANO RH ROB.AH 2C MX 2.15X2.44X0.018</t>
  </si>
  <si>
    <t>CAPMIL22</t>
  </si>
  <si>
    <t xml:space="preserve">CANTO PVC ORANGE DIS. MILAN 22MM        </t>
  </si>
  <si>
    <t>AGNRRAW106</t>
  </si>
  <si>
    <t>PELIKANO RH ROB.AH 1C WO 2.15X2.44X0.006</t>
  </si>
  <si>
    <t>CAPMIL33</t>
  </si>
  <si>
    <t xml:space="preserve">CANTO PVC ORANGE DIS. MILAN 33MM        </t>
  </si>
  <si>
    <t>AGNRRAW209</t>
  </si>
  <si>
    <t>PELIKANO RH ROB.AH 2C WO 2.15X2.44X0.009</t>
  </si>
  <si>
    <t>CAPMIL41</t>
  </si>
  <si>
    <t xml:space="preserve">CANTO PVC ORANGE DIS. MILAN 41MM        </t>
  </si>
  <si>
    <t>AGNRRAW215</t>
  </si>
  <si>
    <t>PELIKANO RH ROB.AH 2C WO 2.15X2.44X0.015</t>
  </si>
  <si>
    <t>CAPMNG41</t>
  </si>
  <si>
    <t>CANTO PVC ORANGE DIS. MANGO 41MM</t>
  </si>
  <si>
    <t>AGNRRAW218</t>
  </si>
  <si>
    <t>PELIKANO RH ROB.AH 2C WO 2.15X2.44X0.018</t>
  </si>
  <si>
    <t>CAPNAC19</t>
  </si>
  <si>
    <t xml:space="preserve">CANTO PVC ORANGE DIS. NACAR 19MM        </t>
  </si>
  <si>
    <t>AGNRRAW236</t>
  </si>
  <si>
    <t>PELIKANO RH ROB.AH 2C WO 2.15X2.44X0.036</t>
  </si>
  <si>
    <t>CAPNAC22</t>
  </si>
  <si>
    <t xml:space="preserve">CANTO PVC ORANGE DIS. NACAR 22MM        </t>
  </si>
  <si>
    <t>AGNRRBW215</t>
  </si>
  <si>
    <t xml:space="preserve">PELIKANO RH ROBLE 2C WO 2.15X2.44X0.015 </t>
  </si>
  <si>
    <t>CAPNAC41</t>
  </si>
  <si>
    <t xml:space="preserve">CANTO PVC ORANGE DIS. NACAR 41MM        </t>
  </si>
  <si>
    <t>AGNRRBW218</t>
  </si>
  <si>
    <t>PELIKANO RH ROBLE 2C WO 2.15X2.44X0.018</t>
  </si>
  <si>
    <t>CAPNAU19</t>
  </si>
  <si>
    <t>CANTO PVC ORANGE DIS. NAUTICO 19MM</t>
  </si>
  <si>
    <t>AGNRRCS106</t>
  </si>
  <si>
    <t>PELIKANO RH ROB.CL 1C MX 2.15X2.44X0.006</t>
  </si>
  <si>
    <t>CAPNAU33</t>
  </si>
  <si>
    <t>CANTO PVC ORANGE DIS. NAUTICO 33MM</t>
  </si>
  <si>
    <t>AGNRRCV215</t>
  </si>
  <si>
    <t>PELIKANO RH ROB.CL 2C MX 2.15X2.44X0.015</t>
  </si>
  <si>
    <t>CAPNEU19</t>
  </si>
  <si>
    <t>CANTO PVC ORANGE DIS. NOGAL EUROPEO 19MM</t>
  </si>
  <si>
    <t>AGNRRCV218</t>
  </si>
  <si>
    <t>PELIKANO RH ROB.CL 2C MX 2.15X2.44X0.018</t>
  </si>
  <si>
    <t>CAPNEU22</t>
  </si>
  <si>
    <t>CANTO PVC ORANGE DIS. NOGAL EUROPEO 22MM</t>
  </si>
  <si>
    <t>AGNRRCW106</t>
  </si>
  <si>
    <t>PELIKANO RH ROB.CL 1C WO 2.15X2.44X0.006</t>
  </si>
  <si>
    <t>CAPNEU33</t>
  </si>
  <si>
    <t xml:space="preserve">CANTO PVC ORANGE DIS.NOGAL EUROPEO 33MM </t>
  </si>
  <si>
    <t>AGNRRCW209</t>
  </si>
  <si>
    <t>PELIKANO RH ROB.CL 2C WO 2.15X2.44X0.009</t>
  </si>
  <si>
    <t>CAPNEU41</t>
  </si>
  <si>
    <t>CANTO PVC ORANGE DIS. NOGAL EUROPEO 41MM</t>
  </si>
  <si>
    <t>AGNRRCW215</t>
  </si>
  <si>
    <t>PELIKANO RH ROB.CL 2C WO 2.15X2.44X0.015</t>
  </si>
  <si>
    <t>CAPOXI41</t>
  </si>
  <si>
    <t>CANTO PVC ORANGE DIS.OXID 41MM</t>
  </si>
  <si>
    <t>AGNRRCW218</t>
  </si>
  <si>
    <t>PELIKANO RH ROB.CL 2C WO 2.15X2.44X0.018</t>
  </si>
  <si>
    <t>CAPRBM19</t>
  </si>
  <si>
    <t xml:space="preserve">CANTO PVC ORANGE ROBLE BLANCO 19MM      </t>
  </si>
  <si>
    <t>AGNRRCW225</t>
  </si>
  <si>
    <t>PELIKANO RH ROB.CL 2C WO 2.15X2.44X0.025</t>
  </si>
  <si>
    <t>CAPRBM22</t>
  </si>
  <si>
    <t xml:space="preserve">CANTO PVC ORANGE ROBLE BLANCO 22MM      </t>
  </si>
  <si>
    <t>AGNRRCW236</t>
  </si>
  <si>
    <t>PELIKANO RH ROB.CL 2C WO 2.15X2.44X0.036</t>
  </si>
  <si>
    <t>CAPRBM33</t>
  </si>
  <si>
    <t xml:space="preserve">CANTO PVC ORANGE ROBLE BLANCO 33MM      </t>
  </si>
  <si>
    <t>AGNRRGV215</t>
  </si>
  <si>
    <t>PELIKANO RH ROB.GR 2C MX 2.15X2.44X0.015</t>
  </si>
  <si>
    <t>CAPRBM41</t>
  </si>
  <si>
    <t xml:space="preserve">CANTO PVC ORANGE ROBLE BLANCO 41MM      </t>
  </si>
  <si>
    <t>AGNRRGW106</t>
  </si>
  <si>
    <t>PELIKANO RH ROB.GR 1C WO 2.15X2.44X0.006</t>
  </si>
  <si>
    <t>CAPSAN33</t>
  </si>
  <si>
    <t>CANTO PVC ORANGE DIS.SANGRIA 33MM</t>
  </si>
  <si>
    <t>AGNRRGW215</t>
  </si>
  <si>
    <t>PELIKANO RH ROB.GR 2C WO 2.15X2.44X0.015</t>
  </si>
  <si>
    <t>CAPSOM33</t>
  </si>
  <si>
    <t>CANTO PVC ORANGE DIS.SOMBRA 33MM</t>
  </si>
  <si>
    <t>AGNRRGW218</t>
  </si>
  <si>
    <t>PELIKANO RH ROB.GR 2C WO 2.15X2.44X0.018</t>
  </si>
  <si>
    <t>CAPTIV19</t>
  </si>
  <si>
    <t xml:space="preserve">CANTO PVC ORANGE DIS. TIVOLI 19MM       </t>
  </si>
  <si>
    <t>AGNRRGW225</t>
  </si>
  <si>
    <t>PELIKANO RH ROB.GR 2C WO 2.15X2.44X0.025</t>
  </si>
  <si>
    <t>CAPTIV22</t>
  </si>
  <si>
    <t xml:space="preserve">CANTO PVC ORANGE DIS. TIVOLI 22MM       </t>
  </si>
  <si>
    <t>AGNRRGW236</t>
  </si>
  <si>
    <t>PELIKANO RH ROB.GR 2C WO 2.15X2.44X0.036</t>
  </si>
  <si>
    <t>CAPTIV33</t>
  </si>
  <si>
    <t xml:space="preserve">CANTO PVC ORANGE DIS. TIVOLI 33MM       </t>
  </si>
  <si>
    <t>AGNRRGW309</t>
  </si>
  <si>
    <t>PELIKANO RH ROB.GR 2C WO 2.15X2.44X0.009</t>
  </si>
  <si>
    <t>CAPTIV41</t>
  </si>
  <si>
    <t xml:space="preserve">CANTO PVC ORANGE DIS. TIVOLI 41MM       </t>
  </si>
  <si>
    <t>AGNRROS215</t>
  </si>
  <si>
    <t>PELIKANO RH ROJO 2C SF 2.15X2.44X0.015</t>
  </si>
  <si>
    <t>CAPTOQ19</t>
  </si>
  <si>
    <t xml:space="preserve">CANTO PVC ORANGE DIS. TOQUILLA 19MM     </t>
  </si>
  <si>
    <t>AGNRRVM106</t>
  </si>
  <si>
    <t>PELIKANO RH ROVERE 1C MT 2.15X2.44X0.006</t>
  </si>
  <si>
    <t>CAPTOQ22</t>
  </si>
  <si>
    <t xml:space="preserve">CANTO PVC ORANGE DIS. TOQUILLA 22MM     </t>
  </si>
  <si>
    <t>AGNRRVM215</t>
  </si>
  <si>
    <t>PELIKANO RH ROVERE 2C MT 2.15X2.44X0.015</t>
  </si>
  <si>
    <t>CAPTOQ33</t>
  </si>
  <si>
    <t xml:space="preserve">CANTO PVC ORANGE DIS. TOQUILLA 33MM     </t>
  </si>
  <si>
    <t>AGNRRVM218</t>
  </si>
  <si>
    <t>PELIKANO RH ROVERE 2C MT 2.15X2.44X0.018</t>
  </si>
  <si>
    <t>CAPTOQ41</t>
  </si>
  <si>
    <t xml:space="preserve">CANTO PVC ORANGE DIS. TOQUILLA 41MM     </t>
  </si>
  <si>
    <t>AGNRSIV106</t>
  </si>
  <si>
    <t>PELIKANO RH SIENA 1C MX 2.15X2.44X0.006</t>
  </si>
  <si>
    <t>CAPWCH41</t>
  </si>
  <si>
    <t>CANTO PVC ORANGE DIS.WHITE CHIC 41MM</t>
  </si>
  <si>
    <t>AGNRSIV215</t>
  </si>
  <si>
    <t>PELIKANO RH SIENA 2C MX 2.15X2.44X0.015</t>
  </si>
  <si>
    <t>CAWEN22R</t>
  </si>
  <si>
    <t>CANTO RIGIDO MOBILE WENGUE 22MM</t>
  </si>
  <si>
    <t>AGNRSIV218</t>
  </si>
  <si>
    <t>PELIKANO RH SIENA 2C MX 2.15X2.44X0.018</t>
  </si>
  <si>
    <t>CHGCIN22</t>
  </si>
  <si>
    <t xml:space="preserve">CANTO SEM 1MM GALANTTI CINZA ITALIA 22M </t>
  </si>
  <si>
    <t>AGNRSIV236</t>
  </si>
  <si>
    <t>PELIKANO RH  SIENA 2C MX 2.15X2.44X0.036</t>
  </si>
  <si>
    <t>CHGRBI22</t>
  </si>
  <si>
    <t xml:space="preserve">CANTO MIRROR GLOSS 23X1 25MTS BIGIO     </t>
  </si>
  <si>
    <t>AGNRSIV309</t>
  </si>
  <si>
    <t>PELIKANO RH SIENA  1K MX 2.15X2.44X0.009</t>
  </si>
  <si>
    <t>CHGRBI22-CD</t>
  </si>
  <si>
    <t>CANTO MIRROR GLOSS 23X1MM BIGIO</t>
  </si>
  <si>
    <t>AGNRVES215</t>
  </si>
  <si>
    <t xml:space="preserve">PELIKANO RH VERDE 2C SF 2.15X2.44X0.015 </t>
  </si>
  <si>
    <t>CHGRBN22</t>
  </si>
  <si>
    <t xml:space="preserve">CANTO MIRROR GLOSS 23X1 25MTS BLANCO    </t>
  </si>
  <si>
    <t>AGNRWCM215</t>
  </si>
  <si>
    <t xml:space="preserve">GLO TROPIK WHITE 2C MT 2.15X2.44X0.015 </t>
  </si>
  <si>
    <t>CHGRBN22-CD</t>
  </si>
  <si>
    <t>CANTO MIRROR GLOSS 23X1MM BLANCO</t>
  </si>
  <si>
    <t>AGNRWCM236</t>
  </si>
  <si>
    <t>GLO TROPIK WHITE 2C MT 2.15X2.44X0.036</t>
  </si>
  <si>
    <t>CHGRBR22-CD</t>
  </si>
  <si>
    <t>CANTO ALTO BRILLO 23X1MM BLANCO</t>
  </si>
  <si>
    <t>AGNRWCM309</t>
  </si>
  <si>
    <t xml:space="preserve">PELIKANO RH WHITE 1K MT 2.15X2.44X0.009
</t>
  </si>
  <si>
    <t>CHGRCU22</t>
  </si>
  <si>
    <t xml:space="preserve">CANTO MIRROR GLOSS 23X1 25MTS CUBANITE  </t>
  </si>
  <si>
    <t>AGNRWES215</t>
  </si>
  <si>
    <t>PELIKANO RH WENGUE 2C SF 2.15X2.44X0.015</t>
  </si>
  <si>
    <t>CHGRCU22-CD</t>
  </si>
  <si>
    <t>CANTO MIRROR GLOSS 23X1MM CUBANITE</t>
  </si>
  <si>
    <t>AGNRWEV215</t>
  </si>
  <si>
    <t>PELIKANO RH WENGUE 2C MX 2.15X2.44X0.015</t>
  </si>
  <si>
    <t>CHGRGA22</t>
  </si>
  <si>
    <t xml:space="preserve">CANTO MIRROR GLOSS 23X1 25MTS GABBIANO  </t>
  </si>
  <si>
    <t>AGNRWEV218</t>
  </si>
  <si>
    <t>PELIKANO RH WENGUE 2C MX 2.15X2.44X0.018</t>
  </si>
  <si>
    <t>CHGRGA22-CD</t>
  </si>
  <si>
    <t>CANTO MIRROR GLOSS 23X1MM GABBIANO</t>
  </si>
  <si>
    <t>AGNRWEV236</t>
  </si>
  <si>
    <t>PELIKANO RH WENGUE 2C MX 2.15X2.44X0.036</t>
  </si>
  <si>
    <t>CND1022</t>
  </si>
  <si>
    <t xml:space="preserve">CANTONERA 102X102X25MM                  </t>
  </si>
  <si>
    <t>AGNRWEW106</t>
  </si>
  <si>
    <t>PELIKANO RH WENGUE 1C WO 2.15X2.44X0.006</t>
  </si>
  <si>
    <t>CND2915</t>
  </si>
  <si>
    <t xml:space="preserve">CANTONERA 2 29X29X15                    </t>
  </si>
  <si>
    <t>AGNRWEW215</t>
  </si>
  <si>
    <t>PELIKANO RH WENGUE 2C WO 2.15X2.44X0.015</t>
  </si>
  <si>
    <t>CND3818</t>
  </si>
  <si>
    <t xml:space="preserve">CANTONERA 3 38X38X18                    </t>
  </si>
  <si>
    <t>AGNRWEW218</t>
  </si>
  <si>
    <t>PELIKANO RH WENGUE 2C WO 2.15X2.44X0.018</t>
  </si>
  <si>
    <t>CND7618</t>
  </si>
  <si>
    <t xml:space="preserve">CANTONERA 6A 76X76X18                   </t>
  </si>
  <si>
    <t>AGNRWEW236</t>
  </si>
  <si>
    <t>PELIKANO RH WENGUE 2C WO 2.15X2.44X0.036</t>
  </si>
  <si>
    <t>CPAGA19R</t>
  </si>
  <si>
    <t xml:space="preserve">CANTO RIGIDO ORANGE AGAVE 19MM          </t>
  </si>
  <si>
    <t>AGNRWEW309</t>
  </si>
  <si>
    <t>PELIKANO RH WENGUE 1K WO 2.15X2.44X0.009</t>
  </si>
  <si>
    <t>CPAGA22R</t>
  </si>
  <si>
    <t xml:space="preserve">CANTO RIGIDO ORANGE AGAVE 22MM          </t>
  </si>
  <si>
    <t>AGNRWEW515</t>
  </si>
  <si>
    <t>PELIKANO RH WENGUE 1B WO 2.15X2.44X0.015</t>
  </si>
  <si>
    <t>CPAGA33R</t>
  </si>
  <si>
    <t xml:space="preserve">CANTO RIGIDO ORANGE AGAVE 33MM          </t>
  </si>
  <si>
    <t>AGREBNS215</t>
  </si>
  <si>
    <t>AGLO. VESTO BCO.NEV 2.15X2.44X0.015</t>
  </si>
  <si>
    <t>CPAGA41R</t>
  </si>
  <si>
    <t xml:space="preserve">CANTO RIGIDO ORANGE AGAVE 41MM          </t>
  </si>
  <si>
    <t>AGREFEW206</t>
  </si>
  <si>
    <t>AGLO VESTO FRESNO EURO W 1.83X2.44X0.006</t>
  </si>
  <si>
    <t>CPARC22R</t>
  </si>
  <si>
    <t>CANTO RIGIDO ORANGE ARIZONA CROSS 22MM</t>
  </si>
  <si>
    <t xml:space="preserve">AGREFEW215 </t>
  </si>
  <si>
    <t>AGLO VESTO FRESNO EURO W 2.15X2.44X0.015</t>
  </si>
  <si>
    <t>CPARU19R</t>
  </si>
  <si>
    <t xml:space="preserve">CANTO RIGIDO ORANGE ARUPO 19MM          </t>
  </si>
  <si>
    <t>AGREFEW218</t>
  </si>
  <si>
    <t>AGLO VESTO FRESNO EURO W 2.15X2.44X0.018</t>
  </si>
  <si>
    <t>CPARU22R</t>
  </si>
  <si>
    <t xml:space="preserve">CANTO RIGIDO ORANGE ARUPO 22MM          </t>
  </si>
  <si>
    <t>AGREPKW215</t>
  </si>
  <si>
    <t>AGLO VESTO PEKAN2C WO  2.15X2.44X0.015</t>
  </si>
  <si>
    <t>CPARU33R</t>
  </si>
  <si>
    <t xml:space="preserve">CANTO RIGIDO ORANGE ARUPO 33MM          </t>
  </si>
  <si>
    <t>AGREPKW315B</t>
  </si>
  <si>
    <t>AGLO VESTO 2DA PEKAN 1.83X2.44X0.015</t>
  </si>
  <si>
    <t>CPARU41R</t>
  </si>
  <si>
    <t xml:space="preserve">CANTO RIGIDO ORANGE ARUPO 41MM          </t>
  </si>
  <si>
    <t>AGREWES215</t>
  </si>
  <si>
    <t>AGLO VESTO WENGUE LISO 1.83X2.50X0.015</t>
  </si>
  <si>
    <t>CPBAR19R</t>
  </si>
  <si>
    <t xml:space="preserve">CANTO RIGIDO ORANGE BARDOLINO 19MM      </t>
  </si>
  <si>
    <t>AGREWEW215B</t>
  </si>
  <si>
    <t>AGLO VESTO 2DA WENGUE 2.15X2.44X0.015</t>
  </si>
  <si>
    <t>CPBAR22R</t>
  </si>
  <si>
    <t xml:space="preserve">CANTO RIGIDO ORANGE BARDLINO 22MM       </t>
  </si>
  <si>
    <t>AGREWSW215</t>
  </si>
  <si>
    <t>VESTO WENGUE SHYRAZ D/D 2.15X2.44X0.015</t>
  </si>
  <si>
    <t>CPBAR33R</t>
  </si>
  <si>
    <t xml:space="preserve">CANTO RIGIDO ORANGE BARDOLINO 33MM      </t>
  </si>
  <si>
    <t>AGRRBNS215</t>
  </si>
  <si>
    <t>AGLO VESTO RH BCO NEV SF 2.15X2.44X0.015</t>
  </si>
  <si>
    <t>CPBAR41R</t>
  </si>
  <si>
    <t xml:space="preserve">CANTO RIGIDO ORANGE BARDOLINO 41MM      </t>
  </si>
  <si>
    <t>AGRRBNS218</t>
  </si>
  <si>
    <t>AGLO VESTO RH BCO NEV SF 2.15X2.44X0.018</t>
  </si>
  <si>
    <t>CPBEL41R</t>
  </si>
  <si>
    <t xml:space="preserve">CANTO RIGIDO ORANGE BELLOTA 41MM        </t>
  </si>
  <si>
    <t>AGRRWSW215</t>
  </si>
  <si>
    <t>AGLO VESTO RH WENG SHZ W 2.15 X 2.44 X 0.15</t>
  </si>
  <si>
    <t>CPCAN19R</t>
  </si>
  <si>
    <t xml:space="preserve">CANTO RIGIDO ORANGE CANNOLO 19MM        </t>
  </si>
  <si>
    <t>AGTEBRW315</t>
  </si>
  <si>
    <t>AGLO SUPERCOR BRUMA W 1.83X2.44X0.015</t>
  </si>
  <si>
    <t>CPCAN22R</t>
  </si>
  <si>
    <t>CANTO RIGIDO ORANGE CANNOLO 22MM</t>
  </si>
  <si>
    <t>AGPMRBS315</t>
  </si>
  <si>
    <t>MELAMINA RH BCO.NO 2C SF 1.83X2.44X0.015</t>
  </si>
  <si>
    <t>CPCAN41R</t>
  </si>
  <si>
    <t xml:space="preserve">CANTO RIGIDO ORANGE CANNOLO 41MM        </t>
  </si>
  <si>
    <t>AGPMRBS215</t>
  </si>
  <si>
    <t>MELAMINA RH BCO.NO 2C SF 2.15X2.44X0.015</t>
  </si>
  <si>
    <t>CPCAS19R</t>
  </si>
  <si>
    <t>CANTO RIGIDO ORANGE CASTAÑO 19MM</t>
  </si>
  <si>
    <t>MFCSLE7904</t>
  </si>
  <si>
    <t>MDF DELGADO 2.10X2.80X0.004</t>
  </si>
  <si>
    <t>CPCAS22R</t>
  </si>
  <si>
    <t>CANTO RIGIDO ORANGE CASTAÑO 22MM</t>
  </si>
  <si>
    <t>AGTEBRW319</t>
  </si>
  <si>
    <t>AGLO SUPERCOR BRUMA W 1.83X2.44X0.019</t>
  </si>
  <si>
    <t>CPCAS33R</t>
  </si>
  <si>
    <t>CANTO RIGIDO ORANGE CASTAÑO 33MM</t>
  </si>
  <si>
    <t>AGTEBRW330</t>
  </si>
  <si>
    <t>AGLO SUPERCOR BRUMA W 1.83X2.44X0.030</t>
  </si>
  <si>
    <t>CPCAS41R</t>
  </si>
  <si>
    <t>CANTO RIGIDO ORANGE CASTAÑO 41MM</t>
  </si>
  <si>
    <t>AGTECAW219</t>
  </si>
  <si>
    <t>AGLO SUPERCOR CAOBA W 1.53X2.44X0.019</t>
  </si>
  <si>
    <t>CPCER22R</t>
  </si>
  <si>
    <t>CANTO RIGIDO ORANGE CEREZO 22MM</t>
  </si>
  <si>
    <t>AGTECAW230</t>
  </si>
  <si>
    <t>AGLO SUPERCOR CAOBA W 1.53X2.44X0.030</t>
  </si>
  <si>
    <t>CPCOT19R</t>
  </si>
  <si>
    <t xml:space="preserve">CANTO RIGIDO ORANGE COTTA 19MM          </t>
  </si>
  <si>
    <t>AGTECAW319</t>
  </si>
  <si>
    <t>AGLO SUPERCOR CAOBA W 1.83X2.44X0.019</t>
  </si>
  <si>
    <t>CPCOT22R</t>
  </si>
  <si>
    <t>CANTO RIGIDO ORANGE COTTA 22MM</t>
  </si>
  <si>
    <t>AGTECAW330</t>
  </si>
  <si>
    <t>AGLO SUPERCOR CAOBA W 1.83X2.44X0.030</t>
  </si>
  <si>
    <t>CPCOT33R</t>
  </si>
  <si>
    <t xml:space="preserve">CANTO RIGIDO ORANGE COTTA 33MM          </t>
  </si>
  <si>
    <t>AGTECHW115</t>
  </si>
  <si>
    <t>AGLO UNICOR CHANTI C/B W 1.83X2.44X0.015</t>
  </si>
  <si>
    <t>CPCOT41R</t>
  </si>
  <si>
    <t xml:space="preserve">CANTO RIGIDO ORANGE COTTA 41MM          </t>
  </si>
  <si>
    <t>AGTECHW204</t>
  </si>
  <si>
    <t>AGLO SUPERFONDO CHANTILLY W 1.83X2.44X0.004</t>
  </si>
  <si>
    <t>CPCPR19R</t>
  </si>
  <si>
    <t xml:space="preserve">CANTO RIGIDO ORANGE CAPRI 19MM          </t>
  </si>
  <si>
    <t>AGTECHW319</t>
  </si>
  <si>
    <t>AGLO SUPERCOR CHANTILL W 1.83X2.44X0.019</t>
  </si>
  <si>
    <t>CPCPR22R</t>
  </si>
  <si>
    <t>CANTO RIGIDO ORANGE CAPRI 22MM</t>
  </si>
  <si>
    <t>AGTECPS204</t>
  </si>
  <si>
    <t xml:space="preserve">MDF SUPERFONDO CAPUCC SF 1.83X2.44X0.004
</t>
  </si>
  <si>
    <t>CPCPR33R</t>
  </si>
  <si>
    <t xml:space="preserve">CANTO RIGIDO ORANGE CAPRI 33MM          </t>
  </si>
  <si>
    <t>AGTECPW219</t>
  </si>
  <si>
    <t>AGLO SUPERCOR CAPPUCCH W 1.53X2.44X0.019</t>
  </si>
  <si>
    <t>CPCPR41R</t>
  </si>
  <si>
    <t xml:space="preserve">CANTO RIGIDO ORANGE CAPRI 41MM          </t>
  </si>
  <si>
    <t>AGTECPW236</t>
  </si>
  <si>
    <t>AGLO SUPERCOR CAPUCCIN W 1.53X2.44X0.036</t>
  </si>
  <si>
    <t>CPFEU19R</t>
  </si>
  <si>
    <t xml:space="preserve">CANTO RIGIDO ORANGE FRESNO EUROPEO 19MM </t>
  </si>
  <si>
    <t>AGTECPW315</t>
  </si>
  <si>
    <t>AGLO SUPERCOR CAPUCCIN W 1.83X2.44X0.015</t>
  </si>
  <si>
    <t>CPFEU33R</t>
  </si>
  <si>
    <t xml:space="preserve">CANTO RIGIDO ORANGE FRESNO EUROPEO 33MM </t>
  </si>
  <si>
    <t>AGTECPW319</t>
  </si>
  <si>
    <t>AGLO SUPERCOR CAPUCCIN W 1.83X2.44X0.019</t>
  </si>
  <si>
    <t>CPFEU41R</t>
  </si>
  <si>
    <t xml:space="preserve">CANTO RIGIDO ORANGE FRESNO EUROPEO 41MM </t>
  </si>
  <si>
    <t>AGTEHUS204</t>
  </si>
  <si>
    <t>MDF SUPERFONDO HUMO SF 1.83X2.44X0.004</t>
  </si>
  <si>
    <t>CPIBI19R</t>
  </si>
  <si>
    <t>CANTO RIGIDO ORANGE IBIZA 19MM</t>
  </si>
  <si>
    <t>AGTEHUW236</t>
  </si>
  <si>
    <t>AGLO SUPERCOR HUMO W 1.53X2.44X0.036</t>
  </si>
  <si>
    <t>CPIBI22R</t>
  </si>
  <si>
    <t>CANTO RIGIDO ORANGE IBIZA 22MM</t>
  </si>
  <si>
    <t>AGTEHUW315</t>
  </si>
  <si>
    <t>AGLO SUPERCOR HUMO W 1.83*2.44*0.015</t>
  </si>
  <si>
    <t>CPIBI33R</t>
  </si>
  <si>
    <t>CANTO RIGIDO ORANGE IBIZA 33MM</t>
  </si>
  <si>
    <t>AGTEHUW319</t>
  </si>
  <si>
    <t>AGLO SUPERCOR HUMO W 1.83*2.44*0.019 </t>
  </si>
  <si>
    <t>CPIBI41R</t>
  </si>
  <si>
    <t>CANTO RIGIDO ORANGE IBIZA 41MM</t>
  </si>
  <si>
    <t>AGTEHUW336</t>
  </si>
  <si>
    <t>AGLO SUPERCOR HUMO W 1.83X2.44X0.036</t>
  </si>
  <si>
    <t>CPIND19R</t>
  </si>
  <si>
    <t>CANTO RIGIDO ORANGE INDIGO 19MM</t>
  </si>
  <si>
    <t>AGTENUW219</t>
  </si>
  <si>
    <t>AGLO SUPERCOR  NUEZ W 1.83X2.44X0.019</t>
  </si>
  <si>
    <t>CPIND33R</t>
  </si>
  <si>
    <t>CANTO RIGIDO ORANGE INDIGO 33MM</t>
  </si>
  <si>
    <t>AGTENUW319</t>
  </si>
  <si>
    <t>AGLO SUPERCOR NUEZ W 1.83X2.44X0.019</t>
  </si>
  <si>
    <t>CPMAC33R</t>
  </si>
  <si>
    <t xml:space="preserve">CANTO RIGIDO ORANGE MACADAMIA 33MM      </t>
  </si>
  <si>
    <t>AGTESAW104</t>
  </si>
  <si>
    <t xml:space="preserve">AGLO FON SALVAJE W 1.53X2.44X0.004 </t>
  </si>
  <si>
    <t>CPMAC41R</t>
  </si>
  <si>
    <t xml:space="preserve">CANTO RIGIDO ORANGE MACADAMIA 41MM      </t>
  </si>
  <si>
    <t>AGTESAW215</t>
  </si>
  <si>
    <t xml:space="preserve">AGLO COR SALVAJE W 1.53X2.44X0.015 </t>
  </si>
  <si>
    <t>CPMAL19R</t>
  </si>
  <si>
    <t xml:space="preserve">CANTO RIGIDO ORANGE MALLADO 19MM        </t>
  </si>
  <si>
    <t>AGTESAW218</t>
  </si>
  <si>
    <t xml:space="preserve">AGLO COR SALVAJE W 1.53X2.44X0.018 </t>
  </si>
  <si>
    <t>CPMAL22R</t>
  </si>
  <si>
    <t xml:space="preserve">CANTO RIGIDO ORANGE MALLADO 22MM        </t>
  </si>
  <si>
    <t>AGTESAW230</t>
  </si>
  <si>
    <t xml:space="preserve">AGLO COR SALVAJE W 1.53X2.44X0.030 </t>
  </si>
  <si>
    <t>CPMAL33R</t>
  </si>
  <si>
    <t xml:space="preserve">CANTO RIGIDO ORANGE MALLADO 33MM        </t>
  </si>
  <si>
    <t>AGTESAW236</t>
  </si>
  <si>
    <t xml:space="preserve">AGLO COR SALVAJE W 1.53X2.44X0.036 </t>
  </si>
  <si>
    <t>CPMAL41R</t>
  </si>
  <si>
    <t xml:space="preserve">CANTO RIGIDO ORANGE MALLADO 41MM        </t>
  </si>
  <si>
    <t>AGTESAW315</t>
  </si>
  <si>
    <t xml:space="preserve">AGLO COR SALVAJE W 1.83X2.44X0.015 </t>
  </si>
  <si>
    <t>CPMIL19R</t>
  </si>
  <si>
    <t xml:space="preserve">CANTO RIGIDO ORANGE MILAN 19MM          </t>
  </si>
  <si>
    <t>AGTESAW319</t>
  </si>
  <si>
    <t xml:space="preserve">AGLO COR SALVAJE W 1.83X2.44X0.019 </t>
  </si>
  <si>
    <t>CPMIL22R</t>
  </si>
  <si>
    <t xml:space="preserve">CANTO RIGIDO ORANGE MILAN 22MM          </t>
  </si>
  <si>
    <t>AGTESAW330</t>
  </si>
  <si>
    <t>AGLO SUPERCOR SALVAJE W 1.83X2.44X0.030</t>
  </si>
  <si>
    <t>CPMIL33R</t>
  </si>
  <si>
    <t xml:space="preserve">CANTO RIGIDO ORANGE MILAN 33MM          </t>
  </si>
  <si>
    <t>AGTESAW336</t>
  </si>
  <si>
    <t>AGLO SUPERCOR SALVAJE W 1.83X2.44X0.036</t>
  </si>
  <si>
    <t>CPMIL41R</t>
  </si>
  <si>
    <t xml:space="preserve">CANTO RIGIDO ORANGE MILAN 41MM          </t>
  </si>
  <si>
    <t>AGTESAW415</t>
  </si>
  <si>
    <t>AGLO SUPERCOR SALVAJE W 2.10X2.44X0.015</t>
  </si>
  <si>
    <t>CPNAC19R</t>
  </si>
  <si>
    <t xml:space="preserve">CANTO RIGIDO ORANGE NACAR 19MM          </t>
  </si>
  <si>
    <t>AGTESES204</t>
  </si>
  <si>
    <t>MDF SUPERFON SERENA SF 1.83X2.44X0.004</t>
  </si>
  <si>
    <t>CPNAC41R</t>
  </si>
  <si>
    <t xml:space="preserve">CANTO RIGIDO ORANGE NACAR 41MM          </t>
  </si>
  <si>
    <t>AGTESEW104</t>
  </si>
  <si>
    <t>AGLO FON SERENA W 1.53X2.44X0.004</t>
  </si>
  <si>
    <t>CPNAU19R</t>
  </si>
  <si>
    <t>CANTO RIGIDO ORANGE NAUTICO 19MM</t>
  </si>
  <si>
    <t>AGTESEW109</t>
  </si>
  <si>
    <t>AGLO UNICOR SERENA W 1.83X2.44X0.009</t>
  </si>
  <si>
    <t>CPNAU33R</t>
  </si>
  <si>
    <t>CANTO RIGIDO ORANGE NAUTICO 33MM</t>
  </si>
  <si>
    <t>AGTESEW115</t>
  </si>
  <si>
    <t>AGLO UNICOR SEREN W 1.83X2.44X0.015</t>
  </si>
  <si>
    <t>CPNEU19R</t>
  </si>
  <si>
    <t xml:space="preserve">CANTO RIGIDO ORANGE NOGAL EUROPEO 19MM  </t>
  </si>
  <si>
    <t>AGTESEW215</t>
  </si>
  <si>
    <t>AGLO COR SERENA W 1.53X2.44X0.015</t>
  </si>
  <si>
    <t>CPNEU22R</t>
  </si>
  <si>
    <t xml:space="preserve">CANTO RIGIDO ORANGE NOGAL EUROPEO 22MM  </t>
  </si>
  <si>
    <t>AGTESEW218</t>
  </si>
  <si>
    <t>AGLO COR SERENA W 1.53X2.44X0.018</t>
  </si>
  <si>
    <t>CPNEU33R</t>
  </si>
  <si>
    <t xml:space="preserve">CANTO RIGIDO ORANGE NOGAL EUROPEO 33MM  </t>
  </si>
  <si>
    <t>AGTESEW230</t>
  </si>
  <si>
    <t>AGLO COR SERENA W 1.53X2.44X0.030</t>
  </si>
  <si>
    <t>CPNEU41R</t>
  </si>
  <si>
    <t xml:space="preserve">CANTO RIGIDO ORANGE NOGAL EUROPEO 41MM  </t>
  </si>
  <si>
    <t>AGTESEW315</t>
  </si>
  <si>
    <t>AGLO COR SERENA W 1.83X2.44X0.015</t>
  </si>
  <si>
    <t>CPOXI41R</t>
  </si>
  <si>
    <t>CANTO RIGIDO ORANGE OXID 41MM</t>
  </si>
  <si>
    <t>AGTESEW319</t>
  </si>
  <si>
    <t>AGLO COR SERENA W 1.83X2.44X0.019</t>
  </si>
  <si>
    <t>CPPAR41R</t>
  </si>
  <si>
    <t>CANTO RIGIDO ORANGE PARAMO 41MM</t>
  </si>
  <si>
    <t>AGTEVOW336</t>
  </si>
  <si>
    <t>AGLO SUPERCOR VOLCANO W 1.83X2.44X0.036</t>
  </si>
  <si>
    <t>CPRBM19R</t>
  </si>
  <si>
    <t xml:space="preserve">CANTO RIGIDO ORANGE ROBLE BLANCO 19MM   </t>
  </si>
  <si>
    <t>AGTRBCS104</t>
  </si>
  <si>
    <t>AGLO SUPERFO RH BCO S 1.53 X 2.44X 0.004</t>
  </si>
  <si>
    <t>CPRBM22R</t>
  </si>
  <si>
    <t xml:space="preserve">CANTO RIGIDO ORANGE ROBLE BLANCO 22MM   </t>
  </si>
  <si>
    <t>AGTRCHW315</t>
  </si>
  <si>
    <t>AGLO SUPERCOR RH CHANTILLY W 1.83X2.44X0.015</t>
  </si>
  <si>
    <t>CPRBM33R</t>
  </si>
  <si>
    <t xml:space="preserve">CANTO RIGIDO ORANGE ROBLE BLANCO 33MM   </t>
  </si>
  <si>
    <t>AGTRCPW315</t>
  </si>
  <si>
    <t xml:space="preserve">AGLO SUPERCOR RH CAPUC W 1.83X2.44X0.015
</t>
  </si>
  <si>
    <t>CPRBM41R</t>
  </si>
  <si>
    <t xml:space="preserve">CANTO RIGIDO ORANGE ROBLE BLANCO 41MM   </t>
  </si>
  <si>
    <t>AGTRCPW319</t>
  </si>
  <si>
    <t xml:space="preserve">AGLO SUPERCOR RH CAPUC W 1.83X2.44X0.019
</t>
  </si>
  <si>
    <t>CPSAD22R</t>
  </si>
  <si>
    <t>CANTO RIGIDO ORANGE SANTORINI 22MM</t>
  </si>
  <si>
    <t>AGTRCPW336</t>
  </si>
  <si>
    <t>AGLO SUPERCOR RH CAPUC W 1.83X2.44X0.036</t>
  </si>
  <si>
    <t>CPTAU200R</t>
  </si>
  <si>
    <t>CANTO RIGIDO ORANGE TAUPE 200 MM</t>
  </si>
  <si>
    <t>AGTRHUW315</t>
  </si>
  <si>
    <t>AGLO SUPERCOR RH HUMO W 1.83X2.44X0.015</t>
  </si>
  <si>
    <t>CPTIV19R</t>
  </si>
  <si>
    <t xml:space="preserve">CANTO RIGIDO ORANGE TIVOLI 19MM         </t>
  </si>
  <si>
    <t>AGTRHUW319</t>
  </si>
  <si>
    <t>AGLO SUPERCOR RH HUMO W 1.83X2.44X0.019</t>
  </si>
  <si>
    <t>CPTIV22R</t>
  </si>
  <si>
    <t xml:space="preserve">CANTO RIGIDO ORANGE TIVOLI 22MM         </t>
  </si>
  <si>
    <t>AGTRLNW319</t>
  </si>
  <si>
    <t>AGLO SUPERCOR RH LINO S 1.83X2.44X0.019</t>
  </si>
  <si>
    <t>CPTIV33R</t>
  </si>
  <si>
    <t xml:space="preserve">CANTO RIGIDO ORANGE TIVOLI 33MM         </t>
  </si>
  <si>
    <t>AGTRNUS204</t>
  </si>
  <si>
    <t>AGLO SUPERFOND RH NUEZ S 1.83X2.44X0.004</t>
  </si>
  <si>
    <t>CPTIV41R</t>
  </si>
  <si>
    <t xml:space="preserve">CANTO RIGIDO ORANGE TIVOLI 41MM         </t>
  </si>
  <si>
    <t>AGTRNUW204</t>
  </si>
  <si>
    <t>AGLO COR RH NUEZ W 1.83X2.44X0.004</t>
  </si>
  <si>
    <t>CPTOQ19R</t>
  </si>
  <si>
    <t xml:space="preserve">CANTO RIGIDO ORANGE TOQUILLA 19MM       </t>
  </si>
  <si>
    <t>AGTRSAW104</t>
  </si>
  <si>
    <t>AGLO FON RH SALVJ W 1.53X2.44X0.004</t>
  </si>
  <si>
    <t>CPTOQ22R</t>
  </si>
  <si>
    <t xml:space="preserve">CANTO RIGIDO ORANGE TOQUILLA 22MM       </t>
  </si>
  <si>
    <t>AGTRSAW215</t>
  </si>
  <si>
    <t>AGLO COR RH SALVJ W 1.53X2.44X0.015</t>
  </si>
  <si>
    <t>CPTOQ33R</t>
  </si>
  <si>
    <t xml:space="preserve">CANTO RIGIDO ORANGE TOQUILLA 33MM       </t>
  </si>
  <si>
    <t>AGTRSAW315</t>
  </si>
  <si>
    <t>AGLO COR RH SALVJ W 1.83X2.44X0.015</t>
  </si>
  <si>
    <t>CPTOQ41R</t>
  </si>
  <si>
    <t xml:space="preserve">CANTO RIGIDO ORANGE TOQUILLA 41MM       </t>
  </si>
  <si>
    <t>AGTRSAW319</t>
  </si>
  <si>
    <t>AGLO COR RH SALVJ W 1.83X2.44X0.019</t>
  </si>
  <si>
    <t>CRNCNZ34R</t>
  </si>
  <si>
    <t>CANTO RÍGIDO NUDO GALANTTI CENIZA 34MM</t>
  </si>
  <si>
    <t>AGTRSEW104</t>
  </si>
  <si>
    <t>AGLO FON RH SEREN W 1.53X2.44X0.004</t>
  </si>
  <si>
    <t>CRNCNZ41R</t>
  </si>
  <si>
    <t>CANTO RÍGIDO NUDO GALANTTI CENIZA 41MM</t>
  </si>
  <si>
    <t>AGTRSEW115</t>
  </si>
  <si>
    <t>AGLO UNICOR RH SEREN W 1.83X2.44X0.015</t>
  </si>
  <si>
    <t>CRNDUN34R</t>
  </si>
  <si>
    <t>CANTO RÍGIDO NUDO GALANTTI DUNA 34MM</t>
  </si>
  <si>
    <t>AGTRSEW204</t>
  </si>
  <si>
    <t>MDF SUPERFO RH SERENA 1.83X2.44X0.004</t>
  </si>
  <si>
    <t>CRNDUN41R</t>
  </si>
  <si>
    <t>CANTO RÍGIDO NUDO GALANTTI DUNA 41MM</t>
  </si>
  <si>
    <t>AGTRSEW215</t>
  </si>
  <si>
    <t>AGLO COR RH SEREN W 1.53X2.44X0.015</t>
  </si>
  <si>
    <t>CRNMIE34R</t>
  </si>
  <si>
    <t>CANTO RÍGIDO NUDO GALANTTI MIEL 34MM</t>
  </si>
  <si>
    <t>AGTRSEW219</t>
  </si>
  <si>
    <t>AGLO COR RH SEREN W 1.53X2.44X0.019</t>
  </si>
  <si>
    <t>CRNMIE41R</t>
  </si>
  <si>
    <t>CANTO RÍGIDO NUDO GALANTTI MIEL 41MM</t>
  </si>
  <si>
    <t>AGTRSEW315</t>
  </si>
  <si>
    <t>AGLO COR RH SEREN W 1.83X2.44X0.015</t>
  </si>
  <si>
    <t>CTR00790</t>
  </si>
  <si>
    <t>CUCHILLA PARA TROMPO CORTES 30° 14X14X2</t>
  </si>
  <si>
    <t>AGTRSEW319</t>
  </si>
  <si>
    <t>AGLO COR RH SEREN W 1.83X2.44X0.019</t>
  </si>
  <si>
    <t>AGVSI00002</t>
  </si>
  <si>
    <t>AGLOME VARIOS SALD MELAMINA</t>
  </si>
  <si>
    <t>ALLAB018</t>
  </si>
  <si>
    <t>ALISTONADO LOSAN A/B 1.22X2.44X0.018</t>
  </si>
  <si>
    <t>HBCR105824</t>
  </si>
  <si>
    <t>HB CRUDO ARAUCO TP1 1.52X2.44X0.0024</t>
  </si>
  <si>
    <t>HBCR105830</t>
  </si>
  <si>
    <t>HB CRUDO ARAUCO 1.52 X 2.44 X 030</t>
  </si>
  <si>
    <t>IPSTIO7704-042</t>
  </si>
  <si>
    <t>INS SK TAMABI IMP ORION. MOKA 2.02X0.77X0.004</t>
  </si>
  <si>
    <t>IPSTIO7704-134</t>
  </si>
  <si>
    <t>INS SK TAMABI IMP ORION. ROVERE 2.22X0.77X0.004</t>
  </si>
  <si>
    <t>IPSTIO9204 -042</t>
  </si>
  <si>
    <t>INS SK TAMABI IMP ORION MOKA . 2.22X0.92X0.004</t>
  </si>
  <si>
    <t>IPSTIO9204-134</t>
  </si>
  <si>
    <t>INS SK TAMABI IMP ORION. ROVERE  2.02X0.92X0.004</t>
  </si>
  <si>
    <t>LMATV72514</t>
  </si>
  <si>
    <t xml:space="preserve">LISTON MAD TIM VETA VERTICAL 20 </t>
  </si>
  <si>
    <t>LMG0247TC7</t>
  </si>
  <si>
    <t>LAM. MOBILE LAPISLAZULI TX CT F7</t>
  </si>
  <si>
    <t>LMG0293TC7</t>
  </si>
  <si>
    <t>LAM. MOBILE NEGRO TX CT F7</t>
  </si>
  <si>
    <t>LMG0411TC7</t>
  </si>
  <si>
    <t xml:space="preserve"> LAM. MOBILE HAYA WOOD TX CT F7</t>
  </si>
  <si>
    <t>LMG1072TC7</t>
  </si>
  <si>
    <t>LAM. MOBILE HARD ROCK MAPLE TX CT F7</t>
  </si>
  <si>
    <t>LMG1088TC7</t>
  </si>
  <si>
    <t>LAM. MOBILE HUMO TX CT F7</t>
  </si>
  <si>
    <t>LMG1100BC6</t>
  </si>
  <si>
    <t>LAM. MOBILE BLANCO PIZARRON
BT CT F6</t>
  </si>
  <si>
    <t>LMG1111BC6</t>
  </si>
  <si>
    <t>LAM. MOBILE BLANCO 1.53X3.66 BT CT</t>
  </si>
  <si>
    <t>LMG1275TC6</t>
  </si>
  <si>
    <t>LAM. MOBILE GRIS NUBE TX CT F6</t>
  </si>
  <si>
    <t>LMG1305TC7</t>
  </si>
  <si>
    <t>LAM. MOBILE AZUL OASIS TX CT F7</t>
  </si>
  <si>
    <t>LMG2969MC8</t>
  </si>
  <si>
    <t>LAM. MOBILE WENGUE MICROLINE CT F8</t>
  </si>
  <si>
    <t>LMG5721TP8</t>
  </si>
  <si>
    <t>LAM. MOBILE DUSK TABRIZ TX PF F8</t>
  </si>
  <si>
    <t>LMG6703BC6</t>
  </si>
  <si>
    <t>LAM. MOBILE OLD MAPLE BT CT F6</t>
  </si>
  <si>
    <t>LMG7114TC6</t>
  </si>
  <si>
    <t>LAM. MOBILE TANGELLO TX CT F6</t>
  </si>
  <si>
    <t>LMG9605BC6</t>
  </si>
  <si>
    <t>LAM. MOBILE BLANCO BT CT F6</t>
  </si>
  <si>
    <t>LMG9630TC6</t>
  </si>
  <si>
    <t>LAM. MOBILE BLANCO TX CT F6</t>
  </si>
  <si>
    <t>LW1570TP8</t>
  </si>
  <si>
    <t>LAM. WILSONART SNOW WHITE TX PF F8</t>
  </si>
  <si>
    <t>LW3195TP8</t>
  </si>
  <si>
    <t>LAM. WILSONART NEGRO TX CTE F7</t>
  </si>
  <si>
    <t>LW7850TP8</t>
  </si>
  <si>
    <t>LAM. WILSONART BEIGEWOOD
TX PF F8</t>
  </si>
  <si>
    <t>LW7971TP8</t>
  </si>
  <si>
    <t>LAM. WILSONART UPTOWN TX PF F8</t>
  </si>
  <si>
    <t>LW7976TP8</t>
  </si>
  <si>
    <t>LAM. WILSONART WHITE CRIPRESS TX PF F8</t>
  </si>
  <si>
    <t xml:space="preserve">LWD427TP8 </t>
  </si>
  <si>
    <t>LAM. WILSONART LINEN TX PF F8</t>
  </si>
  <si>
    <t>MDFSUBCS</t>
  </si>
  <si>
    <t>MDF BLANCO NEV. SALDO 1.22X2.44X0.0</t>
  </si>
  <si>
    <t>MDPA6824S</t>
  </si>
  <si>
    <t>AGLO CRUDO VESTO SALDO 1.83X2.44X0.024</t>
  </si>
  <si>
    <t>MDPP24418318PRI</t>
  </si>
  <si>
    <t>LAM. RH 2.44 X 1.83X0.18 PRIMADERA</t>
  </si>
  <si>
    <t>MDPT24415318</t>
  </si>
  <si>
    <t>LAM. RH 2.44X1.53X0.018</t>
  </si>
  <si>
    <t>MDPT24415325</t>
  </si>
  <si>
    <t>LAM. RH 2.44X1.53X0.025</t>
  </si>
  <si>
    <t>MDPT24418318</t>
  </si>
  <si>
    <t>LAM. RH 2.44X1.83X0.018</t>
  </si>
  <si>
    <t>MDPT24421518</t>
  </si>
  <si>
    <t>LAM. RH 2.44X2.15X0.018</t>
  </si>
  <si>
    <t>MDPTL24415318</t>
  </si>
  <si>
    <t>LAM.  LJ RH 2.44X1.53X0.018</t>
  </si>
  <si>
    <t>MDPTL4415315</t>
  </si>
  <si>
    <t>LAM. RH 2.44X1.53X0.015</t>
  </si>
  <si>
    <t>MFAEBCS109</t>
  </si>
  <si>
    <t>MDF FIBRAMELA BLX CT 1C 1.83X2.44X0.09</t>
  </si>
  <si>
    <t>MFAEBCS115</t>
  </si>
  <si>
    <t>MDF FIBRAMELA BLX CT 1C 1.83X2.44X0.015</t>
  </si>
  <si>
    <t>MFAEBCS118</t>
  </si>
  <si>
    <t>MDF FIBRAMELA BLXCT 1C 183*244 0.018</t>
  </si>
  <si>
    <t>MFAEBCS209</t>
  </si>
  <si>
    <t>MDF FIBRAMELA BLX CT 2C 183 X 244 X 0.009</t>
  </si>
  <si>
    <t>MFAEBCS212</t>
  </si>
  <si>
    <t>MDF FIBRAMELA BLX CT 2C 183 X 244 X 0.012</t>
  </si>
  <si>
    <t>MFAEBCS215</t>
  </si>
  <si>
    <t>MDF FIBRAMELA BLX CT 2C 1.83X2.44X0.015</t>
  </si>
  <si>
    <t>MFAEBCS218</t>
  </si>
  <si>
    <t>MDF FIBRAMELA BLXCT 2C 183*244 0.018</t>
  </si>
  <si>
    <t>MFAERB6805</t>
  </si>
  <si>
    <t>MDF FIBRACHAPA RB RS 1C 1.83 X 2.44X 0.05</t>
  </si>
  <si>
    <t>MFAERB6810</t>
  </si>
  <si>
    <t>MDF FIBRACHAPA RBRS 2C 1.83 X 2.44X 0010</t>
  </si>
  <si>
    <t>MFAERC6816</t>
  </si>
  <si>
    <t>MDF FIBRACHAPA RBRS 1C 1.83 X 2.44X 0016</t>
  </si>
  <si>
    <t>MFARBLC118</t>
  </si>
  <si>
    <t xml:space="preserve">MDF FIBRAMELA BLC RAN 1.83X2.44X0.018   </t>
  </si>
  <si>
    <t>MFCAE06809</t>
  </si>
  <si>
    <t xml:space="preserve">MDF FIBRAPLAC 1.83X2.44X0.009 </t>
  </si>
  <si>
    <t>MFCAE06818</t>
  </si>
  <si>
    <t>MDF FIBRAPLAC CRUDO 1.83 X 2.44 X 0.018</t>
  </si>
  <si>
    <t>MFCAE06825</t>
  </si>
  <si>
    <t xml:space="preserve">MDF FIBRAPLAC CRUDO 1.83X2.44X0.025 </t>
  </si>
  <si>
    <t>MFCAE06830</t>
  </si>
  <si>
    <t xml:space="preserve">MDF FIBRAPLAC CRUDO 1.83X2.44X0.030 </t>
  </si>
  <si>
    <t>MFCAL06812</t>
  </si>
  <si>
    <t xml:space="preserve">MDF FIBRAPLAC LIGHT 1.83X2.44X0.012 </t>
  </si>
  <si>
    <t>MFCAL06815</t>
  </si>
  <si>
    <t xml:space="preserve">MDF FIBRAPLAC LIGHT 1.83X2.44X0.015 </t>
  </si>
  <si>
    <t>MFCAL06818</t>
  </si>
  <si>
    <t>MDF FIBRAPLAC LIGHT 1.83X2.44X0.018</t>
  </si>
  <si>
    <t>MFCBE06825</t>
  </si>
  <si>
    <t>MDF DELGADO BERNEK 1.85x2.44X0.025</t>
  </si>
  <si>
    <t>2.5</t>
  </si>
  <si>
    <t>MFCRE05812</t>
  </si>
  <si>
    <t>MDF TRUPAN 12MM 1.52 X 2.44 0.12MM</t>
  </si>
  <si>
    <t>MFCRE06802</t>
  </si>
  <si>
    <t>MDF DELGADO 1.83X2.44X0.0025</t>
  </si>
  <si>
    <t>MFCRE06803</t>
  </si>
  <si>
    <t>MDF DELGADO ARAUCO 1.83X2.44X0.003</t>
  </si>
  <si>
    <t>MFCRE06804</t>
  </si>
  <si>
    <t>MDF DELGADO ARAUCO 1.83X2.44X0.004</t>
  </si>
  <si>
    <t>MFCRE06855</t>
  </si>
  <si>
    <t>MDF DELGADO ARAUCO 1.83X2.44X0.0055</t>
  </si>
  <si>
    <t>MFCRE07803</t>
  </si>
  <si>
    <t>MDF DELGADO  2.15 X 2.44 X 0.003</t>
  </si>
  <si>
    <t>MFCSE07804</t>
  </si>
  <si>
    <t>MDF FIBRAPLAC ORANGE 212 X 244 X 0.004MM</t>
  </si>
  <si>
    <t>MFCSE07827</t>
  </si>
  <si>
    <t>MDF FIBRAPLAC ORANGE 212 X 244 X 0.027MM</t>
  </si>
  <si>
    <t>MFCTE06809</t>
  </si>
  <si>
    <t>MDF TABLEMAC  183 X 244 X 0.09</t>
  </si>
  <si>
    <t xml:space="preserve">MFCTE06809 </t>
  </si>
  <si>
    <t xml:space="preserve">MDF TABLEMAC 1.83X2.44X0.009            </t>
  </si>
  <si>
    <t>MFCTE06812</t>
  </si>
  <si>
    <t xml:space="preserve">MDF TABLEMAC 1.83X2.44X0.012            </t>
  </si>
  <si>
    <t>MFCTE06815</t>
  </si>
  <si>
    <t>MDF TABLEMAC 1.83X2.44X0.015</t>
  </si>
  <si>
    <t>MFCTE06818</t>
  </si>
  <si>
    <t xml:space="preserve">MDF TABLEMAC 1.83X2.44X0.018            </t>
  </si>
  <si>
    <t>MFCTE06825</t>
  </si>
  <si>
    <t xml:space="preserve">MDF TABLEMAC 1.83X2.44X0.025            </t>
  </si>
  <si>
    <t>MFCTE06830</t>
  </si>
  <si>
    <t>MDF TABLEMAC 1.83 X 2.44 X 0.030</t>
  </si>
  <si>
    <t>MFCTE07809</t>
  </si>
  <si>
    <t>MDF TABLEMAC 2.13X2.44X0.009</t>
  </si>
  <si>
    <t>MFCTE07812</t>
  </si>
  <si>
    <t>MDF TABLEMAC 2.13X2.44X0.012</t>
  </si>
  <si>
    <t>MFCTE07815</t>
  </si>
  <si>
    <t>MDF TABLEMAC 2.13X2.44X0.015</t>
  </si>
  <si>
    <t>MFCTE07818</t>
  </si>
  <si>
    <t xml:space="preserve">MDF TABLEMAC  1.83X2.44X0.018     </t>
  </si>
  <si>
    <t>MFDEAZS104</t>
  </si>
  <si>
    <t>HDF DURATEX ARIZONA SF 1.84X2.75X0.0045</t>
  </si>
  <si>
    <t>MFDEAZW215</t>
  </si>
  <si>
    <t>MDF DURATEX ARIZONA VP 1.84X2.75X0.015</t>
  </si>
  <si>
    <t>MFDECRW215</t>
  </si>
  <si>
    <t>MDF DURATEX CANION RT VP 1.84X2.75X0.015</t>
  </si>
  <si>
    <t>MFDESAS104</t>
  </si>
  <si>
    <t>HDF DURATEX SANTORIN SF 1.84X2.75X0.0045</t>
  </si>
  <si>
    <t>MFDESAW215</t>
  </si>
  <si>
    <t>MDF DURATEX SANTORIN SYN 1.84X2.75X0.015</t>
  </si>
  <si>
    <t>MFDRAZW215</t>
  </si>
  <si>
    <t>MDF DURATEX RH ARIZON VP 1.84X2.75X0.015</t>
  </si>
  <si>
    <t>MFHEEBN318</t>
  </si>
  <si>
    <t>MDF HG GALANTTI BRANCO 1.86X2.75X0.018</t>
  </si>
  <si>
    <t>MFHEECC318</t>
  </si>
  <si>
    <t>MDF HG GALANTTI CILIEGIO 1.86X2.75X0.018</t>
  </si>
  <si>
    <t>MFHEENM318</t>
  </si>
  <si>
    <t>MDF HG GALANTTI NEGRO MG 1.86X2.75X0.018</t>
  </si>
  <si>
    <t>MFHEERC318</t>
  </si>
  <si>
    <t>MDF HG GALANTTI ROVERE 1.86X2.75X0.018</t>
  </si>
  <si>
    <t>MFHVENM118</t>
  </si>
  <si>
    <t>MDF HG GALANTTI UV NEGRO 1.22X2.44X0.018</t>
  </si>
  <si>
    <t>MFHVERC118</t>
  </si>
  <si>
    <t>MDF HG GALANTTI UV ROVERE 1.22X2.44X0.018</t>
  </si>
  <si>
    <t>MFITEAR103</t>
  </si>
  <si>
    <t>HDF IMP.DIG TMB ARTIKO 1.22X2.44X0.003</t>
  </si>
  <si>
    <t xml:space="preserve">MFITEAR103 </t>
  </si>
  <si>
    <t>MFITEAT103</t>
  </si>
  <si>
    <t>HDF IMP.DIG TMB AMARETTO 1.22X2.44X0.003</t>
  </si>
  <si>
    <t>MFITECA103</t>
  </si>
  <si>
    <t>HDF IMP.DIG TMB CARAMELO 1.22X2.44X0.003</t>
  </si>
  <si>
    <t>MFITECM103</t>
  </si>
  <si>
    <t>HDF IMP.DIG TMB CEMENTO 1.22X2.44X0.003</t>
  </si>
  <si>
    <t>MFITECN103</t>
  </si>
  <si>
    <t>HDF IMP.DIG TMB CENIZA 1.22X2.44X0.003</t>
  </si>
  <si>
    <t xml:space="preserve">MFITECS103 </t>
  </si>
  <si>
    <t>HDF IMP.DIG TMB CAFÉ EXP. 1.22X2.44X0.003</t>
  </si>
  <si>
    <t>MFITEMA103</t>
  </si>
  <si>
    <t>HDF IMP.DIG TMB MANZANO 1.22X2.44X0.003</t>
  </si>
  <si>
    <t>MFITERV103</t>
  </si>
  <si>
    <t>HDF IMP.DIG TMB ROVERE 1.22X2.44X0.003</t>
  </si>
  <si>
    <t xml:space="preserve">MFITERV103 </t>
  </si>
  <si>
    <t>HDF IMP.DIG TMB ROVERE. 1.22X2.44X0.003</t>
  </si>
  <si>
    <t>MFITESI103</t>
  </si>
  <si>
    <t>HDF IMP.DIG TMB SIENA. 1.22X2.44X0.003</t>
  </si>
  <si>
    <t>MFITEWC103</t>
  </si>
  <si>
    <t>HDF IMP.DIG TMB WHITE CH 1.22X2.44X0.003</t>
  </si>
  <si>
    <t>MFPEEBC103</t>
  </si>
  <si>
    <t>HDF PINTADO ECTX BLANCO 1.85X2.44X0.003</t>
  </si>
  <si>
    <t>MFPKEBC103</t>
  </si>
  <si>
    <t>HDF PINTADO KORN BCO. NEV 2.07 X 2.44 X 0.003</t>
  </si>
  <si>
    <t>MFPLEEB103</t>
  </si>
  <si>
    <t>MDF PINTADO LCBX EBANO 1.22X2.44X0.003</t>
  </si>
  <si>
    <t>MFPLELA103</t>
  </si>
  <si>
    <t>MDF PINTADO LCBX LINO AC 1.22X2.44X0.003</t>
  </si>
  <si>
    <t>MFPLELT103</t>
  </si>
  <si>
    <t>MDF PINTADO LCBX LATTE 1.22X2.44X0.003</t>
  </si>
  <si>
    <t>MFPLEMF103</t>
  </si>
  <si>
    <t>HDF PINTADO LCBX MARFIL 1.22X2.44X0.003</t>
  </si>
  <si>
    <t>MFPLEMO103</t>
  </si>
  <si>
    <t>HDF PINTADO LCBX MOKA 1.22X2.44X0.003</t>
  </si>
  <si>
    <t>MFPLENG103</t>
  </si>
  <si>
    <t>HDF PINTADO LCBX NOGAL 1.22X2.44X0.003</t>
  </si>
  <si>
    <t>MFPLEOL103</t>
  </si>
  <si>
    <t>MDF PINTADO LCBX OLIVO 1.22X2.44X0.003</t>
  </si>
  <si>
    <t>MFPLEOM103</t>
  </si>
  <si>
    <t>MDF PINTADO LCBX O LMO1.22X2.44X0.003</t>
  </si>
  <si>
    <t>MFPLEPK103</t>
  </si>
  <si>
    <t>MDF PINTADO LCBX PEKAN 1.22X2.44X0.003</t>
  </si>
  <si>
    <t>MFPLERA103</t>
  </si>
  <si>
    <t>MDF PINTADO LCBX ROB.AHU 1.22X2.44X0.003</t>
  </si>
  <si>
    <t>MFPLERG103</t>
  </si>
  <si>
    <t>MDF PINTADO LCBX ROBLE G 1.22X2.44X0.003</t>
  </si>
  <si>
    <t>MFPLESP103</t>
  </si>
  <si>
    <t>MDF PINTADO LCBX SAPELLI 1.22X2.44X0.003</t>
  </si>
  <si>
    <t>MFPLEWE103</t>
  </si>
  <si>
    <t xml:space="preserve">MDF PINTADO LCBX WENGUE 1.22X2.44X0.003 </t>
  </si>
  <si>
    <t>MFPTEBC103</t>
  </si>
  <si>
    <t>HDF PINTADO BLANCO DE 3MM</t>
  </si>
  <si>
    <t>MFPTEBM103</t>
  </si>
  <si>
    <t>HDF PINTADO TEVP BCO MQZ 2.10X2.44X0.003</t>
  </si>
  <si>
    <t>MFSAEBC118</t>
  </si>
  <si>
    <t>SPAN SUPERMATE BLANCO 1.22X2.75X0.018</t>
  </si>
  <si>
    <t>MFSAEGR118</t>
  </si>
  <si>
    <t>SPAN SUPERMATE ANTRACITA 1.22X2.75X0.018</t>
  </si>
  <si>
    <t>MFSEBNS103</t>
  </si>
  <si>
    <t>MDF ORANGE BCO NEV 1C 122*244</t>
  </si>
  <si>
    <t>NOCVTB0900</t>
  </si>
  <si>
    <t>PELIKANO VARIOS COLORE2.15X2.44X0.009</t>
  </si>
  <si>
    <t>OSBKE04811</t>
  </si>
  <si>
    <t>OSB ORANGE SUPERF ECO 1.22X2.44X0.011</t>
  </si>
  <si>
    <t>OSBKE04818</t>
  </si>
  <si>
    <t>OSB ARANGE SUPERF ECO 1.22 X 2.44 X0.018</t>
  </si>
  <si>
    <t>OSBKE04825</t>
  </si>
  <si>
    <t>LAM OSB ORANGE SUPERF ECO 1.22 X 2.15 X 25</t>
  </si>
  <si>
    <t>PTABTALAMO</t>
  </si>
  <si>
    <t xml:space="preserve">SERVICIO DISEÑO PUERTA ALAMO </t>
  </si>
  <si>
    <t>PTABTSAUCE</t>
  </si>
  <si>
    <t>SERVICIO DISEÑO PUERTA SAUCE</t>
  </si>
  <si>
    <t>SELAPA15F6</t>
  </si>
  <si>
    <t>SUSTRA. TAM. AGLOMERADO 15MM- LAP F6</t>
  </si>
  <si>
    <t>SELAPA15F8</t>
  </si>
  <si>
    <t>SUSTRA. TAB AGLOMERADO 15MM -LAP F8</t>
  </si>
  <si>
    <t>SELAPA18F6</t>
  </si>
  <si>
    <t>SUSTRA. TAM. AGLOMERADO 18MM- LAP F6</t>
  </si>
  <si>
    <t>SELAPA25F6</t>
  </si>
  <si>
    <t>SUSTRA. TAM. AGLOMERADO 25MM- LAP F6</t>
  </si>
  <si>
    <t>SELAPA25F8</t>
  </si>
  <si>
    <t>SUSTRA. TAB. AGLOMERADO 25MM- LAP F8</t>
  </si>
  <si>
    <t>SELAPA30F6</t>
  </si>
  <si>
    <t>SUSTRA. TAM. AGLOMERADO 30MM- LAP F6</t>
  </si>
  <si>
    <t>SELAPA30F8</t>
  </si>
  <si>
    <t>SUSTRA. TAB AGLOMERADO 30MM -LAP F8</t>
  </si>
  <si>
    <t>SELAPT15F6</t>
  </si>
  <si>
    <t>SUSTRA. TAB TRIPLEX.  15MM - LAP F6</t>
  </si>
  <si>
    <t>SELAPT18F8</t>
  </si>
  <si>
    <t xml:space="preserve">SUSTRA. TAB TRIPLEX. 18MM - LAP F8
</t>
  </si>
  <si>
    <t>SELAPWN307</t>
  </si>
  <si>
    <t>SUSTRA. TAB AG. W-N 30MM - LAP F7</t>
  </si>
  <si>
    <t>SELMDNB157</t>
  </si>
  <si>
    <t>SUSTRA. TAB. MDF. N-B 15MM - LAPF 7</t>
  </si>
  <si>
    <t>SELMDNN187</t>
  </si>
  <si>
    <t>SUSTRA. TAB. MDF. N-N 18MM - LAPF 7</t>
  </si>
  <si>
    <t>SELMDNN307</t>
  </si>
  <si>
    <t>SUSTRA. TAB. MDF. N-N 30MM - LAPF 7</t>
  </si>
  <si>
    <t>TRF15X1200X3000</t>
  </si>
  <si>
    <t>TABLERO REFOCOSTA FINGER 15 X 2000 X 3000</t>
  </si>
  <si>
    <t>TXCCCC09</t>
  </si>
  <si>
    <t>TX CODESA DE 122 X 244 X 0.09</t>
  </si>
  <si>
    <t>TXCCCC12</t>
  </si>
  <si>
    <t>TX CORRIENTE CODESA C/C 1.22X2.44X0.012</t>
  </si>
  <si>
    <t>TXCCCC15</t>
  </si>
  <si>
    <t>TX CORRIENTE CODESA C/C 1.22X2.44X0.015</t>
  </si>
  <si>
    <t>TXCCCC18</t>
  </si>
  <si>
    <t>TX CORRIENTE CODESA C/C 1.22X2.44X0.018</t>
  </si>
  <si>
    <t>TXCECC09</t>
  </si>
  <si>
    <t>TX CORRIENTE ENDESA C/C 1.22X2.44X0.09</t>
  </si>
  <si>
    <t>TXCECC12</t>
  </si>
  <si>
    <t>TX CORRIENTE ENDESA C/C 1.22X2.44X0.012</t>
  </si>
  <si>
    <t>TXCECC15</t>
  </si>
  <si>
    <t>TX CORRIENTE ENDESA C/C 1.22X2.44X0.015</t>
  </si>
  <si>
    <t>TXCECC18</t>
  </si>
  <si>
    <t>TX CORRIENTE ENDESA C/C 1.22X2.44X0.018</t>
  </si>
  <si>
    <t>TXCPB109</t>
  </si>
  <si>
    <t>TX FENOL CMPC DE 120 X 240 B/C 0.009</t>
  </si>
  <si>
    <t>TXCPB112</t>
  </si>
  <si>
    <t>TX FENOL CMPC DE 120 X 240 B/C 0.0012</t>
  </si>
  <si>
    <t>TXCPB206</t>
  </si>
  <si>
    <t>TX FENOL CMPC PINO B/C 1.22X2.44X0.0065</t>
  </si>
  <si>
    <t>TXCPB209</t>
  </si>
  <si>
    <t>TX FENOL CMPC DE 122 X 244 B/C 0.009</t>
  </si>
  <si>
    <t>TXCPB212</t>
  </si>
  <si>
    <t>TX FENOL CMPC PINO B/C 1.22X2.44X0.012</t>
  </si>
  <si>
    <t>TXCPB215</t>
  </si>
  <si>
    <t>TX FENOL CMPC PINO B/C 1.22X2.44X0.015</t>
  </si>
  <si>
    <t>TXCPB218</t>
  </si>
  <si>
    <t>TX FENOL CMPC PINO B/C 1.22X2.44X0.018</t>
  </si>
  <si>
    <t>TXLOK036</t>
  </si>
  <si>
    <t>TX DECO LINYI PKUME B/C 1.22X2.44X0.0036</t>
  </si>
  <si>
    <t>TXPB212</t>
  </si>
  <si>
    <t>TX FENOL PINO B/C 12MM</t>
  </si>
  <si>
    <t>TXPB215</t>
  </si>
  <si>
    <t>TX FENOL PINO B/C 15MM</t>
  </si>
  <si>
    <t>TXRPB209</t>
  </si>
  <si>
    <t>TX FENOL ARAUCO PINO B/C1.22X2.44X0.009</t>
  </si>
  <si>
    <t>TXRPB212</t>
  </si>
  <si>
    <t>TX FENOL ARAUCO PINO B/C1.22X2.44X0.012</t>
  </si>
  <si>
    <t>TXRPB215</t>
  </si>
  <si>
    <t>TX FENOL ARAUCO PINO B/C1.22X2.44X0.015</t>
  </si>
  <si>
    <t>TXRPB218</t>
  </si>
  <si>
    <t>TX FENOL ARAUCO PINO B/C1.22X2.44X0.018</t>
  </si>
  <si>
    <t>TXSCD036</t>
  </si>
  <si>
    <t>TX DECO ORANG CEDRO B/C 1.22X2.44X0.0036</t>
  </si>
  <si>
    <t>AGTECPS205</t>
  </si>
  <si>
    <t xml:space="preserve">MDF SUPERFONDO CAPUCC SF 1.83X2.44X0.0055 </t>
  </si>
  <si>
    <t>AGNEMIP215</t>
  </si>
  <si>
    <t>PELIKANO MIEL 2C PO
2.15X2.44X0.015</t>
  </si>
  <si>
    <t>AGNEPLM215</t>
  </si>
  <si>
    <t>PELIKANO PLOMO 2C MT
2.15X2.44X0.0015</t>
  </si>
  <si>
    <t>AGNEPAP215</t>
  </si>
  <si>
    <t>PELIKANO PARAMO 2C PO
2.15X2.44X0.015</t>
  </si>
  <si>
    <t>MFCTE04818</t>
  </si>
  <si>
    <t>MDF TABLEMAC 1.22X2.44X0.018</t>
  </si>
  <si>
    <t>MFPTEAT103</t>
  </si>
  <si>
    <t xml:space="preserve">HDF PINTADO TEVP AMARETT 2.10X2.44X0.003
</t>
  </si>
  <si>
    <t>AGNRPAP215</t>
  </si>
  <si>
    <t>PELIKANO RH PARAMO 2C PO 2.15X2.44X0.015</t>
  </si>
  <si>
    <t xml:space="preserve">AGNRMIP215
</t>
  </si>
  <si>
    <t>AGNRRVM236</t>
  </si>
  <si>
    <t>PELIKANO RH ROVERE 2C MT 2.15X2.44X0.036</t>
  </si>
  <si>
    <t>AGNEGRS236</t>
  </si>
  <si>
    <t>PELIKANO GRIS 2C SF 2.15X2.44X0.036</t>
  </si>
  <si>
    <t>LMG5746TP8</t>
  </si>
  <si>
    <t>LAM. MOBILE CENIXO TX PF F8</t>
  </si>
  <si>
    <t>LMG5742TP8</t>
  </si>
  <si>
    <t xml:space="preserve"> LAM. MOBILE ROVERE TX PF F8</t>
  </si>
  <si>
    <t>LMG5748TP8</t>
  </si>
  <si>
    <t>LAM. MOBILE OXID TX PF F8</t>
  </si>
  <si>
    <t>AGTRCPW104</t>
  </si>
  <si>
    <t>AGLO SUPERFON RH CAPUC W 1.53X2.44</t>
  </si>
  <si>
    <t>AGCTE04812</t>
  </si>
  <si>
    <t>AGLO CRUDO SUPERT 1.22X2.44X0.012</t>
  </si>
  <si>
    <t>LMG101BC10</t>
  </si>
  <si>
    <t>LAM. MOBILE BLANCO UNICOLOR
BT CT 1.0MM</t>
  </si>
  <si>
    <t>LMG5745TP8</t>
  </si>
  <si>
    <t>LAM. MOBILE WHITE CHIC TX PF F8</t>
  </si>
  <si>
    <t>AGNEHAP215</t>
  </si>
  <si>
    <t>PELIKANO HABANO 2C PO 2.15X2.44X0.015</t>
  </si>
  <si>
    <t>AGNESAP215</t>
  </si>
  <si>
    <t>PELIKANO SANGRIA 2C PO 2.15X2.44X0.015</t>
  </si>
  <si>
    <t>AGNESOP215</t>
  </si>
  <si>
    <t>PELIKANO SOMBRA 2C PO 2.15X2.44X0.015</t>
  </si>
  <si>
    <t>MFSAEBC218</t>
  </si>
  <si>
    <t>SPAN SUPERMATE BLANCO 1.22X3.05X0.018</t>
  </si>
  <si>
    <t>AGHEECT318</t>
  </si>
  <si>
    <t>AGLO HG GALANTTI CASTANHO1.86X2.75X0.018</t>
  </si>
  <si>
    <t>AGNEMGM215</t>
  </si>
  <si>
    <t>PELIKANO MANGO 2C MT 2.15X2.44X0.015</t>
  </si>
  <si>
    <t xml:space="preserve">AGHEEFE318 </t>
  </si>
  <si>
    <t>AGNEMIP106</t>
  </si>
  <si>
    <t>PELIKANO MIEL 2C PO 2.15X2.44X0.006</t>
  </si>
  <si>
    <t>AGCNE04825</t>
  </si>
  <si>
    <t>MDP NOVOPAN 1.22X2.44X0.025</t>
  </si>
  <si>
    <t>AGNEPLM218</t>
  </si>
  <si>
    <t>PELIKANO PLOMO 2C MT 2.15X2.44X0.0018</t>
  </si>
  <si>
    <t>MFCTE04815</t>
  </si>
  <si>
    <t>MDF TABLEMAC 1.22X2.44X0.015</t>
  </si>
  <si>
    <t>AGTECEW112</t>
  </si>
  <si>
    <t>AGLO UNICOR CEDRO W 1C CB1.83X2.44X0.012</t>
  </si>
  <si>
    <t>LMG1436TC7</t>
  </si>
  <si>
    <t>LAM. MOBILE ALPI TX CT F7</t>
  </si>
  <si>
    <t>MFDRSAW215</t>
  </si>
  <si>
    <t>MDF DURATEX RH SANTOR SYN1.84X2.75X0.015</t>
  </si>
  <si>
    <t>AGNRSAP215</t>
  </si>
  <si>
    <t>PELIKANO RH SANGR 2C PO 2.15X2.44X0.015</t>
  </si>
  <si>
    <t>LMG1303TC7</t>
  </si>
  <si>
    <t>LAM. MOBILE ANARANJADO TX CT F7</t>
  </si>
  <si>
    <t>f7</t>
  </si>
  <si>
    <t>TX FENOL CMPC PINO B/C 1.22X2.44X0.009</t>
  </si>
  <si>
    <t>AGNEARW515</t>
  </si>
  <si>
    <t>PELIKANO ARTIKO 1N WO 2.15X2.44X0.015</t>
  </si>
  <si>
    <t xml:space="preserve">LMG0293BC7 </t>
  </si>
  <si>
    <t xml:space="preserve">LMG1241BC7 </t>
  </si>
  <si>
    <t>AGNEHAP236</t>
  </si>
  <si>
    <t>PELIKANO HABANO 2C PO 2.15X2.44X0.036</t>
  </si>
  <si>
    <t>LMG7113TC6</t>
  </si>
  <si>
    <t>LAM. MOBILE AMARILLO ZAFARI TX CT F6</t>
  </si>
  <si>
    <t>AGNRHAP215</t>
  </si>
  <si>
    <t>PELIKANO RH HABANO 2C PO 2.15X2.44X0.015</t>
  </si>
  <si>
    <t>AGNEBBS130</t>
  </si>
  <si>
    <t>AGLO MDPKOR BCO.MA 1C SF 1.22X2.44X0.030</t>
  </si>
  <si>
    <t>LMG7533TC6</t>
  </si>
  <si>
    <t>LAM. MOBILE WENGUE CROWN TX CT F6</t>
  </si>
  <si>
    <t>LW10776TP8</t>
  </si>
  <si>
    <t>LAM. WILSONART CIPRES TX PF F8</t>
  </si>
  <si>
    <t>LMG0352TC7</t>
  </si>
  <si>
    <t>LAM. MOBILE MAPLE TX PF F7</t>
  </si>
  <si>
    <t>LMG1474TC7</t>
  </si>
  <si>
    <t>LAM. MOBILE SMOKE OAK TX CT F7</t>
  </si>
  <si>
    <t xml:space="preserve">LMG1001CP8 </t>
  </si>
  <si>
    <t>AGNEMIP218</t>
  </si>
  <si>
    <t>PELIKANO MIEL 2C PO 2.15X2.44X0.018</t>
  </si>
  <si>
    <t>AGNERVW106</t>
  </si>
  <si>
    <t>PELIKANO ROVERE 1C WO 2.15X2.44X0.006</t>
  </si>
  <si>
    <t>LMG5723TP8</t>
  </si>
  <si>
    <t>LAM. MOBILE ONTARIO POLAR TX PF F8</t>
  </si>
  <si>
    <t>LMG1241TC7</t>
  </si>
  <si>
    <t>LAM. MOBILE VERDE CITRUS TX CT F7</t>
  </si>
  <si>
    <t>MFITEHA103</t>
  </si>
  <si>
    <t>HDF IMP.DIG TMB HABANO 1.22X2.44X0.003</t>
  </si>
  <si>
    <t>AGNERVM225</t>
  </si>
  <si>
    <t>PELIKANO ROVERE 2C MT 2.15X2.44X0.025</t>
  </si>
  <si>
    <t>AGNEGRS225</t>
  </si>
  <si>
    <t>PELIKANO GRIS 2C SF 2.15X2.44X0.025</t>
  </si>
  <si>
    <t xml:space="preserve">LMG1401CC8 </t>
  </si>
  <si>
    <t>LAM. MOBILE NEGRO TITAN BRUSH CT F8</t>
  </si>
  <si>
    <t>MFITEMI103</t>
  </si>
  <si>
    <t>HDF IMP.DIG TMB MIEL 1.22X2.44X0.003</t>
  </si>
  <si>
    <t>LMG6529BC6</t>
  </si>
  <si>
    <t>LAM. MOBILE ROBLE GRIS BT CT F6</t>
  </si>
  <si>
    <t>AGNRSOP215</t>
  </si>
  <si>
    <t>PELIKANO RH SOMBRA 2C PO 2.15X2.44X0.015</t>
  </si>
  <si>
    <t>AGNEARS218</t>
  </si>
  <si>
    <t>PELIKANO ARTIKO 2C SF 2.15X2.44X0.018</t>
  </si>
  <si>
    <t>MFHDERM318</t>
  </si>
  <si>
    <t>MDF HG DURATEX ROVERE MAR1.84X2.75X0.018</t>
  </si>
  <si>
    <t>MFITESG103</t>
  </si>
  <si>
    <t>HDF IMP.DIG TMB SANGRIA 1.22X2.44X0.003</t>
  </si>
  <si>
    <t>AGNEMGM218</t>
  </si>
  <si>
    <t>PELIKANO MANGO 2C MT 2.15X2.44X0.018</t>
  </si>
  <si>
    <t>MFITRSG103</t>
  </si>
  <si>
    <t xml:space="preserve">HDF RH IMP TMB SANGRIA 1.22X2.44X0.003
</t>
  </si>
  <si>
    <t>LMG0315TC7</t>
  </si>
  <si>
    <t>LAM. MOBILE BEECH TX PF F7</t>
  </si>
  <si>
    <t>AGCTR04815</t>
  </si>
  <si>
    <t>AGLO CRUDO SUPERT RH 1.22X2.44X0.015</t>
  </si>
  <si>
    <t>AGNRPAP106</t>
  </si>
  <si>
    <t>PELIKANO RH PARAMO 1C PO 2.15X2.44X0.006</t>
  </si>
  <si>
    <t>MFCTR06809</t>
  </si>
  <si>
    <t>MDF RH TABLEMAC 1.83X2.44X0.009</t>
  </si>
  <si>
    <t>LW4925TP8</t>
  </si>
  <si>
    <t>LAM. WILSONART CALCUTA MARBLE  TX PF F8</t>
  </si>
  <si>
    <t>LW8216TP8</t>
  </si>
  <si>
    <t>MARULA POSFORMABLE POSTFORMABLE</t>
  </si>
  <si>
    <t>LW4998TP8</t>
  </si>
  <si>
    <t>ANDORRA POSTFORMABLE</t>
  </si>
  <si>
    <t>LW1890TP8</t>
  </si>
  <si>
    <t>SERRANIA POSTFORMABLE</t>
  </si>
  <si>
    <t>LW16728TP8</t>
  </si>
  <si>
    <t>MAPLE NORUEGO NO POSTFORMABLE</t>
  </si>
  <si>
    <t>LW3148TP8</t>
  </si>
  <si>
    <t>BROWN WALNUT NO POSTFORMABLE</t>
  </si>
  <si>
    <t>LW3137TP8</t>
  </si>
  <si>
    <t>SOFT MAPLE NO POSTFORMABLE</t>
  </si>
  <si>
    <t>LW16742TP8</t>
  </si>
  <si>
    <t>ROBLE TABACO NO POSTFORMABLE</t>
  </si>
  <si>
    <t>LW3147TP8</t>
  </si>
  <si>
    <t>MILETIA NO POSTFORMABLE</t>
  </si>
  <si>
    <t>LW16717TP8</t>
  </si>
  <si>
    <t>NOGAL BRT NO POSTFORMABLE</t>
  </si>
  <si>
    <t>AGNEPAP236</t>
  </si>
  <si>
    <t>PELIKANO PARAMO 2C PO 2.15X2.44X0.036</t>
  </si>
  <si>
    <t>LW7965TP8</t>
  </si>
  <si>
    <t>LAM. WILSONART WALNUT HEIGHTS TX PF F8</t>
  </si>
  <si>
    <t>LMG7601TC6</t>
  </si>
  <si>
    <t>AVELLANA OSCURO NO POSTFORMABLE</t>
  </si>
  <si>
    <t>AGNRNIP106</t>
  </si>
  <si>
    <t>PELIKANO RH NIEBLA 1C PO 2.15X2.44X0.006</t>
  </si>
  <si>
    <t>AGNETAM215C</t>
  </si>
  <si>
    <t>PELIK TAUPE 2C MT TB 2.15X2.44X0.015</t>
  </si>
  <si>
    <t>AGNRDUP218</t>
  </si>
  <si>
    <t>PELIKANO RH DUNA 2C PO 2.15X2.44X0.018</t>
  </si>
  <si>
    <t>AGNRPAP218</t>
  </si>
  <si>
    <t>PELIKANO RH PARAMO 2C PO 2.15X2.44X0.018</t>
  </si>
  <si>
    <t>AGNRONM218</t>
  </si>
  <si>
    <t>PELIKANO RH ONIX 2C MT 2.15X2.44X0.018</t>
  </si>
  <si>
    <t>AGNRCBP818</t>
  </si>
  <si>
    <t>PELIKANO RH CARBON 2C PO 2.15X2.44X0.018</t>
  </si>
  <si>
    <t>AGNECCP215C</t>
  </si>
  <si>
    <t>PELIK CONAC 2C PO TB 2.15X2.44X0.015</t>
  </si>
  <si>
    <t>AGNECBP215</t>
  </si>
  <si>
    <t>PELIKANO CARBON 2C PO 2.15X2.44X0.015</t>
  </si>
  <si>
    <t>AGNRCBP815</t>
  </si>
  <si>
    <t>PELIKANO RH CARBON 2C PO 2.15X2.44X0.015</t>
  </si>
  <si>
    <t>AGNESIP215</t>
  </si>
  <si>
    <t>PELIKANO SIENA 2C PO 2.15X2.44X0.015</t>
  </si>
  <si>
    <t>AGNESIP218</t>
  </si>
  <si>
    <t>PELIKANO SIENA 2C PO 2.15X2.44X0.018</t>
  </si>
  <si>
    <t>AGNESIP106</t>
  </si>
  <si>
    <t>PELIKANO SIENA 1C PO 2.15X2.44X0.006</t>
  </si>
  <si>
    <t>AGNRARW415</t>
  </si>
  <si>
    <t>PELIKANO RH ARTIKO 1B WO 2.15X2.44X0.015</t>
  </si>
  <si>
    <t>AGNRARW418</t>
  </si>
  <si>
    <t>PELIKANO RH ARTIKO 1B WO 2.15X2.44X0.018</t>
  </si>
  <si>
    <t>AGNRMGM218</t>
  </si>
  <si>
    <t>PELIKANO RH MANGO 2C MT 2.15X2.44X0.018</t>
  </si>
  <si>
    <t>LMPR534114</t>
  </si>
  <si>
    <t>LISTON MAD PINO ARA G5 3.96X0.041X0.140</t>
  </si>
  <si>
    <t>LMPR431919</t>
  </si>
  <si>
    <t>LISTON MAD PINO ARA G4 3.96X0.019X0.190</t>
  </si>
  <si>
    <t>AGFTE06818</t>
  </si>
  <si>
    <t>AGLO FORMALETA TABLEMAC 1.83X2.44X0.018</t>
  </si>
  <si>
    <t>AGNEDUP236</t>
  </si>
  <si>
    <t>PELIKANO DUNA 2C PO 2.15X2.44X0.036</t>
  </si>
  <si>
    <t>AGNRCCP106</t>
  </si>
  <si>
    <t>PELIKANO RH CONAC 1C PO 2.15X2.44X0.006</t>
  </si>
  <si>
    <t>MFCTR06804</t>
  </si>
  <si>
    <t>MDF RH TABLEMAC 1.83X2.44X0.004</t>
  </si>
  <si>
    <t>LW7952TP8</t>
  </si>
  <si>
    <t>LAM. WILSONART ASIAND SAND TX PF F8</t>
  </si>
  <si>
    <t>AGNRSIP215</t>
  </si>
  <si>
    <t>PELIKANO RH SIENA 2C PO 2.15X2.44X0.015</t>
  </si>
  <si>
    <t>AGNETAM106</t>
  </si>
  <si>
    <t>PELIKANO TAUPE 1C MT 2.15X2.44X0.006</t>
  </si>
  <si>
    <t>AGNETAM215</t>
  </si>
  <si>
    <t>PELIKANO TAUPE 2C MT 2.15X2.44X0.015</t>
  </si>
  <si>
    <t>AGNECBP106</t>
  </si>
  <si>
    <t>PELIKANO CARBON 1C PO 2.15X2.44X0.006</t>
  </si>
  <si>
    <t>AGTEWEW315</t>
  </si>
  <si>
    <t>AGLO SUPERCOR WENGUE W 1.83X2.44X0.015</t>
  </si>
  <si>
    <t>AGNRDUP215</t>
  </si>
  <si>
    <t>PELIKANO RH DUNA 2C PO 2.15X2.44X0.015</t>
  </si>
  <si>
    <t>AGNRONM215</t>
  </si>
  <si>
    <t>PELIKANO RH ONIX 2C MT 2.15X2.44X0.015</t>
  </si>
  <si>
    <t>LMPC431919</t>
  </si>
  <si>
    <t>LISTON MAD PINO CMPC G4 3.96X0.019X0.190</t>
  </si>
  <si>
    <t>MFCAL06838</t>
  </si>
  <si>
    <t>MDF FIBRAPLAC CRUDO 1.83X2.44X0.036</t>
  </si>
  <si>
    <t>AGNELIS236</t>
  </si>
  <si>
    <t>PELIKANO LINO 2C SF 2.15X2.44X0.036</t>
  </si>
  <si>
    <t>MFITECC103</t>
  </si>
  <si>
    <t>HDF IMP.DIG TMB CONAC 1.22X2.44X0.003</t>
  </si>
  <si>
    <t>AGNETAM218</t>
  </si>
  <si>
    <t>PELIKANO TAUPE 2C MT 2.15X2.44X0.018</t>
  </si>
  <si>
    <t>AGREBNS215C</t>
  </si>
  <si>
    <t>AGLO VESTO BCO. NEV SF 2.10X2.44X0.015</t>
  </si>
  <si>
    <t>AGNECCP236</t>
  </si>
  <si>
    <t>PELIKANO CONAC 2C PO 2.15X2.44X0.036</t>
  </si>
  <si>
    <t>AGNRGAP218</t>
  </si>
  <si>
    <t>PELIKANO RH GALES 2C PO 2.15X2.44X0.018</t>
  </si>
  <si>
    <t>AGNRGAP236</t>
  </si>
  <si>
    <t>PELIKANO RH GALES 2C PO 2.15X2.44X0.036</t>
  </si>
  <si>
    <t>AGNRCCP236</t>
  </si>
  <si>
    <t>PELIKANO RH CONAC 2C PO 2.15X2.44X0.036</t>
  </si>
  <si>
    <t>AGNRONM106</t>
  </si>
  <si>
    <t>PELIKANO RH ONIX 1C MT 2.15X2.44X0.006</t>
  </si>
  <si>
    <t>AGNESOP106</t>
  </si>
  <si>
    <t>PELIKANO SOMBRA 1C PO 2.15X2.44X0.006</t>
  </si>
  <si>
    <t>MFITENI103</t>
  </si>
  <si>
    <t>HDF IMP.DIG TMB NIEBLA 1.22X2.44X0.003</t>
  </si>
  <si>
    <t>AGNRNIP218</t>
  </si>
  <si>
    <t>PELIKANO RH NIEBLA 2C PO 2.15X2.44X0.018</t>
  </si>
  <si>
    <t>AGNESIP236</t>
  </si>
  <si>
    <t>PELIKANO SIENA 2C PO 2.15X2.44X0.036</t>
  </si>
  <si>
    <t>MFITEDU103</t>
  </si>
  <si>
    <t>HDF IMP.DIG TMB DUNA 1.22X2.44X0.003</t>
  </si>
  <si>
    <t>AGNRDUP236</t>
  </si>
  <si>
    <t>AGNRNIP236</t>
  </si>
  <si>
    <t>PELIKANO RH NIEBLA 2C PO 2.15X2.44X0.036</t>
  </si>
  <si>
    <t>AGNRCBP218</t>
  </si>
  <si>
    <t>AGNRCBP236</t>
  </si>
  <si>
    <t>PELIKANO RH CARBON 2C PO 2.15X2.44X0.036</t>
  </si>
  <si>
    <t>LMG7139TC6</t>
  </si>
  <si>
    <t>MAGMA NO POSTFORMABLE</t>
  </si>
  <si>
    <t>AGTRWEW315</t>
  </si>
  <si>
    <t>AGLO SUPERCOR RH WENGU W 1.83X2.44X0.015</t>
  </si>
  <si>
    <t>AGNENIP236</t>
  </si>
  <si>
    <t>PELIKANO NIEBLA 2C PO 2.15X2.44X0.036</t>
  </si>
  <si>
    <t>LMG5313TP8</t>
  </si>
  <si>
    <t>BANANA POSTFORMABLE</t>
  </si>
  <si>
    <t>AGNENEW215</t>
  </si>
  <si>
    <t>PELIKANO WEN/WEN 2C WO 2.15X2.44X0.015</t>
  </si>
  <si>
    <t>ALMAB018</t>
  </si>
  <si>
    <t>ALISTONADO MADEPAT. PINO 1.22X2.44X0.018</t>
  </si>
  <si>
    <t>AGNERVP236</t>
  </si>
  <si>
    <t>PELIKANO ROVERE 2C PO 2.15X2.44X0.036</t>
  </si>
  <si>
    <t>AGNEDUP225</t>
  </si>
  <si>
    <t>PELIKANO DUNA 2C PO 2.15X2.44X0.025</t>
  </si>
  <si>
    <t>AGNRTAM218</t>
  </si>
  <si>
    <t>PELIKANO RH TAUPE 2C MT 2.15X2.44X0.018</t>
  </si>
  <si>
    <t>AGNECBP218</t>
  </si>
  <si>
    <t>PELIKANO CARBON 2C PO 2.15X2.44X0.018</t>
  </si>
  <si>
    <t>AGNRSIP236</t>
  </si>
  <si>
    <t>PELIKANO RH SIENA 2C PO 2.15X2.44X0.036</t>
  </si>
  <si>
    <t>AGCEE06918</t>
  </si>
  <si>
    <t>AGLO EUCATEX 1.86X2.75X0.018</t>
  </si>
  <si>
    <t>LMPRD51990</t>
  </si>
  <si>
    <t>LISTON MAD PINO ARA DM 3.20X0.090X0.019</t>
  </si>
  <si>
    <t>AGNENEW218</t>
  </si>
  <si>
    <t>PELIKANO WEN/WEN 2C WO 2.15X2.44X0.018</t>
  </si>
  <si>
    <t>AGNENEW106</t>
  </si>
  <si>
    <t>PELIKANO WEN/WEN 1C WO 2.15X2.44X0.006</t>
  </si>
  <si>
    <t>AGNRCCP218</t>
  </si>
  <si>
    <t>PELIKANO RH CONAC 2C PO 2.15X2.44X0.018</t>
  </si>
  <si>
    <t>MFITEGA103</t>
  </si>
  <si>
    <t>HDF IMP.DIG TMB GALES 1.22X2.44X0.003</t>
  </si>
  <si>
    <t>AGCEE06912</t>
  </si>
  <si>
    <t>AGLO EUCATEX 1.86X2.75X0.012</t>
  </si>
  <si>
    <t>AGNRCBP215</t>
  </si>
  <si>
    <t>AGNRCBP106</t>
  </si>
  <si>
    <t>PELIKANO RH CARBON 1C PO 2.15X2.44X0.006</t>
  </si>
  <si>
    <t>TXCPA212</t>
  </si>
  <si>
    <t>TX FENOL CMPC PINO A/C 1.22X2.44X0.012</t>
  </si>
  <si>
    <t>AGNEGAP218</t>
  </si>
  <si>
    <t>PELIKANO GALES 2C PO 2.15X2.44X0.018</t>
  </si>
  <si>
    <t>MFCAE06812</t>
  </si>
  <si>
    <t>MDF FIBRAPLAC 600 1.83X2.44X0.012</t>
  </si>
  <si>
    <t>AGNETAM236</t>
  </si>
  <si>
    <t>PELIKANO TAUPE 2C MT 2.15X2.44X0.036</t>
  </si>
  <si>
    <t>AGNRCMM236</t>
  </si>
  <si>
    <t>PELIKANO RH CEMENT 2C MT 2.15X2.44X0.036</t>
  </si>
  <si>
    <t>AGNRCAN106</t>
  </si>
  <si>
    <t>PELIKANO RH CARAME 1C PO 2.15X2.44X0.006</t>
  </si>
  <si>
    <t>AGNRCUM106</t>
  </si>
  <si>
    <t>PELIKANO RH CUERO 1C MT 2.15X2.44X0.006</t>
  </si>
  <si>
    <t>AGNRCUM215</t>
  </si>
  <si>
    <t>PELIKANO RH CUERO 2C MT 2.15X2.44X0.015</t>
  </si>
  <si>
    <t>AGNECBP236</t>
  </si>
  <si>
    <t>PELIKANO CARBON 2C PO 2.15X2.44X0.036</t>
  </si>
  <si>
    <t>AGNEARN415</t>
  </si>
  <si>
    <t>PELIKANO ARTIKO 1B NA 2.15X2.44X0.015</t>
  </si>
  <si>
    <t>AGNRARN415</t>
  </si>
  <si>
    <t>PELIKANO RH ARTIKO 1B NA 2.15X2.44X0.015</t>
  </si>
  <si>
    <t>AGNENEW236</t>
  </si>
  <si>
    <t>PELIKANO WEN/WEN 2C WO 2.15X2.44X0.036</t>
  </si>
  <si>
    <t>AGNEARN209</t>
  </si>
  <si>
    <t>PELIKANO ARTIKO 2C NA 2.15X2.44X0.009</t>
  </si>
  <si>
    <t>AGNRPLM215C</t>
  </si>
  <si>
    <t>PELIK RH PLOMO 2C MT TB 2.15X2.44X0.015</t>
  </si>
  <si>
    <t>AGNEPLM215C</t>
  </si>
  <si>
    <t>PELIK PLOMO 2C MT TB 2.15X2.44X0.0015</t>
  </si>
  <si>
    <t>AGCNEL7825</t>
  </si>
  <si>
    <t>MDP NOVOPAN LIJ 2.15X2.44X0.025</t>
  </si>
  <si>
    <t>AGNRGAP106</t>
  </si>
  <si>
    <t>PELIKANO RH GALES 1C PO 2.15X2.44X0.006</t>
  </si>
  <si>
    <t>MFARVRS118</t>
  </si>
  <si>
    <t>MDF FIBRAM RBVENECIA RAN 1.83X2.44X0.018</t>
  </si>
  <si>
    <t>AGTEWEW318</t>
  </si>
  <si>
    <t>AGLO SUPERCOR WENG W 1.83X2.44X0.018</t>
  </si>
  <si>
    <t>MFCAR06818</t>
  </si>
  <si>
    <t>MDF FIBRAPLAC RH 1.83X2.44X0.018</t>
  </si>
  <si>
    <t>AGNRTAM236</t>
  </si>
  <si>
    <t>PELIKANO RH TAUPE 2C MT 2.15X2.44X0.036</t>
  </si>
  <si>
    <t>AGNEHAP415</t>
  </si>
  <si>
    <t>PELIKANO HABANO 1B PO 2.15X2.44X0.015</t>
  </si>
  <si>
    <t>AGNEPLP218</t>
  </si>
  <si>
    <t>PELIKANO PLOMO 2C PO 2.15X2.44X0.0018</t>
  </si>
  <si>
    <t>AGNRNEW106</t>
  </si>
  <si>
    <t>PELIKANO RH WEN/WE 1C WO 2.15X2.44X0.006</t>
  </si>
  <si>
    <t>AGNRLIS415</t>
  </si>
  <si>
    <t>PELIKANO RH LINO 1B SF 2.15X2.44X0.015</t>
  </si>
  <si>
    <t>AGNECNW412</t>
  </si>
  <si>
    <t>PELIKANO CENIZA 1B WO 2.15X2.44X0.012</t>
  </si>
  <si>
    <t>MFAERB6826</t>
  </si>
  <si>
    <t>MDF FIBRACHAPA RBRS 1C 1.83X2.44X0.026</t>
  </si>
  <si>
    <t>MFCTR04818</t>
  </si>
  <si>
    <t>MDF TABLEMAC RH 1.22X2.44X0.018</t>
  </si>
  <si>
    <t>AGCNRL7825</t>
  </si>
  <si>
    <t>MDP RH NOVOPAN LJ 2.15X2.44X0.025</t>
  </si>
  <si>
    <t>AGCNEL7812</t>
  </si>
  <si>
    <t>MDP NOVOPAN LIJ 2.15X2.44X0.012</t>
  </si>
  <si>
    <t>AGNRCUM236</t>
  </si>
  <si>
    <t>PELIKANO RH CUERO 2C MT 2.15X2.44X0.036</t>
  </si>
  <si>
    <t>LMPPD44190</t>
  </si>
  <si>
    <t>LISTON MAD PINO PROM DM 3.66X0.041X0.090</t>
  </si>
  <si>
    <t>MFCTE06804</t>
  </si>
  <si>
    <t>HDF TABLEMAC 1.83X2.44X0.004</t>
  </si>
  <si>
    <t>AGNEBNS218C</t>
  </si>
  <si>
    <t>PELIK BCO.NO 2C SF TB 2.15X2.44X0.018</t>
  </si>
  <si>
    <t>AGTEBCS105</t>
  </si>
  <si>
    <t>MDF BLANCO S. 1.83X2.44X0.0055</t>
  </si>
  <si>
    <t>AGNEONM236</t>
  </si>
  <si>
    <t>PELIKANO ONIX 2C MT 2.15X2.44X0.036</t>
  </si>
  <si>
    <t>AGNEPLS218</t>
  </si>
  <si>
    <t>PELIKANO PLOMO 2C SF 2.15X2.44X0.0018</t>
  </si>
  <si>
    <t>AGNRPLS236</t>
  </si>
  <si>
    <t>PELIKANO RH PLOMO 2C SF 2.15X2.44X0.0036</t>
  </si>
  <si>
    <t>AGNRTAS218</t>
  </si>
  <si>
    <t>PELIKANO RH TAUPE 2C SF 2.15X2.44X0.018</t>
  </si>
  <si>
    <t>AGNENCY615</t>
  </si>
  <si>
    <t>PELIKANO NACAR S/P 2.15X2.44X0.015</t>
  </si>
  <si>
    <t>AGNRNCY615</t>
  </si>
  <si>
    <t>PELIKANO RH NACAR S/P 2.15X2.44X0.015</t>
  </si>
  <si>
    <t>AGNRTAS215</t>
  </si>
  <si>
    <t>PELIKANO RH TAUPE 2C SF 2.15X2.44X0.015</t>
  </si>
  <si>
    <t>TXCPA209</t>
  </si>
  <si>
    <t>TX FENOL CMPC PINO A/C 1.22X2.44X0.009</t>
  </si>
  <si>
    <t>AGNERVS218</t>
  </si>
  <si>
    <t>PELIKANO ROVERE 2C SF 2.15X2.44X0.018</t>
  </si>
  <si>
    <t>OSBLM04817</t>
  </si>
  <si>
    <t>OSB MUEBLE L . P 1.22X2.44X0.017</t>
  </si>
  <si>
    <t>AGNRBTY615</t>
  </si>
  <si>
    <t>PELIKAN RH BELLOTA S/P 2.15X2.44X0.015</t>
  </si>
  <si>
    <t>AGNEMCY615</t>
  </si>
  <si>
    <t>PELIKANO MACAD S/P 2.15X2.44X0.015</t>
  </si>
  <si>
    <t>MFCTE06805</t>
  </si>
  <si>
    <t>HDF TABLEMAC 1.83X2.44X0.0055</t>
  </si>
  <si>
    <t>AGNRMCY106</t>
  </si>
  <si>
    <t>PELIKAN RH MACAD 1/S 2.15X2.44X0.006</t>
  </si>
  <si>
    <t>AGNRMCY615</t>
  </si>
  <si>
    <t>PELIKAN RH MACAD S/P 2.15X2.44X0.015</t>
  </si>
  <si>
    <t>AGNRBTY106</t>
  </si>
  <si>
    <t>PELIKAN RH BELLOTA 1/S 2.15X2.44X0.006</t>
  </si>
  <si>
    <t>AGNRIBM215</t>
  </si>
  <si>
    <t>PELIKANO RH IBIZA MT 2.15X2.44X0.015</t>
  </si>
  <si>
    <t>AGNRIBM106</t>
  </si>
  <si>
    <t>PELIKANO RH IBIZA 1C MT 2.15X2.44X0.006</t>
  </si>
  <si>
    <t>AGNRPLS106</t>
  </si>
  <si>
    <t>PELIKANO RH PLOMO 1C SF 2.15X2.44X0.006</t>
  </si>
  <si>
    <t>AGNRNCY618</t>
  </si>
  <si>
    <t>PELIKANO RH NACAR S/P 2.15X2.44X0.018</t>
  </si>
  <si>
    <t>AGTRSOR315</t>
  </si>
  <si>
    <t>AGLO SUPERCOR RH SODER RK1.83X2.44X0.015</t>
  </si>
  <si>
    <t>AGTRSOR318</t>
  </si>
  <si>
    <t>AGLO SUPERCOR RH SODER RK1.83X2.44X0.018</t>
  </si>
  <si>
    <t>AGNETAS215</t>
  </si>
  <si>
    <t>PELIKANO TAUPE 2C SF 2.15X2.44X0.015</t>
  </si>
  <si>
    <t>AGTRGLW315</t>
  </si>
  <si>
    <t>AGLO SUPERCOR RH GLACI W 1.83X2.44X0.015</t>
  </si>
  <si>
    <t>AGNENCY106</t>
  </si>
  <si>
    <t>PELIKANO NACAR 1/S 2.15X2.44X0.006</t>
  </si>
  <si>
    <t>AGNRBTY618</t>
  </si>
  <si>
    <t>PELIKAN RH BELLOTA S/P 2.15X2.44X0.018</t>
  </si>
  <si>
    <t>AGNEBTY615</t>
  </si>
  <si>
    <t>PELIKANO BELLOTA S/P 2.15X2.44X0.015</t>
  </si>
  <si>
    <t>AGNEMLY615</t>
  </si>
  <si>
    <t>PELIKANO MILAN S/P 2,15X2,44X0,015</t>
  </si>
  <si>
    <t>AGNEBAY615</t>
  </si>
  <si>
    <t>PELIKANO BARDOLI S/P 2,15X2,44X0,015</t>
  </si>
  <si>
    <t>AGNECPS215</t>
  </si>
  <si>
    <t>PELIKANO CAPRI 2C SF 2,15X2,44X0,015</t>
  </si>
  <si>
    <t>AGNEAGM215</t>
  </si>
  <si>
    <t>PELIKANO AGAVE 2C MT 2,15X2,44X0,015</t>
  </si>
  <si>
    <t>AGNEAPM215</t>
  </si>
  <si>
    <t>PELIKANO ARUPO 2C MT 2,15X2,44X0,015</t>
  </si>
  <si>
    <t>AGNETOC215</t>
  </si>
  <si>
    <t>PELIKANO TOQUILL 2C CU 2,15X2,44X0,015</t>
  </si>
  <si>
    <t>AGNEMDW215</t>
  </si>
  <si>
    <t>PELIKANO MALLADO 2C WO 2,15X2,44X0,015</t>
  </si>
  <si>
    <t>AGNETIC215</t>
  </si>
  <si>
    <t>PELIKANO TIVOLI 2C CU 2,15X2,44X0,015</t>
  </si>
  <si>
    <t>AGNEFEY615</t>
  </si>
  <si>
    <t>PELIKANO FRES,EU S/P 2,15X2,44X0,015</t>
  </si>
  <si>
    <t>AGNENEY615</t>
  </si>
  <si>
    <t>PELIKANO NGAL,EU S/P 2,15X2,44X0,015</t>
  </si>
  <si>
    <t>AGNRBAY615</t>
  </si>
  <si>
    <t>PELIKANO RH BARDOLIN S/P 2,15X2,44X0,015</t>
  </si>
  <si>
    <t>AGNRCPS215</t>
  </si>
  <si>
    <t>PELIKAN RH CAPRI 2C SF 2,15X2,44X0,015</t>
  </si>
  <si>
    <t>AGNRFEY615</t>
  </si>
  <si>
    <t>PELIKAN RH FRES,EU S/P 2,15X2,44X0,015</t>
  </si>
  <si>
    <t>AGNRMLY615</t>
  </si>
  <si>
    <t>PELIKANO RH MILAN S/P 2,15X2,44X0,015</t>
  </si>
  <si>
    <t>AGNRNEY615</t>
  </si>
  <si>
    <t>PELIKAN RH NGAL,EU S/P 2,15X2,44X0,015</t>
  </si>
  <si>
    <t>AGNRTIC215</t>
  </si>
  <si>
    <t>PELIKAN RH TIVOLI 2C CU 2,15X2,44X0,015</t>
  </si>
  <si>
    <t>AGNRTOC215</t>
  </si>
  <si>
    <t>PELIKAN RH TOQUILL 2C CU 2,15X2,44X0,015</t>
  </si>
  <si>
    <t>AGNRNEY106</t>
  </si>
  <si>
    <t>PELIKAN RH NGAL,EU 1/S 2,15X2,44X0,006</t>
  </si>
  <si>
    <t>AGNEFEY106</t>
  </si>
  <si>
    <t>PELIKANO FRES,EU 1/S 2,15X2,44X0,006</t>
  </si>
  <si>
    <t>AGNRFEY106</t>
  </si>
  <si>
    <t>PELIKAN RH FRES,EU 1/S 2,15X2,44X0,006</t>
  </si>
  <si>
    <t>AGNETOC106</t>
  </si>
  <si>
    <t>PELIKANO TOQUILL 1C CU 2,15X2,44X0,006</t>
  </si>
  <si>
    <t>AGNRBAY106</t>
  </si>
  <si>
    <t>PELIKAN RH BARDOLI 1/S 2,15X2,44X0,006</t>
  </si>
  <si>
    <t>AGNRMLY106</t>
  </si>
  <si>
    <t>PELIKAN RH MILAN 1/S 2,15X2,44X0,006</t>
  </si>
  <si>
    <t>AGNEBAY106</t>
  </si>
  <si>
    <t>PELIKANO BARDOLI 1/S 2,15X2,44X0,006</t>
  </si>
  <si>
    <t>AGNEMLY106</t>
  </si>
  <si>
    <t>PELIKANO MILAN 1/S 2,15X2,44X0,006</t>
  </si>
  <si>
    <t>AGNRAGM215</t>
  </si>
  <si>
    <t>PELIKAN RH AGAVE 2C MT 2,15X2,44X0,015</t>
  </si>
  <si>
    <t>AGNRAPM106</t>
  </si>
  <si>
    <t>PELIKAN RH ARUPO 1C MT 2,15X2,44X0,006</t>
  </si>
  <si>
    <t>AGNRMDW106</t>
  </si>
  <si>
    <t>PELIKAN RH MALLADO 1C WO 2,15X2,44X0,006</t>
  </si>
  <si>
    <t>AGNRMDW215</t>
  </si>
  <si>
    <t>PELIKAN RH MALLADO 2C WO 2,15X2,44X0,015</t>
  </si>
  <si>
    <t>AGNETIC106</t>
  </si>
  <si>
    <t>PELIKANO TIVOLI 1C CU 2,15X2,44X0,006</t>
  </si>
  <si>
    <t>AGNEMDW106</t>
  </si>
  <si>
    <t>PELIKANO MALLADO 1C WO 2,15X2,44X0,006</t>
  </si>
  <si>
    <t>AGNEAGM106</t>
  </si>
  <si>
    <t>PELIKANO AGAVE 1C MT 2,15X2,44X0,006</t>
  </si>
  <si>
    <t>AGNRTIC106</t>
  </si>
  <si>
    <t>PELIKAN RH TIVOLI 1C CU 2,15X2,44X0,006</t>
  </si>
  <si>
    <t>AGNRTOC106</t>
  </si>
  <si>
    <t>PELIKAN RH TOQUILL 1C CU 2,15X2,44X0,006</t>
  </si>
  <si>
    <t>MDF FIBRAPLAC CRUDO 1,83X2,44X0,012</t>
  </si>
  <si>
    <t>MDF FIBRAPLAC CRUDO 1,83X2,44X0,015</t>
  </si>
  <si>
    <t>AGTRSOF315</t>
  </si>
  <si>
    <t>AGLO SUPERCOR RH SODER FO1,83X2,44X0,015</t>
  </si>
  <si>
    <t>AGNETOC218</t>
  </si>
  <si>
    <t>PELIKANO TOQUILL 2C CU 2,15X2,44X0,018</t>
  </si>
  <si>
    <t>AGNETOC236</t>
  </si>
  <si>
    <t>PELIKANO TOQUILL 2C CU 2,15X2,44X0,036</t>
  </si>
  <si>
    <t>AGNRCPS106</t>
  </si>
  <si>
    <t>PELIKAN RH CAPRI 1C SF 2,15X2,44X0,006</t>
  </si>
  <si>
    <t>AGNRCPS218</t>
  </si>
  <si>
    <t>PELIKAN RH CAPRI 2C SF 2,15X2,44X0,018</t>
  </si>
  <si>
    <t>AGNRCPS236</t>
  </si>
  <si>
    <t>PELIKAN RH CAPRI 2C SF 2,15X2,44X0,036</t>
  </si>
  <si>
    <t>AGNRTIC236</t>
  </si>
  <si>
    <t>PELIKAN RH TIVOLI 2C CU 2,15X2,44X0,036</t>
  </si>
  <si>
    <t>AGNETIC218</t>
  </si>
  <si>
    <t>PELIKANO TIVOLI 2C CU 2,15X2,44X0,018</t>
  </si>
  <si>
    <t>AGNETIC236</t>
  </si>
  <si>
    <t>PELIKANO TIVOLI 2C CU 2,15X2,44X0,036</t>
  </si>
  <si>
    <t>AGNRTOC218</t>
  </si>
  <si>
    <t>PELIKAN RH TOQUILL 2C CU 2,15X2,44X0,018</t>
  </si>
  <si>
    <t>AGNRTOC236</t>
  </si>
  <si>
    <t>PELIKAN RH TOQUILL 2C CU 2,15X2,44X0,036</t>
  </si>
  <si>
    <t>AGNROLM415</t>
  </si>
  <si>
    <t>PELIKANO RH OLIVO 1B MT 2,15X2,44X0,015</t>
  </si>
  <si>
    <t>AGNRAGM218</t>
  </si>
  <si>
    <t>PELIKAN RH AGAVE 2C MT 2,15X2,44X0,018</t>
  </si>
  <si>
    <t>AGNRMDW218</t>
  </si>
  <si>
    <t>PELIKAN RH MALLADO 2C WO 2,15X2,44X0,018</t>
  </si>
  <si>
    <t>AGNRTIC218</t>
  </si>
  <si>
    <t>PELIKAN RH TIVOLI 2C CU 2,15X2,44X0,018</t>
  </si>
  <si>
    <t>AGNRAGM106</t>
  </si>
  <si>
    <t>PELIKAN RH AGAVE 1C MT 2,15X2,44X0,006</t>
  </si>
  <si>
    <t>AGNRAPM215</t>
  </si>
  <si>
    <t>PELIKAN RH ARUPO 2C MT 2,15X2,44X0,015</t>
  </si>
  <si>
    <t>AGNEAPM106</t>
  </si>
  <si>
    <t>PELIKANO ARUPO 1C MT 2,15X2,44X0,006</t>
  </si>
  <si>
    <t>AGNECPS106</t>
  </si>
  <si>
    <t>PELIKANO CAPRI 1C SF 2,15X2,44X0,006</t>
  </si>
  <si>
    <t>AGNENEY106</t>
  </si>
  <si>
    <t>PELIKANO NGAL,EU 1/S 2,15X2,44X0,006</t>
  </si>
  <si>
    <t>AGNRFEP236</t>
  </si>
  <si>
    <t>PELIKAN RH FRES,EU PO 2,15X2,44X0,036</t>
  </si>
  <si>
    <t>MDF FIBRAPLAC CRUDO 1,83X2,44X0,009</t>
  </si>
  <si>
    <t>AGNEAPM218</t>
  </si>
  <si>
    <t>PELIKANO ARUPO 2C MT 2,15X2,44X0,018</t>
  </si>
  <si>
    <t>LMPM433314</t>
  </si>
  <si>
    <t>LISTON MAD PINO PROM G4 3,96X0,033X0,140</t>
  </si>
  <si>
    <t>AGNEFEP236</t>
  </si>
  <si>
    <t>PELIKANO FRES,EU PO 2,15X2,44X0,036</t>
  </si>
  <si>
    <t>FORMALETA RH NOVOPAN 2,15X2,44X0,015</t>
  </si>
  <si>
    <t>LMPM533319</t>
  </si>
  <si>
    <t>LISTON MAD PINO PROM G5 3,96X0,033X0,190</t>
  </si>
  <si>
    <t>MFCBE06855</t>
  </si>
  <si>
    <t>MDF DELGADO 1,85X2,44X0,0055</t>
  </si>
  <si>
    <t>AGNEMLP236</t>
  </si>
  <si>
    <t>PELIKANO MILAN PO 2,15X2,44X0,036</t>
  </si>
  <si>
    <t>AGNEBAP236</t>
  </si>
  <si>
    <t>PELIKANO BARDOLI PO 2,15X2,44X0,036</t>
  </si>
  <si>
    <t>MFHERNB318</t>
  </si>
  <si>
    <t>MDF HG BRILLIANT NEGRO 1,30X2,80X0,018</t>
  </si>
  <si>
    <t>MFHERBN318</t>
  </si>
  <si>
    <t>MDF HG BRILLIANT BCO 1,30X2,80X0,018</t>
  </si>
  <si>
    <t>AGNEMIP225</t>
  </si>
  <si>
    <t>PELIKANO MIEL 2C PO 2,15X2,44X0,025</t>
  </si>
  <si>
    <t>AGNENIP225</t>
  </si>
  <si>
    <t>PELIKANO NIEBLA 2C PO 2,15X2,44X0,025</t>
  </si>
  <si>
    <t>PELIKANO CARAMELO 2C PO 2,15X2,44X0,025</t>
  </si>
  <si>
    <t>AGNERNY625</t>
  </si>
  <si>
    <t>PELIK ROBLE NEGRO S/P 2,15X2,44X0,025</t>
  </si>
  <si>
    <t>MFHERCU318</t>
  </si>
  <si>
    <t>MDF HG BRILLIANT CUBANITE1,30X2,80X0,018</t>
  </si>
  <si>
    <t>MFHERBI318</t>
  </si>
  <si>
    <t>MDF HG BRILLIANT BIGIO 1,30X2,80X0,018</t>
  </si>
  <si>
    <t>AGNECPS218</t>
  </si>
  <si>
    <t>PELIKANO CAPRI 2C SF 2,15X2,44X0,018</t>
  </si>
  <si>
    <t>AGNRBAP236</t>
  </si>
  <si>
    <t>PELIKAN RH BARDOLI PO 2,15X2,44X0,036</t>
  </si>
  <si>
    <t>MDP NOVOPAN LIJ 1,22X2,44X0,015</t>
  </si>
  <si>
    <t>AGNRNEY618</t>
  </si>
  <si>
    <t>PELIKAN RH NGAL,EU S/P 2,15X2,44X0,018</t>
  </si>
  <si>
    <t>MDF DELGADO 1.85X2.44X0.0055</t>
  </si>
  <si>
    <t>ACKENAP215</t>
  </si>
  <si>
    <t>KRON CARB NAUTICO 2C PE 2.07X2.80X0.015</t>
  </si>
  <si>
    <t>AGAEWEW215</t>
  </si>
  <si>
    <t xml:space="preserve">AGLO DURAMELA WE WO 2C 2.15X2.44X0.015  </t>
  </si>
  <si>
    <t>AGCCE04809</t>
  </si>
  <si>
    <t>MDP CIMAL 1.22X2.44X0.009</t>
  </si>
  <si>
    <t>AGCCE04812</t>
  </si>
  <si>
    <t>MDP CIMAL 1.22X2.44X0.012</t>
  </si>
  <si>
    <t>AGCCE04815</t>
  </si>
  <si>
    <t>MDP CIMAL 1.22X2.44X0.015</t>
  </si>
  <si>
    <t>AGCCE04818</t>
  </si>
  <si>
    <t>MDP CIMAL 1.22X2.44X0.018</t>
  </si>
  <si>
    <t>AGCCE04825</t>
  </si>
  <si>
    <t>MDP CIMAL 1.22X2.44X0.025</t>
  </si>
  <si>
    <t>AGCDE06830</t>
  </si>
  <si>
    <t xml:space="preserve">AGLO CRUDO MADERBA 1.83X2.44X0.030      </t>
  </si>
  <si>
    <t>AGCME06812</t>
  </si>
  <si>
    <t xml:space="preserve">AGLO CRUDO MASISA 1.83X2.44X0.012       </t>
  </si>
  <si>
    <t>AGCME06815</t>
  </si>
  <si>
    <t xml:space="preserve">AGLO CRUDO MASISA 1.83X2.44X0.015       </t>
  </si>
  <si>
    <t>AGCME06818</t>
  </si>
  <si>
    <t xml:space="preserve">AGLO CRUDO MASISA 1.83X2.44X0.018       </t>
  </si>
  <si>
    <t>AGCME06825</t>
  </si>
  <si>
    <t xml:space="preserve">AGLO CRUDO MASISA 1.83X2.44X0.025       </t>
  </si>
  <si>
    <t>AGCNEL7809</t>
  </si>
  <si>
    <t>MDP NOVOPAN LIJ 2.15X2.44X0.009</t>
  </si>
  <si>
    <t>AGCNRL7815</t>
  </si>
  <si>
    <t>MDP RH NOVOPAN LJ 2.15X2.44X0.015</t>
  </si>
  <si>
    <t>AGCPR05812</t>
  </si>
  <si>
    <t xml:space="preserve">AGLO CRUDO RH PIZANO 1.53X2.44X0.012    </t>
  </si>
  <si>
    <t>AGCRE06815</t>
  </si>
  <si>
    <t xml:space="preserve">AGLO CRUDO FAPLAC 1.83X2.44X0.015       </t>
  </si>
  <si>
    <t>AGCRE06825</t>
  </si>
  <si>
    <t xml:space="preserve">AGLO CRUDO FAPLAC 1.83X2.44X0.025       </t>
  </si>
  <si>
    <t>AGFAEBC404</t>
  </si>
  <si>
    <t xml:space="preserve">AGLO DURAFOIL BLM 1C 2.15X2.44X0.004    </t>
  </si>
  <si>
    <t>AGFAECA415</t>
  </si>
  <si>
    <t xml:space="preserve">AGLO DURAFOIL CZR 1C 2.15X2.44X0.015    </t>
  </si>
  <si>
    <t>AGFAENG415</t>
  </si>
  <si>
    <t xml:space="preserve">AGLO DURAFOIL NGR 1C 2.15X2.44X0.015    </t>
  </si>
  <si>
    <t>AGFAEWE415</t>
  </si>
  <si>
    <t xml:space="preserve">AGLO DURAFOIL WER 1C 2.15X2.44X0.015    </t>
  </si>
  <si>
    <t>AGFTE05809</t>
  </si>
  <si>
    <t>AGLO FORMALETA TABLEMAC 1.53X2.44X0.009</t>
  </si>
  <si>
    <t>AGFTE06812</t>
  </si>
  <si>
    <t>AGLO FORMALETA TABLEMAC 1.83X2.44X0.012</t>
  </si>
  <si>
    <t>AGHEECC318</t>
  </si>
  <si>
    <t>AGLO HG GALANTTI CILIEGI 1.86X2.75X0.018</t>
  </si>
  <si>
    <t>AGHEECI318</t>
  </si>
  <si>
    <t>AGLO HG GALANTTI CINZA 1.86X2.75X0.018</t>
  </si>
  <si>
    <t>AGKEBNP215</t>
  </si>
  <si>
    <t>KRON BLANCO 2C PE 2.07X2.44X0.015</t>
  </si>
  <si>
    <t>AGKECAP215</t>
  </si>
  <si>
    <t>KRON CANNOLO 2C PW 2.07X2.80X0.015</t>
  </si>
  <si>
    <t>AGKECOP215</t>
  </si>
  <si>
    <t>KRON COTTA 2C PW 2.07X2.80X0.015</t>
  </si>
  <si>
    <t>AGKRBNP215</t>
  </si>
  <si>
    <t>KRON RH BLANCO 2C PE 2.07X2.44X0.015</t>
  </si>
  <si>
    <t>AGKRCAP215</t>
  </si>
  <si>
    <t>KRON RH CANNOLO 2C PW 2.07X2.80X0.015</t>
  </si>
  <si>
    <t>AGKRCAP218</t>
  </si>
  <si>
    <t>KRON RH CANNOLO 2C PW 2.07X2.80X0.018</t>
  </si>
  <si>
    <t>AGKRCOP215</t>
  </si>
  <si>
    <t>KRON RH COTTA 2C PW 2.07X2.80X0.015</t>
  </si>
  <si>
    <t>AGKRCOP218</t>
  </si>
  <si>
    <t>KRON RH COTTA 2C PW 2.07X2.80X0.018</t>
  </si>
  <si>
    <t>AGKRNAP215</t>
  </si>
  <si>
    <t>KRON RH NAUTICO 2C PE 2.07X2.80X0.015</t>
  </si>
  <si>
    <t>AGNEAGM218</t>
  </si>
  <si>
    <t xml:space="preserve">PELIKANO AGAVE 2C MT 2.15X2.44X0.018    </t>
  </si>
  <si>
    <t>AGNEAGM236</t>
  </si>
  <si>
    <t xml:space="preserve">PELIKANO AGAVE 2C MT 2.15X2.44X0.036    </t>
  </si>
  <si>
    <t>AGNEAMS106</t>
  </si>
  <si>
    <t xml:space="preserve">PELIKANO AZ.MAR 1C SF 2.15X2.44X0.006   </t>
  </si>
  <si>
    <t>AGNEAPM236</t>
  </si>
  <si>
    <t xml:space="preserve">PELIKANO ARUPO 2C MT 2.15X2.44X0.036    </t>
  </si>
  <si>
    <t>AGNEARV218</t>
  </si>
  <si>
    <t xml:space="preserve">PELIKANO ARTIKO 2C MX 2.15X2.44X0.018   </t>
  </si>
  <si>
    <t>AGNEATW215</t>
  </si>
  <si>
    <t xml:space="preserve">PELIKANO AMARET 2C WO 2.15X2.44X0.015   </t>
  </si>
  <si>
    <t>AGNEAVM106</t>
  </si>
  <si>
    <t xml:space="preserve">PELIKANO AVELLANA 1C MT 2.15X2.44X0.006 </t>
  </si>
  <si>
    <t>AGNEAVM215</t>
  </si>
  <si>
    <t xml:space="preserve">PELIKANO AVELLANA 2C MT 2.15X2.44X0.015 </t>
  </si>
  <si>
    <t>AGNEAVM218</t>
  </si>
  <si>
    <t xml:space="preserve">PELIKANO AVELLANA 2C MT 2.15X2.44X0.018 </t>
  </si>
  <si>
    <t>AGNEBAY618</t>
  </si>
  <si>
    <t xml:space="preserve">PELIKANO BARDOLI S/P 2.15X2.44X0.018    </t>
  </si>
  <si>
    <t>AGNEBBS125</t>
  </si>
  <si>
    <t>PELIKANO BCO.MA 1C SF 1.22X2.44X0.025</t>
  </si>
  <si>
    <t>AGNEBMS106</t>
  </si>
  <si>
    <t xml:space="preserve">PELIKANO BCO.MA 1C SF 2.15X2.44X0.006   </t>
  </si>
  <si>
    <t>AGNEBTP236</t>
  </si>
  <si>
    <t>PELIKANO BELLOTA PO 2.15X2.44X0.036</t>
  </si>
  <si>
    <t>AGNEBTY106</t>
  </si>
  <si>
    <t>PELIKANO BELLOTA 1/S 2.15X2.44X0.006</t>
  </si>
  <si>
    <t>AGNEBTY618</t>
  </si>
  <si>
    <t xml:space="preserve">PELIKANO BELLOTA S/P 2.15X2.44X0.018    </t>
  </si>
  <si>
    <t>AGNECGP236</t>
  </si>
  <si>
    <t xml:space="preserve">PELIKANO CARTAGE PO 2.15X2.44X0.036     </t>
  </si>
  <si>
    <t>AGNECGY106</t>
  </si>
  <si>
    <t xml:space="preserve">PELIKANO CARTAGE 1/S 2.15X2.44X0.006    </t>
  </si>
  <si>
    <t>AGNECGY615</t>
  </si>
  <si>
    <t xml:space="preserve">PELIKANO CARTAGE S/P 2.15X2.44X0.015    </t>
  </si>
  <si>
    <t>AGNECGY618</t>
  </si>
  <si>
    <t xml:space="preserve">PELIKANO CARTAGE S/P 2.15X2.44X0.018    </t>
  </si>
  <si>
    <t>AGNECNW318</t>
  </si>
  <si>
    <t>PELIKANO CENIZA 1K WO 2.15X2.44X0.018</t>
  </si>
  <si>
    <t>AGNECPS236</t>
  </si>
  <si>
    <t xml:space="preserve">PELIKANO CAPRI 2C SF 2.15X2.44X0.036    </t>
  </si>
  <si>
    <t>AGNECTP236</t>
  </si>
  <si>
    <t>PELIKANO CASTANO PO 2.15X2.44X0.036</t>
  </si>
  <si>
    <t>AGNECTW215</t>
  </si>
  <si>
    <t xml:space="preserve">PELIKANO CEZ.CT 2C WO 2.15X2.44X0.015   </t>
  </si>
  <si>
    <t>AGNECTY106</t>
  </si>
  <si>
    <t>PELIKANO CASTANO 1/S 2.15X2.44X0.006</t>
  </si>
  <si>
    <t>AGNECTY615</t>
  </si>
  <si>
    <t xml:space="preserve">PELIKANO CASTANO S/P 2.15X2.44X0.015    </t>
  </si>
  <si>
    <t>AGNECTY618</t>
  </si>
  <si>
    <t xml:space="preserve">PELIKANO CASTANO S/P 2.15X2.44X0.018    </t>
  </si>
  <si>
    <t>AGNECUM236</t>
  </si>
  <si>
    <t xml:space="preserve">PELIKANO CUERO 2C MT 2.15X2.44X0.036    </t>
  </si>
  <si>
    <t>AGNEEBW225</t>
  </si>
  <si>
    <t xml:space="preserve">PELIKANO EBANO 2C WO 2.15X2.44X0.025    </t>
  </si>
  <si>
    <t>AGNEFEY618</t>
  </si>
  <si>
    <t xml:space="preserve">PELIKANO FRES.EU S/P 2.15X2.44X0.018    </t>
  </si>
  <si>
    <t>AGNEHYW106</t>
  </si>
  <si>
    <t xml:space="preserve">PELIKANO HAYA 1C WO 2.15X2.44X0.006     </t>
  </si>
  <si>
    <t>AGNEHYW218</t>
  </si>
  <si>
    <t xml:space="preserve">PELIKANO HAYA 2C WO 2.15X2.44X0.018     </t>
  </si>
  <si>
    <t>AGNEHYW325</t>
  </si>
  <si>
    <t xml:space="preserve">PELIKANO HAYA 1K WO 2.15X2.44X0.025     </t>
  </si>
  <si>
    <t>AGNEHYW330</t>
  </si>
  <si>
    <t xml:space="preserve">PELIKANO HAYA 1K WO 2.15X2.44X0.030     </t>
  </si>
  <si>
    <t>AGNEIBM106</t>
  </si>
  <si>
    <t xml:space="preserve">PELIKANO IBIZA 1C MT 2.15X2.44X0.006    </t>
  </si>
  <si>
    <t>AGNEIBM215</t>
  </si>
  <si>
    <t>PELIKANO IBIZA 2C MT 2.15X2.44X0.015</t>
  </si>
  <si>
    <t>AGNEIBM218</t>
  </si>
  <si>
    <t xml:space="preserve">PELIKANO IBIZA MT 2.15X2.44X0.018       </t>
  </si>
  <si>
    <t>AGNEIBM236</t>
  </si>
  <si>
    <t xml:space="preserve">PELIKANO IBIZA MT 2.15X2.44X0.036       </t>
  </si>
  <si>
    <t>AGNEMAW215</t>
  </si>
  <si>
    <t xml:space="preserve">PELIKANO MANZAN 2C WO 2.15X2.44X0.015   </t>
  </si>
  <si>
    <t>AGNEMBC106</t>
  </si>
  <si>
    <t xml:space="preserve">PELIKANO MAMBA 1C CU 2.15X2.44X0.006    </t>
  </si>
  <si>
    <t>AGNEMBC215</t>
  </si>
  <si>
    <t xml:space="preserve">PELIKANO MAMBA 2C CU 2.15X2.44X0.015    </t>
  </si>
  <si>
    <t>AGNEMBC218</t>
  </si>
  <si>
    <t xml:space="preserve">PELIKANO MAMBA 2C CU 2.15X2.44X0.018    </t>
  </si>
  <si>
    <t>AGNEMCP236</t>
  </si>
  <si>
    <t>PELIKANO MACAD PO 2.15X2.44X0.036</t>
  </si>
  <si>
    <t>AGNEMDW218</t>
  </si>
  <si>
    <t xml:space="preserve">PELIKANO MALLADO 2C WO 2.15X2.44X0.018  </t>
  </si>
  <si>
    <t>AGNEMDW236</t>
  </si>
  <si>
    <t xml:space="preserve">PELIKANO MALLADO 2C WO 2.15X2.44X0.036  </t>
  </si>
  <si>
    <t>AGNEMEDIAS</t>
  </si>
  <si>
    <t>AGLO-MDF-TRIPLEX MEDIAS LAMINAS</t>
  </si>
  <si>
    <t>AGNEMLY618</t>
  </si>
  <si>
    <t xml:space="preserve">PELIKANO MILAN S/P 2.15X2.44X0.018      </t>
  </si>
  <si>
    <t>AGNENCP236</t>
  </si>
  <si>
    <t>PELIKANO NACAR PO 2.15X2.44X0.036</t>
  </si>
  <si>
    <t>AGNENCY618</t>
  </si>
  <si>
    <t>PELIKANO NACAR S/P 2.15X2.44X0.018</t>
  </si>
  <si>
    <t>AGNENEP236</t>
  </si>
  <si>
    <t xml:space="preserve">PELIKANO NGAL.EU PO 2.15X2.44X0.036     </t>
  </si>
  <si>
    <t>AGNENEY618</t>
  </si>
  <si>
    <t xml:space="preserve">PELIKANO NGAL.EU S/P 2.15X2.44X0.018    </t>
  </si>
  <si>
    <t>AGNEPLS106</t>
  </si>
  <si>
    <t>PELIKANO PLOMO 1C SF 2.15X2.44X0.006</t>
  </si>
  <si>
    <t>AGNEPLS215</t>
  </si>
  <si>
    <t>PELIKANO PLOMO 2C SF 2.15X2.44X0.0015</t>
  </si>
  <si>
    <t>AGNEPOY615</t>
  </si>
  <si>
    <t xml:space="preserve">PELIKANO POSITAN S/P 2.15X2.44X0.015    </t>
  </si>
  <si>
    <t>AGNERBP236</t>
  </si>
  <si>
    <t>PELIKAN R.BCO B/B  2C PO 2.15X2.44X0.036</t>
  </si>
  <si>
    <t>AGNERBY106</t>
  </si>
  <si>
    <t>PELIKANO ROBLE BCO 1/S 2.15X2.44X0.006</t>
  </si>
  <si>
    <t>AGNERBY615</t>
  </si>
  <si>
    <t>PELIKANO ROBLE BCO S/P 2.15X2.44X0.015</t>
  </si>
  <si>
    <t>AGNERBY618</t>
  </si>
  <si>
    <t>PELIKANO ROB. BCO S/P 2.15X2.44X0.018</t>
  </si>
  <si>
    <t>AGNERCW218</t>
  </si>
  <si>
    <t xml:space="preserve">PELIKANO ROB.CL 2C WO 2.15X2.44X0.018   </t>
  </si>
  <si>
    <t>AGNERNP236</t>
  </si>
  <si>
    <t>PELIK R. NEGRO 2C PO 2.15X2.44X0.036</t>
  </si>
  <si>
    <t>AGNERNY106</t>
  </si>
  <si>
    <t>PELIK ROBLE NEGRO 1/S 2.15X2.44X0.006</t>
  </si>
  <si>
    <t>AGNERNY615</t>
  </si>
  <si>
    <t>PELIKANO ROBLE NEGRO S/P 2.15X2.44X0.015</t>
  </si>
  <si>
    <t>AGNERNY618</t>
  </si>
  <si>
    <t>PELIKANO ROBLE NEGRO S/P 2.15X2.44X0.018</t>
  </si>
  <si>
    <t>AGNERVS215</t>
  </si>
  <si>
    <t xml:space="preserve">PELIKANO ROVERE 2C SF 2.15X2.44X0.015   </t>
  </si>
  <si>
    <t>AGNERVS425</t>
  </si>
  <si>
    <t xml:space="preserve">PELIKANO ROVERE 1B SF 2.15X2.44X0.025   </t>
  </si>
  <si>
    <t>AGNERVW215</t>
  </si>
  <si>
    <t xml:space="preserve">PELIKANO ROVERE 2C WO 2.15X2.44X0.015   </t>
  </si>
  <si>
    <t>AGNETAS106</t>
  </si>
  <si>
    <t>PELIKANO TAUPE 1C SF 2.15X2.44X0.006</t>
  </si>
  <si>
    <t>AGNETAS218</t>
  </si>
  <si>
    <t>PELIKANO TAUPE 2C SF 2.15X2.44X0.018</t>
  </si>
  <si>
    <t>AGNEWEW415</t>
  </si>
  <si>
    <t xml:space="preserve">PELIKANO WENGUE 1B WO 2.15X2.44X0.015   </t>
  </si>
  <si>
    <t>AGNEWEW518</t>
  </si>
  <si>
    <t xml:space="preserve">PELIKANO WENGUE 1N WO 2.15X2.44X0.018   </t>
  </si>
  <si>
    <t>AGNRAGM236</t>
  </si>
  <si>
    <t xml:space="preserve">PELIKAN RH AGAVE 2C MT 2.15X2.44X0.036  </t>
  </si>
  <si>
    <t>AGNRAGS106</t>
  </si>
  <si>
    <t xml:space="preserve">PELIKAN RH AGAVE 1C SF 2.15X2.44X0.006  </t>
  </si>
  <si>
    <t>AGNRAGS215</t>
  </si>
  <si>
    <t xml:space="preserve">PELIKAN RH AGAVE 2C SF 2.15X2.44X0.015  </t>
  </si>
  <si>
    <t>AGNRAGS218</t>
  </si>
  <si>
    <t xml:space="preserve">PELIKAN RH AGAVE 2C SF 2.15X2.44X0.018  </t>
  </si>
  <si>
    <t>AGNRAMS106</t>
  </si>
  <si>
    <t>PELIKANO RH AZ.MAR 1C SF 2.15X2.44X0.006</t>
  </si>
  <si>
    <t>AGNRAMS236</t>
  </si>
  <si>
    <t>PELIKANO RH AZ.MAR 2C SF 2.15X2.44X0.036</t>
  </si>
  <si>
    <t>AGNRAPM218</t>
  </si>
  <si>
    <t xml:space="preserve">PELIKAN RH ARUPO 2C MT 2.15X2.44X0.018  </t>
  </si>
  <si>
    <t>AGNRAPM236</t>
  </si>
  <si>
    <t xml:space="preserve">PELIKAN RH ARUPO 2C MT 2.15X2.44X0.036  </t>
  </si>
  <si>
    <t>AGNRAPS215</t>
  </si>
  <si>
    <t xml:space="preserve">PELIKAN RH ARUPO 2C SF 2.15X2.44X0.015  </t>
  </si>
  <si>
    <t>AGNRARN409</t>
  </si>
  <si>
    <t>PELIKANO RH ARTIKO 1B NA 2.15X2.44X0.009</t>
  </si>
  <si>
    <t>AGNRARV215</t>
  </si>
  <si>
    <t>PELIKANO RH ARTIKO 2C MX 2.15X2.44X0.015</t>
  </si>
  <si>
    <t>AGNRAVM106</t>
  </si>
  <si>
    <t>PELIKAN RH AVELLAN 1C MT 2.15X2.44X0.006</t>
  </si>
  <si>
    <t>AGNRAVM215</t>
  </si>
  <si>
    <t>PELIKAN RH AVELLAN 2C MT 2.15X2.44X0.015</t>
  </si>
  <si>
    <t>AGNRAVM218</t>
  </si>
  <si>
    <t>PELIKAN RH AVELLAN 2C MT 2.15X2.44X0.018</t>
  </si>
  <si>
    <t>AGNRBAY618</t>
  </si>
  <si>
    <t xml:space="preserve">PELIKAN RH BARDOLI S/P 2.15X2.44X0.018  </t>
  </si>
  <si>
    <t>AGNRBMS236</t>
  </si>
  <si>
    <t>PELIKANO RH BC.MAR 2C SF 2.15X2.44X0.036</t>
  </si>
  <si>
    <t>AGNRBNS215D</t>
  </si>
  <si>
    <t>PELIK RH BCO.TIPOB 2C SF 2.15X2.44X0.015</t>
  </si>
  <si>
    <t>AGNRBTP236</t>
  </si>
  <si>
    <t>PELIKAN RH BELLOTA PO 2.15X2.44X0.036</t>
  </si>
  <si>
    <t>AGNRCAS215</t>
  </si>
  <si>
    <t>PELIKANO RH CARAME 2C SF 2.15X2.44X0.015</t>
  </si>
  <si>
    <t>AGNRCGP236</t>
  </si>
  <si>
    <t xml:space="preserve">PELIKAN RH CARTAGE PO 2.15X2.44X0.036   </t>
  </si>
  <si>
    <t>AGNRCGY106</t>
  </si>
  <si>
    <t xml:space="preserve">PELIKAN RH CARTAGE 1/S 2.15X2.44X0.006  </t>
  </si>
  <si>
    <t>AGNRCGY615</t>
  </si>
  <si>
    <t xml:space="preserve">PELIKAN RH CARTAGE S/P 2.15X2.44X0.015  </t>
  </si>
  <si>
    <t>AGNRCGY618</t>
  </si>
  <si>
    <t xml:space="preserve">PELIKAN RH CARTAGE S/P 2.15X2.44X0.018  </t>
  </si>
  <si>
    <t>AGNRCMM415</t>
  </si>
  <si>
    <t>PELIKANO RH CEMENT 1B MT 2.15X2.44X0.015</t>
  </si>
  <si>
    <t>AGNRCOS215</t>
  </si>
  <si>
    <t xml:space="preserve">PELIKANO RH CORAL 2C SF 2.15X2.44X0.015 </t>
  </si>
  <si>
    <t>AGNRCOS218</t>
  </si>
  <si>
    <t xml:space="preserve">PELIKANO RH CORAL 2C SF 2.15X2.44X0.018 </t>
  </si>
  <si>
    <t>AGNRCRS215</t>
  </si>
  <si>
    <t xml:space="preserve">PELIKANO RH CREMA 2C SF 2.15X2.44X0.015 </t>
  </si>
  <si>
    <t>AGNRCTP236</t>
  </si>
  <si>
    <t>PELIKANO RH CASTANO PO 2.15X2.44X0.036</t>
  </si>
  <si>
    <t>AGNRCTY106</t>
  </si>
  <si>
    <t>PELIKANO RH CASTANO 1/S 2.15X2.44X0.006</t>
  </si>
  <si>
    <t>AGNRCTY615</t>
  </si>
  <si>
    <t xml:space="preserve">PELIKANO RH CASTANO S/P 2.15X2.44X0.015 </t>
  </si>
  <si>
    <t>AGNRCTY618</t>
  </si>
  <si>
    <t xml:space="preserve">PELIKANO RH CASTANO S/P 2.15X2.44X0.018 </t>
  </si>
  <si>
    <t>AGNRCUM218C</t>
  </si>
  <si>
    <t xml:space="preserve">PELIK RH CUERO 2C MT  TB2.15X2.44X0.018 </t>
  </si>
  <si>
    <t>AGNREBW212</t>
  </si>
  <si>
    <t xml:space="preserve">PELIKANO RH EBANO 2C WO 2.15X2.44X0.012 </t>
  </si>
  <si>
    <t>AGNREBW236</t>
  </si>
  <si>
    <t xml:space="preserve">PELIKANO RH EBANO 2C WO 2.15X2.44X0.036 </t>
  </si>
  <si>
    <t>AGNRFEY606</t>
  </si>
  <si>
    <t>PELIKAN RH FRES.EU S/P 2.15X2.44X0.006</t>
  </si>
  <si>
    <t>AGNRFEY618</t>
  </si>
  <si>
    <t xml:space="preserve">PELIKAN RH FRES.EU S/P 2.15X2.44X0.018  </t>
  </si>
  <si>
    <t>AGNRFMW106</t>
  </si>
  <si>
    <t>PELIKANO RH FLOR.M 1C WO 2.15X2.44X0.006</t>
  </si>
  <si>
    <t>AGNRGRS218</t>
  </si>
  <si>
    <t xml:space="preserve">PELIKANO RH GRIS 2C SF 2.15X2.44X0.018  </t>
  </si>
  <si>
    <t>AGNRGRS236</t>
  </si>
  <si>
    <t xml:space="preserve">PELIKANO RH GRIS 2C SF 2.15X2.44X0.036  </t>
  </si>
  <si>
    <t>AGNRHYM236</t>
  </si>
  <si>
    <t xml:space="preserve">PELIKANO RH HAYA 2C MT 2.15X2.44X0.036  </t>
  </si>
  <si>
    <t>AGNRIBM218</t>
  </si>
  <si>
    <t>PELIKANO RH IBIZA MT 2.15X2.44X0.018</t>
  </si>
  <si>
    <t>AGNRIBM236</t>
  </si>
  <si>
    <t>PELIKANO RH IBIZA MT 2.15X2.44X0.036</t>
  </si>
  <si>
    <t>AGNRMAM206</t>
  </si>
  <si>
    <t>PELIKANO RH MANZAN 2C MT 2.15X2.44X0.006</t>
  </si>
  <si>
    <t>AGNRMAM218</t>
  </si>
  <si>
    <t>PELIKANO RH MANZAN 2C MT 2.15X2.44X0.018</t>
  </si>
  <si>
    <t>AGNRMAM236</t>
  </si>
  <si>
    <t>PELIKANO RH MANZAN 2C MT 2.15X2.44X0.036</t>
  </si>
  <si>
    <t>AGNRMBC215</t>
  </si>
  <si>
    <t xml:space="preserve">PELIKAN RH MAMBA 2C CU 2.15X2.44X0.015  </t>
  </si>
  <si>
    <t>AGNRMBC218</t>
  </si>
  <si>
    <t xml:space="preserve">PELIKAN RH MAMBA 2C CU 2.15X2.44X0.018  </t>
  </si>
  <si>
    <t>AGNRMBC236</t>
  </si>
  <si>
    <t xml:space="preserve">PELIKAN RH MAMBA 2C CU 2.15X2.44X0.036  </t>
  </si>
  <si>
    <t>AGNRMCP236</t>
  </si>
  <si>
    <t>PELIKANO RH MACAD 2C PO 2.15X2.44X0.036</t>
  </si>
  <si>
    <t>AGNRMCY618</t>
  </si>
  <si>
    <t xml:space="preserve">PELIKAN RH MACAD S/P 2.15X2.44X0.018    </t>
  </si>
  <si>
    <t>AGNRMDW236</t>
  </si>
  <si>
    <t>PELIKAN RH MALLADO 2C WO 2.15X2.44X0.036</t>
  </si>
  <si>
    <t>AGNRMES215</t>
  </si>
  <si>
    <t xml:space="preserve">PELIKANO RH MENTA 2C SF 2.15X2.44X0.015 </t>
  </si>
  <si>
    <t>AGNRMES218</t>
  </si>
  <si>
    <t xml:space="preserve">PELIKANO RH MENTA 2C SF 2.15X2.44X0.018 </t>
  </si>
  <si>
    <t>AGNRMGM106</t>
  </si>
  <si>
    <t xml:space="preserve">PELIKANO RH MANGO 1C MT 2.15X2.44X0.006 </t>
  </si>
  <si>
    <t>AGNRMGM236</t>
  </si>
  <si>
    <t xml:space="preserve">PELIKANO RH MANGO 2C MT 2.15X2.44X0.036 </t>
  </si>
  <si>
    <t>AGNRMLP236</t>
  </si>
  <si>
    <t xml:space="preserve">PELIKAN RH MILAN PO 2.15X2.44X0.036     </t>
  </si>
  <si>
    <t>AGNRMLY515</t>
  </si>
  <si>
    <t>PELIKAN RH MILAN K/N SIN 2.15X2.44X0.015</t>
  </si>
  <si>
    <t>AGNRMLY618</t>
  </si>
  <si>
    <t xml:space="preserve">PELIKAN RH MILAN S/P 2.15X2.44X0.018    </t>
  </si>
  <si>
    <t>AGNRMOW218</t>
  </si>
  <si>
    <t xml:space="preserve">PELIKANO RH MOKA 2C WO 2.15X2.44X0.018  </t>
  </si>
  <si>
    <t>AGNRMOW236</t>
  </si>
  <si>
    <t xml:space="preserve">PELIKANO RH MOKA 2C WO 2.15X2.44X0.036  </t>
  </si>
  <si>
    <t>AGNRMPW309</t>
  </si>
  <si>
    <t xml:space="preserve">PELIKANO RH MAPLE 1K WO 2.15X2.44X0.009 </t>
  </si>
  <si>
    <t>AGNRNCP236</t>
  </si>
  <si>
    <t>PELIKANO RH NACAR PO 2.15X2.44X0.036</t>
  </si>
  <si>
    <t>AGNRNCY106</t>
  </si>
  <si>
    <t>PELIKANO RH NACAR 1S 2.15X2.44X0.006</t>
  </si>
  <si>
    <t>AGNRNEP236</t>
  </si>
  <si>
    <t xml:space="preserve">PELIKAN RH NGAL.EU PO 2.15X2.44X0.036   </t>
  </si>
  <si>
    <t>AGNRNEW236</t>
  </si>
  <si>
    <t>PELIKANO RH WEN/WE 2C WO 2.15X2.44X0.036</t>
  </si>
  <si>
    <t>AGNROLM409</t>
  </si>
  <si>
    <t>PELIKANO RH OLIVO 1B MT 2.15X2.44X0.009</t>
  </si>
  <si>
    <t>AGNROLM418</t>
  </si>
  <si>
    <t>PELIKANO RH OLIVO 1B MT 2.15X2.44X0.018</t>
  </si>
  <si>
    <t>AGNROLW215</t>
  </si>
  <si>
    <t xml:space="preserve">PELIKANO RH OLIVO 2C WO 2.15X2.44X0.015 </t>
  </si>
  <si>
    <t>AGNROXS106</t>
  </si>
  <si>
    <t xml:space="preserve">PELIKANO RH OXID 1C SF 2.15X2.44X0.006  </t>
  </si>
  <si>
    <t>AGNRPAP236</t>
  </si>
  <si>
    <t>PELIKANO RH PARAMO 2C PO 2.15X2.44X0.036</t>
  </si>
  <si>
    <t>AGNRPLM236</t>
  </si>
  <si>
    <t>PELIKANO RH PLOMO 2C MT 2.15X2.44X0.0036</t>
  </si>
  <si>
    <t>AGNRRBP236</t>
  </si>
  <si>
    <t>PELIK RH R.BCO B/B 2C PO 2.15X2.44X0.036</t>
  </si>
  <si>
    <t>AGNRRBY106</t>
  </si>
  <si>
    <t>PELIKAN RH ROBLE BCO 1/S 2.15X2.44X0.006</t>
  </si>
  <si>
    <t>AGNRRBY409</t>
  </si>
  <si>
    <t>PELIK RH ROB.BCO S/P 1B 2.15X2.44X0.009</t>
  </si>
  <si>
    <t>AGNRRBY615</t>
  </si>
  <si>
    <t>PELIKAN RH ROBLE BCO S/P 2.15X2.44X0.015</t>
  </si>
  <si>
    <t>AGNRRBY618</t>
  </si>
  <si>
    <t>PELIKANO RH ROB. BCO S/P 2.15X2.44X0.018</t>
  </si>
  <si>
    <t>AGNRRNP236</t>
  </si>
  <si>
    <t>PELIKAN RH R. NEG 2C PO 2.15X2.44X0.036</t>
  </si>
  <si>
    <t>AGNRRNY106</t>
  </si>
  <si>
    <t>PELIKAN RH ROBLE NEG 1/S 2.15X2.44X0.006</t>
  </si>
  <si>
    <t>AGNRRNY615</t>
  </si>
  <si>
    <t>PELIK RH ROBLE NEGRO S/P 2.15X2.44X0.015</t>
  </si>
  <si>
    <t>AGNRRNY618</t>
  </si>
  <si>
    <t>PELIK RH ROBLE NEGRO S/P 2.15X2.44X0.018</t>
  </si>
  <si>
    <t>AGNRRVM409</t>
  </si>
  <si>
    <t>PELIKANO RH ROVERE 1B MT 2.15X2.44X0.009</t>
  </si>
  <si>
    <t>AGNRRVM609</t>
  </si>
  <si>
    <t>PELIKANO RH ROVER 1CR MT 2.15X2.44X0.009</t>
  </si>
  <si>
    <t>AGNRRVM615</t>
  </si>
  <si>
    <t>PELIKANO RH ROVER 1CR MT 2.15X2.44X0.015</t>
  </si>
  <si>
    <t>AGNRRVM618</t>
  </si>
  <si>
    <t>PELIKANO RH ROVER 1CR MT 2.15X2.44X0.018</t>
  </si>
  <si>
    <t>AGNRRVP215</t>
  </si>
  <si>
    <t>PELIKANO RH ROVERE 2C PO 2.15X2.44X0.015</t>
  </si>
  <si>
    <t>AGNRRVW215</t>
  </si>
  <si>
    <t>PELIKANO RH ROVERE 2C WO 2.15X2.44X0.015</t>
  </si>
  <si>
    <t>AGNRSAP106</t>
  </si>
  <si>
    <t xml:space="preserve">PELIKANO RH SANGR 1C PO 2.15X2.44X0.006 </t>
  </si>
  <si>
    <t>AGNRSAP218</t>
  </si>
  <si>
    <t xml:space="preserve">PELIKANO RH SANGR 2C PO 2.15X2.44X0.018 </t>
  </si>
  <si>
    <t>AGNRSAP236</t>
  </si>
  <si>
    <t xml:space="preserve">PELIKANO RH SANGR 2C PO 2.15X2.44X0.036 </t>
  </si>
  <si>
    <t>AGNRSIP418</t>
  </si>
  <si>
    <t>PELIKANO RH SIENA 1B PO 2.15X2.44X0.018</t>
  </si>
  <si>
    <t>AGNRSPW215</t>
  </si>
  <si>
    <t>PELIKANO RH SAPELL 2C WO 2.15X2.44X0.015</t>
  </si>
  <si>
    <t>AGNRTAS106</t>
  </si>
  <si>
    <t>PELIKANO RH TAUPE 1C SF 2.15X2.44X0.006</t>
  </si>
  <si>
    <t>AGNRTAS236</t>
  </si>
  <si>
    <t>PELIKANO RH  TAUPE 2C SF 2.15X2.44X0.036</t>
  </si>
  <si>
    <t>AGPEGM1105</t>
  </si>
  <si>
    <t xml:space="preserve">AGLO MDP CHAPA RGM 1C 1.05X2.44X0.005   </t>
  </si>
  <si>
    <t>AGPERM1105</t>
  </si>
  <si>
    <t xml:space="preserve">AGLO MDP CHAPA RBM 1C 1.05X2.44X0.005   </t>
  </si>
  <si>
    <t>AGPICB4809B</t>
  </si>
  <si>
    <t>AGLO PIZA CUADRI.BC TB 1.22X2.44X0.009</t>
  </si>
  <si>
    <t>AGPLEBL109</t>
  </si>
  <si>
    <t>MDF SALD PINT PIZAR BCO L1.22X2.44X0.009</t>
  </si>
  <si>
    <t>AGPMEBS215</t>
  </si>
  <si>
    <t>AGLO BLANCO S. 2.15X2.44X0.015</t>
  </si>
  <si>
    <t>AGPTEBC109</t>
  </si>
  <si>
    <t>AGL HPL PIZARRON BCO CUAD1.22X2.44X0.009</t>
  </si>
  <si>
    <t>AGPTEBL109</t>
  </si>
  <si>
    <t>MDF HPL PIZARRON BCO LISO1.22X2.44X0.009</t>
  </si>
  <si>
    <t>AGREBCS215</t>
  </si>
  <si>
    <t>AGLO FAPLAC BLANCO NEV S 1.83X2.44X0.015</t>
  </si>
  <si>
    <t>AGREBMS215</t>
  </si>
  <si>
    <t>AGLO VESTO BLANCO MQZ SF 2.15X2.44X0.015</t>
  </si>
  <si>
    <t>AGREFEW215</t>
  </si>
  <si>
    <t>AGREWEN215</t>
  </si>
  <si>
    <t>AGLO VESTO WENGUE NATURE 2.15X2.44X0.015</t>
  </si>
  <si>
    <t>AGREWSW215B</t>
  </si>
  <si>
    <t>AGLO VESTO 2DA WENGU SHZ 2.15X2.44X0.015</t>
  </si>
  <si>
    <t>AGRRFEW215</t>
  </si>
  <si>
    <t>AGLO VESTO RH FRESNO E W 2.15X2.44X0.015</t>
  </si>
  <si>
    <t>AGRRFEW218</t>
  </si>
  <si>
    <t>AGLO VESTO RH FRESNO E W 2.15X2.44X0.018</t>
  </si>
  <si>
    <t>AGRRPKW215</t>
  </si>
  <si>
    <t>AGLO VESTO RH PEKAN 2C W 2.15X2.44X0.015</t>
  </si>
  <si>
    <t>AGRRWSW218</t>
  </si>
  <si>
    <t>AGLO VESTO RH WENG SHZ W 2.15X2.44X0.018</t>
  </si>
  <si>
    <t>AGSEBCS215</t>
  </si>
  <si>
    <t xml:space="preserve">AGLO MELA SONAE  BLC S 2.60X2.07X0.015  </t>
  </si>
  <si>
    <t>AGSEBNB218</t>
  </si>
  <si>
    <t>AGLO BLANCO BRILLANTE 2.10X2.80X0.018</t>
  </si>
  <si>
    <t>AGTRARW315</t>
  </si>
  <si>
    <t>AGLO SUPERCOR RH ARENA W 1.83X2.44X0.015</t>
  </si>
  <si>
    <t>AGTRVOW315</t>
  </si>
  <si>
    <t>AGLO SUPERCOR RH VOLCN W 1.83X2.44X0.015</t>
  </si>
  <si>
    <t>ALCRF218</t>
  </si>
  <si>
    <t>ALISTONADO CACE RUST FJV 1.22X2.44X0.018</t>
  </si>
  <si>
    <t>ALECC018</t>
  </si>
  <si>
    <t xml:space="preserve">ALISTONADO ENDESA C/C 1.22X2.44X0.018   </t>
  </si>
  <si>
    <t>ALEIN015</t>
  </si>
  <si>
    <t xml:space="preserve">ALISTONADO ENDESA IND 1.22X2.44X0.015   </t>
  </si>
  <si>
    <t>ALGAB018</t>
  </si>
  <si>
    <t xml:space="preserve">ALISTONADO GLOBAL  B/B 1.22X2.44X0.018  </t>
  </si>
  <si>
    <t>ALRAB018</t>
  </si>
  <si>
    <t xml:space="preserve">ALISTONADO REF PINO CAR 1.22X3.00X0.018 </t>
  </si>
  <si>
    <t>ALRAC018</t>
  </si>
  <si>
    <t xml:space="preserve">ALISTONADO REF PINO CAR 1.22X2.44X0.018 </t>
  </si>
  <si>
    <t>ALRFTC018</t>
  </si>
  <si>
    <t>ALISTONADO REFOCOST TECA 1.22X2.44X0.018</t>
  </si>
  <si>
    <t>AGNEAME215</t>
  </si>
  <si>
    <t>OSBHM04818</t>
  </si>
  <si>
    <t>MFCBE06818</t>
  </si>
  <si>
    <t>NOMBRE MUEBLE</t>
  </si>
  <si>
    <t>N° PAQUETE</t>
  </si>
  <si>
    <t>PESO TOTAL PAQUETE</t>
  </si>
  <si>
    <t>PIEZAS POR PAQUETE</t>
  </si>
  <si>
    <t>MAYOR_MEDIDA</t>
  </si>
  <si>
    <t>PIEZAS POR SUBPAQUETE</t>
  </si>
  <si>
    <t>PALMIRA</t>
  </si>
  <si>
    <t>No. OV</t>
  </si>
  <si>
    <t>No. OP</t>
  </si>
  <si>
    <t># Paquete</t>
  </si>
  <si>
    <t># PZ Paquete</t>
  </si>
  <si>
    <t>Referencia</t>
  </si>
  <si>
    <t>FORMATO DE REMISION DE MATERIAL PROCESADO</t>
  </si>
  <si>
    <t>CLIENTE :</t>
  </si>
  <si>
    <t>Remision N.</t>
  </si>
  <si>
    <t>FECHA:</t>
  </si>
  <si>
    <t>Direccion de Entrega</t>
  </si>
  <si>
    <t>Telefono Cliente</t>
  </si>
  <si>
    <t>ORDEN DE VENTA</t>
  </si>
  <si>
    <t>NO. MUELLE</t>
  </si>
  <si>
    <t>HORA MUELLE</t>
  </si>
  <si>
    <t>PRODUCTO</t>
  </si>
  <si>
    <t xml:space="preserve">ORDEN DE PRODUCCION </t>
  </si>
  <si>
    <t>OV</t>
  </si>
  <si>
    <t>OP</t>
  </si>
  <si>
    <t>TOTAL PIEZAS</t>
  </si>
  <si>
    <t>TOTAL PAQUETES</t>
  </si>
  <si>
    <t>PAQUETE</t>
  </si>
  <si>
    <t>PESO TOTAL (Kg)</t>
  </si>
  <si>
    <t>DETALLE SUBPAQUETES</t>
  </si>
  <si>
    <t>ZONA</t>
  </si>
  <si>
    <t>CO_OP</t>
  </si>
  <si>
    <t>CO_OV</t>
  </si>
  <si>
    <t>PREFIJO_FACTURA</t>
  </si>
  <si>
    <t>DOCUMENTO_CLIENTE</t>
  </si>
  <si>
    <t>NOMBRE_COMPLETO_CLIENTE</t>
  </si>
  <si>
    <t>DOCUMENTO_ASESOR</t>
  </si>
  <si>
    <t>NOMBRE_ASESOR</t>
  </si>
  <si>
    <t>FECHA_CREACION_OP</t>
  </si>
  <si>
    <t>FECHA_FINALZACION_OP</t>
  </si>
  <si>
    <t>FECHA_TENTATIVA_ENTREGA</t>
  </si>
  <si>
    <t>FECHA_CREACION_OV</t>
  </si>
  <si>
    <t>OP_VENCIDA</t>
  </si>
  <si>
    <t>TIPO_OP</t>
  </si>
  <si>
    <t>02  MADESERVICIOS</t>
  </si>
  <si>
    <t>null</t>
  </si>
  <si>
    <t>SI</t>
  </si>
  <si>
    <t>COMUN</t>
  </si>
  <si>
    <t>NO</t>
  </si>
  <si>
    <t>MFKRCOP105</t>
  </si>
  <si>
    <t>860058070</t>
  </si>
  <si>
    <t>CONSTRUCTORA COLPATRIA  SAS</t>
  </si>
  <si>
    <t>63500657</t>
  </si>
  <si>
    <t>SANDRA MILENA GOMEZ SANCHEZ</t>
  </si>
  <si>
    <t>1020410727</t>
  </si>
  <si>
    <t>ANDRES FELIPE PAMPLONA BEDOYA</t>
  </si>
  <si>
    <t>1098632635</t>
  </si>
  <si>
    <t xml:space="preserve">LINDA  SUAREZ </t>
  </si>
  <si>
    <t>AGNEAGS215</t>
  </si>
  <si>
    <t>-</t>
  </si>
  <si>
    <t>811028650</t>
  </si>
  <si>
    <t>MADECENTRO COLOMBIA SAS SAS</t>
  </si>
  <si>
    <t>MFHRRBR418</t>
  </si>
  <si>
    <t>MFHERGA318</t>
  </si>
  <si>
    <t>AGNRPOY615</t>
  </si>
  <si>
    <t>900682082</t>
  </si>
  <si>
    <t>INTERDOORS SAS</t>
  </si>
  <si>
    <t>98550123</t>
  </si>
  <si>
    <t>DIMAS ANDRES TOBON GOMEZ</t>
  </si>
  <si>
    <t>1152717508</t>
  </si>
  <si>
    <t>LIZETH PAOLA GUTIERREZ GARCIA</t>
  </si>
  <si>
    <t>800093117</t>
  </si>
  <si>
    <t>ARQUITECTURA Y  CONCRETO SAS</t>
  </si>
  <si>
    <t>10286202</t>
  </si>
  <si>
    <t>DUVAN  CASTELLANOS GALLEGO</t>
  </si>
  <si>
    <t>ZNO-</t>
  </si>
  <si>
    <t>1124025286</t>
  </si>
  <si>
    <t>YESICA CECILIA GAMEZ CANGA</t>
  </si>
  <si>
    <t>22562394</t>
  </si>
  <si>
    <t xml:space="preserve">SHIRLEY  VILLANUEVA </t>
  </si>
  <si>
    <t>901626915</t>
  </si>
  <si>
    <t xml:space="preserve">INVERSIONES THE YARD SAS </t>
  </si>
  <si>
    <t>ZNC-</t>
  </si>
  <si>
    <t>1036599846</t>
  </si>
  <si>
    <t>ESTIVEN  CHAVARRIAGA RENDON</t>
  </si>
  <si>
    <t>30882272</t>
  </si>
  <si>
    <t>GILMA RAQUEL TORRES MADERO</t>
  </si>
  <si>
    <t>AGNRAME215</t>
  </si>
  <si>
    <t>AGNRINE215</t>
  </si>
  <si>
    <t>1079658955</t>
  </si>
  <si>
    <t>OSNAIDER JOSE ARIZA VERGARA</t>
  </si>
  <si>
    <t>28054838</t>
  </si>
  <si>
    <t>SANDRA LILIANA PEDRAZA SUAREZ</t>
  </si>
  <si>
    <t>1108761878</t>
  </si>
  <si>
    <t>MIGUEL ENRIQUE SIERRA MARTINEZ</t>
  </si>
  <si>
    <t>1152703052</t>
  </si>
  <si>
    <t>SEBASTIAN  GOMEZ GARZON</t>
  </si>
  <si>
    <t>064-7208</t>
  </si>
  <si>
    <t>900072587</t>
  </si>
  <si>
    <t xml:space="preserve">ARBORIT SAS </t>
  </si>
  <si>
    <t>71732055</t>
  </si>
  <si>
    <t>CARLOS JULIO PULGARIN GONZALEZ</t>
  </si>
  <si>
    <t>1017234969</t>
  </si>
  <si>
    <t>JOSE DANIEL ECHEVERRY VELASQUEZ</t>
  </si>
  <si>
    <t>ACKRNAP215</t>
  </si>
  <si>
    <t>1113689247</t>
  </si>
  <si>
    <t>PABLO  ANTIA MONTES</t>
  </si>
  <si>
    <t>ZNA-</t>
  </si>
  <si>
    <t>65633333</t>
  </si>
  <si>
    <t>MARTHA YESENIA RONCANCIO ARIAS</t>
  </si>
  <si>
    <t>AGNEATV215C</t>
  </si>
  <si>
    <t>811027886</t>
  </si>
  <si>
    <t>DISEÑOS MODULARES SAS SAS</t>
  </si>
  <si>
    <t>16767863</t>
  </si>
  <si>
    <t>HECTOR FABIO MAZUERA RAMOS</t>
  </si>
  <si>
    <t>1113622764</t>
  </si>
  <si>
    <t xml:space="preserve">ALEXANDER  OTERO </t>
  </si>
  <si>
    <t>900940880</t>
  </si>
  <si>
    <t>PLANEACION Y EDIFICACIONES SAS</t>
  </si>
  <si>
    <t>830139876</t>
  </si>
  <si>
    <t xml:space="preserve">DISEÑOS Y CONSTRUCCIONES DYCO </t>
  </si>
  <si>
    <t>1117516802</t>
  </si>
  <si>
    <t>CINDY MARCELA PASTRANA MUÑOZ</t>
  </si>
  <si>
    <t>1110282977</t>
  </si>
  <si>
    <t xml:space="preserve">JHON  ZABALA </t>
  </si>
  <si>
    <t>1036962870</t>
  </si>
  <si>
    <t>CAROLINA  BETANCUR OSORIO</t>
  </si>
  <si>
    <t>79996931</t>
  </si>
  <si>
    <t>CAMILO ALBERTO RIVERA RODRIGUEZ</t>
  </si>
  <si>
    <t>1007518379</t>
  </si>
  <si>
    <t xml:space="preserve">LINA  CANO </t>
  </si>
  <si>
    <t>Etiquetas de fila</t>
  </si>
  <si>
    <t>Total general</t>
  </si>
  <si>
    <t>Máx. de PAQUETE</t>
  </si>
  <si>
    <t>Suma de TOTAL PIEZAS</t>
  </si>
  <si>
    <t>Suma de PESO TOTAL (Kg)</t>
  </si>
  <si>
    <t>(en blanco)</t>
  </si>
  <si>
    <t>OBSERVACION</t>
  </si>
  <si>
    <t>PZ TOTALES</t>
  </si>
  <si>
    <t>CANTIDAD MUEBLES</t>
  </si>
  <si>
    <t>CANTIDAD LAMINAS</t>
  </si>
  <si>
    <t>CANTIDAD PAQUETES OP</t>
  </si>
  <si>
    <t>C.O.</t>
  </si>
  <si>
    <t>PDV</t>
  </si>
  <si>
    <t>OV Orden de Venta</t>
  </si>
  <si>
    <t>Cliente</t>
  </si>
  <si>
    <t>DIRECCION DE ENTREGA</t>
  </si>
  <si>
    <t>TELEFONO CTE</t>
  </si>
  <si>
    <t>Referencia Madera</t>
  </si>
  <si>
    <t>Material</t>
  </si>
  <si>
    <t>Cantidad LAMINAS</t>
  </si>
  <si>
    <t>cantidad de piezas</t>
  </si>
  <si>
    <t>Referencia del canto o LAP</t>
  </si>
  <si>
    <t>Metros Enchape o Laminados</t>
  </si>
  <si>
    <t>Fecha Recepcion Pedido</t>
  </si>
  <si>
    <t>ORDEN DE PRODUCCION</t>
  </si>
  <si>
    <t>RETAL</t>
  </si>
  <si>
    <t>REJIPLAS SAS</t>
  </si>
  <si>
    <t>AGNEBNP215</t>
  </si>
  <si>
    <t>AGNRBBS115</t>
  </si>
  <si>
    <t>CONSTRUCTORA ALTOS DE LA ABADIA SAS</t>
  </si>
  <si>
    <t>CONTRATISTAS ASESORES CONSTRUCTORES CONACO S A S</t>
  </si>
  <si>
    <t>INGENOVA ING SAS SAS</t>
  </si>
  <si>
    <t>CONSTRUCTORA SALEM SAS SAS</t>
  </si>
  <si>
    <t>98710642</t>
  </si>
  <si>
    <t>CAMILO ORREGO</t>
  </si>
  <si>
    <t>71264536</t>
  </si>
  <si>
    <t xml:space="preserve">EDWIN  LOPEZ </t>
  </si>
  <si>
    <t>900617910</t>
  </si>
  <si>
    <t xml:space="preserve">TU CASA CONSTRUCTORA SAS </t>
  </si>
  <si>
    <t>1143441511</t>
  </si>
  <si>
    <t>MIGUEL ANGEL ANGEL LINERO URUETA</t>
  </si>
  <si>
    <t>AGNRPOY106</t>
  </si>
  <si>
    <t>AGNRINE106</t>
  </si>
  <si>
    <t>AGNRBUS106</t>
  </si>
  <si>
    <t>900571824</t>
  </si>
  <si>
    <t>1110552471</t>
  </si>
  <si>
    <t>YEISON JAVIER QUINA RIVERA</t>
  </si>
  <si>
    <t>1114885123</t>
  </si>
  <si>
    <t xml:space="preserve">SANDRA  NAVEROS </t>
  </si>
  <si>
    <t>811032292</t>
  </si>
  <si>
    <t>CONSTRUCTORA CAPITAL  MEDELLIN</t>
  </si>
  <si>
    <t>1112784089</t>
  </si>
  <si>
    <t>YAQUELINE  MURILLO OSORIO</t>
  </si>
  <si>
    <t>1152447964</t>
  </si>
  <si>
    <t xml:space="preserve">SANTIAGO  ARBOLEDA </t>
  </si>
  <si>
    <t>1 / 8</t>
  </si>
  <si>
    <t>2 / 8</t>
  </si>
  <si>
    <t>3 / 8</t>
  </si>
  <si>
    <t>4 / 8</t>
  </si>
  <si>
    <t>5 / 8</t>
  </si>
  <si>
    <t>6 / 8</t>
  </si>
  <si>
    <t>7 / 8</t>
  </si>
  <si>
    <t>8 / 8</t>
  </si>
  <si>
    <t>SUB_PROCESADA</t>
  </si>
  <si>
    <t>SUB-OK</t>
  </si>
  <si>
    <t>REFERENCIA:</t>
  </si>
  <si>
    <t>DESCRIPCIÓN:</t>
  </si>
  <si>
    <t>CANTIDAD DE LÁMINAS:</t>
  </si>
  <si>
    <t>ORDEN DE VENTA:</t>
  </si>
  <si>
    <t>CLIENTE:</t>
  </si>
  <si>
    <t>FECHA ENTREGA:</t>
  </si>
  <si>
    <t>DIRECCIÓN:</t>
  </si>
  <si>
    <t>CANTO</t>
  </si>
  <si>
    <t>DESCRIPCIÓN</t>
  </si>
  <si>
    <t># PAQUETE</t>
  </si>
  <si>
    <t>CONTENIDO</t>
  </si>
  <si>
    <t>ROTA</t>
  </si>
  <si>
    <t>1L</t>
  </si>
  <si>
    <t>1A</t>
  </si>
  <si>
    <t>2 x 1und</t>
  </si>
  <si>
    <t>14 | 15</t>
  </si>
  <si>
    <t>2 x 2und</t>
  </si>
  <si>
    <t>[P1:14] [P2:12]</t>
  </si>
  <si>
    <t>1075672928</t>
  </si>
  <si>
    <t xml:space="preserve">LADY  NINO </t>
  </si>
  <si>
    <t>AGNRPOP236</t>
  </si>
  <si>
    <t>91531633</t>
  </si>
  <si>
    <t>FABIAN ALBERTO HINCAPIE UPEGUI</t>
  </si>
  <si>
    <t>1035417082</t>
  </si>
  <si>
    <t>CRISTIAN CAMILO SIERRA CATAÑO</t>
  </si>
  <si>
    <t>1143267980</t>
  </si>
  <si>
    <t>JOHNATAN DAVID VERGARA MERCADO</t>
  </si>
  <si>
    <t>901861215</t>
  </si>
  <si>
    <t xml:space="preserve">BUILDING PROJECTS AND SERCIVE SAS </t>
  </si>
  <si>
    <t>1042429297</t>
  </si>
  <si>
    <t>EIDYS MARIA CASTRO DE LA HOZ</t>
  </si>
  <si>
    <t>AGNEFEY415</t>
  </si>
  <si>
    <t>1152434891</t>
  </si>
  <si>
    <t>ELIANA EUGENIA AGUDELO PALACIO</t>
  </si>
  <si>
    <t>900591058</t>
  </si>
  <si>
    <t>900397244</t>
  </si>
  <si>
    <t>1233192762</t>
  </si>
  <si>
    <t>ANGIE CAROLINA CERÓN CAICEDO</t>
  </si>
  <si>
    <t>88192190</t>
  </si>
  <si>
    <t>JOSE RICARDO JEREZ SANTOS</t>
  </si>
  <si>
    <t>1193386712</t>
  </si>
  <si>
    <t xml:space="preserve">KELLY  MANJARRES </t>
  </si>
  <si>
    <t>AGNRGPC215</t>
  </si>
  <si>
    <t>CIUDAD</t>
  </si>
  <si>
    <t xml:space="preserve">VENDEDOR </t>
  </si>
  <si>
    <t>RELACION DE RETALES</t>
  </si>
  <si>
    <t>MATERIAL</t>
  </si>
  <si>
    <t>OBSERVACIONES</t>
  </si>
  <si>
    <t>TOTAL PAQUETES ENTREGADOS</t>
  </si>
  <si>
    <t xml:space="preserve">TOTAL PIEZAS ENTREGADAS </t>
  </si>
  <si>
    <t>A17-</t>
  </si>
  <si>
    <t>1037268939</t>
  </si>
  <si>
    <t>FERNANDA  MORA CIRO</t>
  </si>
  <si>
    <t>890932124</t>
  </si>
  <si>
    <t>1020414556</t>
  </si>
  <si>
    <t xml:space="preserve">ANA  ATEHORTUA </t>
  </si>
  <si>
    <t>71589167</t>
  </si>
  <si>
    <t>RAUL EDUARDO CARDONA OROZCO</t>
  </si>
  <si>
    <t>901538866</t>
  </si>
  <si>
    <t>BS ARQUITECTOS ASOCIADOS SAS</t>
  </si>
  <si>
    <t>A43-</t>
  </si>
  <si>
    <t>800192961</t>
  </si>
  <si>
    <t>METROPOLI SA</t>
  </si>
  <si>
    <t>1143438748</t>
  </si>
  <si>
    <t xml:space="preserve">FARID  MENDOZA </t>
  </si>
  <si>
    <t>1234638807</t>
  </si>
  <si>
    <t xml:space="preserve">JEISON  MARTINEZ </t>
  </si>
  <si>
    <t>N15-</t>
  </si>
  <si>
    <t>830096878</t>
  </si>
  <si>
    <t>901761751</t>
  </si>
  <si>
    <t>CONSTRUCCIONES SOLANA SAS</t>
  </si>
  <si>
    <t>16607993</t>
  </si>
  <si>
    <t>1060799180</t>
  </si>
  <si>
    <t xml:space="preserve">JOSE  VARGAS </t>
  </si>
  <si>
    <t>1128430131</t>
  </si>
  <si>
    <t xml:space="preserve">VERONICA  HOYOS </t>
  </si>
  <si>
    <t>1140843397</t>
  </si>
  <si>
    <t>VANESSA MARIA NATERA DURAN</t>
  </si>
  <si>
    <t>1006182285</t>
  </si>
  <si>
    <t>JUAN PABLO GARCIA URBANO</t>
  </si>
  <si>
    <t>10386673</t>
  </si>
  <si>
    <t>FREDY ESTUPIÑAN</t>
  </si>
  <si>
    <t>1042419318</t>
  </si>
  <si>
    <t>YEIMIS  VENECIA PACHECO</t>
  </si>
  <si>
    <t>698037</t>
  </si>
  <si>
    <t>JESUS GABRIEL CHAVEZ PEREZ</t>
  </si>
  <si>
    <t>94521368</t>
  </si>
  <si>
    <t>ALEXANDER ESPINOSA</t>
  </si>
  <si>
    <t>620-106656</t>
  </si>
  <si>
    <t>2026-01-22 07:52:37</t>
  </si>
  <si>
    <t>2026-02-12 19:00:00</t>
  </si>
  <si>
    <t>2026-01-21 21:50:15</t>
  </si>
  <si>
    <t>052-41525</t>
  </si>
  <si>
    <t>1038408475</t>
  </si>
  <si>
    <t>VERONICA LICETH CARDONA LOAIZA</t>
  </si>
  <si>
    <t>064-8265</t>
  </si>
  <si>
    <t>703-241290</t>
  </si>
  <si>
    <t>703-530141</t>
  </si>
  <si>
    <t>1128397325</t>
  </si>
  <si>
    <t>JHON FERNANDO GALEANO VELASQUEZ</t>
  </si>
  <si>
    <t>1037605877</t>
  </si>
  <si>
    <t>ISABEL CRISTINA HERNANDEZ ARANGO</t>
  </si>
  <si>
    <t>2026-01-26 09:50:28</t>
  </si>
  <si>
    <t>2026-02-03 18:31:00</t>
  </si>
  <si>
    <t>2026-01-22 15:54:56</t>
  </si>
  <si>
    <t>064-8267</t>
  </si>
  <si>
    <t>001-8240</t>
  </si>
  <si>
    <t>CHY-305181</t>
  </si>
  <si>
    <t>2026-01-26 08:54:16</t>
  </si>
  <si>
    <t>2026-02-11 15:09:00</t>
  </si>
  <si>
    <t>2026-01-23 13:36:56</t>
  </si>
  <si>
    <t>AGNRFEP415</t>
  </si>
  <si>
    <t>052-41657</t>
  </si>
  <si>
    <t>001-8239</t>
  </si>
  <si>
    <t>CHY-305182</t>
  </si>
  <si>
    <t>2026-01-27 08:20:25</t>
  </si>
  <si>
    <t>2026-02-12 12:53:00</t>
  </si>
  <si>
    <t>2026-01-23 13:30:28</t>
  </si>
  <si>
    <t>064-8272</t>
  </si>
  <si>
    <t>629-23003</t>
  </si>
  <si>
    <t>629-14207</t>
  </si>
  <si>
    <t>1086361852</t>
  </si>
  <si>
    <t>LAURA DIAZ SALAS</t>
  </si>
  <si>
    <t>1000972110</t>
  </si>
  <si>
    <t>JUAN PABLO RINCON ORTIZ</t>
  </si>
  <si>
    <t>2026-01-27 16:50:15</t>
  </si>
  <si>
    <t>2026-02-04 09:48:00</t>
  </si>
  <si>
    <t>2026-01-24 09:51:13</t>
  </si>
  <si>
    <t>726-40525</t>
  </si>
  <si>
    <t>726-23954</t>
  </si>
  <si>
    <t>900350091</t>
  </si>
  <si>
    <t>INDUSTRIAS IMPACTO SAS</t>
  </si>
  <si>
    <t>2026-01-28 08:50:13</t>
  </si>
  <si>
    <t>2026-02-04 18:53:00</t>
  </si>
  <si>
    <t>2026-01-24 07:19:57</t>
  </si>
  <si>
    <t>064-8276</t>
  </si>
  <si>
    <t>AGNRINE236</t>
  </si>
  <si>
    <t>052-41777</t>
  </si>
  <si>
    <t>705-62853</t>
  </si>
  <si>
    <t>2026-01-30 14:31:43</t>
  </si>
  <si>
    <t>2026-02-17 16:00:00</t>
  </si>
  <si>
    <t>2026-01-30 12:35:52</t>
  </si>
  <si>
    <t>901289338</t>
  </si>
  <si>
    <t>INDUSTRIAS MADERARTE SAS</t>
  </si>
  <si>
    <t>43189264</t>
  </si>
  <si>
    <t xml:space="preserve">NATALIA  RAMIREZ </t>
  </si>
  <si>
    <t>612-294161</t>
  </si>
  <si>
    <t>612-598059</t>
  </si>
  <si>
    <t>1042774772</t>
  </si>
  <si>
    <t>JUAN FERNNDO CARVAJAL CHAVARRIA</t>
  </si>
  <si>
    <t>98716232</t>
  </si>
  <si>
    <t xml:space="preserve">JULIAN  ARBOLEDA </t>
  </si>
  <si>
    <t>2026-01-29 11:10:20</t>
  </si>
  <si>
    <t>2026-02-07 10:08:00</t>
  </si>
  <si>
    <t>2026-01-27 13:47:08</t>
  </si>
  <si>
    <t>064-8302</t>
  </si>
  <si>
    <t>064-8311</t>
  </si>
  <si>
    <t>613-78692</t>
  </si>
  <si>
    <t>613-587728</t>
  </si>
  <si>
    <t>50933291</t>
  </si>
  <si>
    <t>AURA LUNA PEREZ</t>
  </si>
  <si>
    <t>1037594089</t>
  </si>
  <si>
    <t>SEBASTIAN  GIL URAN</t>
  </si>
  <si>
    <t>2026-01-30 10:20:19</t>
  </si>
  <si>
    <t>2026-02-07 12:55:00</t>
  </si>
  <si>
    <t>2026-01-29 14:25:41</t>
  </si>
  <si>
    <t>052-41778</t>
  </si>
  <si>
    <t>705-62855</t>
  </si>
  <si>
    <t>2026-01-30 14:32:22</t>
  </si>
  <si>
    <t>2026-01-30 12:46:49</t>
  </si>
  <si>
    <t>052-41779</t>
  </si>
  <si>
    <t>705-62854</t>
  </si>
  <si>
    <t>2026-01-30 14:32:49</t>
  </si>
  <si>
    <t>2026-01-30 12:43:20</t>
  </si>
  <si>
    <t>052-41803</t>
  </si>
  <si>
    <t>716-98503</t>
  </si>
  <si>
    <t>716-167571</t>
  </si>
  <si>
    <t>901973380</t>
  </si>
  <si>
    <t>CONSTRUCTORA PROVENZA SAS</t>
  </si>
  <si>
    <t>2026-01-30 17:50:00</t>
  </si>
  <si>
    <t>2026-02-12 20:28:00</t>
  </si>
  <si>
    <t>2026-01-24 07:53:37</t>
  </si>
  <si>
    <t>052-41821</t>
  </si>
  <si>
    <t>717-62452</t>
  </si>
  <si>
    <t>717-132716</t>
  </si>
  <si>
    <t>901916548</t>
  </si>
  <si>
    <t>INVERSIONES EL PUERTO SAS</t>
  </si>
  <si>
    <t>1035918738</t>
  </si>
  <si>
    <t>CRISTIAN DAVID CASTAÑO ALVAREZ</t>
  </si>
  <si>
    <t>2026-01-31 13:20:33</t>
  </si>
  <si>
    <t>2026-02-10 18:40:00</t>
  </si>
  <si>
    <t>2026-01-31 07:49:32</t>
  </si>
  <si>
    <t>616-129912</t>
  </si>
  <si>
    <t>616-258041</t>
  </si>
  <si>
    <t>43584411</t>
  </si>
  <si>
    <t>ELIANA DOMINGUEZ</t>
  </si>
  <si>
    <t>2026-01-31 13:21:00</t>
  </si>
  <si>
    <t>2026-02-11 07:28:00</t>
  </si>
  <si>
    <t>2026-01-09 16:33:13</t>
  </si>
  <si>
    <t>052-41841</t>
  </si>
  <si>
    <t>718-71400</t>
  </si>
  <si>
    <t>718-50780</t>
  </si>
  <si>
    <t>1001359224</t>
  </si>
  <si>
    <t>JOSE LUIS MELO</t>
  </si>
  <si>
    <t>1216720004</t>
  </si>
  <si>
    <t>JUAN PABLO AGUIRRE PEÑA</t>
  </si>
  <si>
    <t>2026-01-31 13:50:14</t>
  </si>
  <si>
    <t>2026-02-11 12:33:00</t>
  </si>
  <si>
    <t>2026-01-30 11:03:28</t>
  </si>
  <si>
    <t>1036653038</t>
  </si>
  <si>
    <t>DANIELA  PIEDRAHITA HERNANDEZ</t>
  </si>
  <si>
    <t>052-41874</t>
  </si>
  <si>
    <t>701-437685</t>
  </si>
  <si>
    <t>701-630158</t>
  </si>
  <si>
    <t>19392743</t>
  </si>
  <si>
    <t>ORLANDO DIAZ LOZANO</t>
  </si>
  <si>
    <t>2026-02-02 16:00:15</t>
  </si>
  <si>
    <t>2026-02-10 20:08:00</t>
  </si>
  <si>
    <t>2026-01-31 09:48:12</t>
  </si>
  <si>
    <t>052-41878</t>
  </si>
  <si>
    <t>618-161516</t>
  </si>
  <si>
    <t>618-652802</t>
  </si>
  <si>
    <t>1002086959</t>
  </si>
  <si>
    <t>ESNEIDER MARTINEZ</t>
  </si>
  <si>
    <t>71242485</t>
  </si>
  <si>
    <t>MAURICIO  CARDONA GONZALEZ</t>
  </si>
  <si>
    <t>2026-02-03 09:47:58</t>
  </si>
  <si>
    <t>2026-02-10 17:43:00</t>
  </si>
  <si>
    <t>2026-02-02 09:16:09</t>
  </si>
  <si>
    <t>900413851</t>
  </si>
  <si>
    <t xml:space="preserve">NEUTRA SAS </t>
  </si>
  <si>
    <t>052-41823</t>
  </si>
  <si>
    <t>052-41824</t>
  </si>
  <si>
    <t>052-41834</t>
  </si>
  <si>
    <t>702-389088</t>
  </si>
  <si>
    <t>702-623420</t>
  </si>
  <si>
    <t>901054106</t>
  </si>
  <si>
    <t>INVERCIONES MIL VARIEDADES SAS</t>
  </si>
  <si>
    <t>1001360548</t>
  </si>
  <si>
    <t>KATHERINE  PIEDRAHITA BUITRAGO</t>
  </si>
  <si>
    <t>2026-01-31 13:40:19</t>
  </si>
  <si>
    <t>2026-02-10 20:05:00</t>
  </si>
  <si>
    <t>2026-01-30 09:27:42</t>
  </si>
  <si>
    <t>052-41842</t>
  </si>
  <si>
    <t>629-23115</t>
  </si>
  <si>
    <t>629-14257</t>
  </si>
  <si>
    <t>70560534</t>
  </si>
  <si>
    <t>JOSE FERNANDO BARRIENTOS RESTREPO</t>
  </si>
  <si>
    <t>2026-01-31 14:10:12</t>
  </si>
  <si>
    <t>2026-02-11 17:55:00</t>
  </si>
  <si>
    <t>2026-01-31 13:17:43</t>
  </si>
  <si>
    <t>052-41843</t>
  </si>
  <si>
    <t>052-41873</t>
  </si>
  <si>
    <t>052-41875</t>
  </si>
  <si>
    <t>612-294521</t>
  </si>
  <si>
    <t>612-598208</t>
  </si>
  <si>
    <t>98701339</t>
  </si>
  <si>
    <t>ALEXANDER MARTINEZ</t>
  </si>
  <si>
    <t>2026-02-02 16:20:13</t>
  </si>
  <si>
    <t>2026-02-12 07:17:00</t>
  </si>
  <si>
    <t>2026-02-02 10:54:02</t>
  </si>
  <si>
    <t>052-41876</t>
  </si>
  <si>
    <t>052-41877</t>
  </si>
  <si>
    <t>050-32884</t>
  </si>
  <si>
    <t>103-117381</t>
  </si>
  <si>
    <t>C03-15182</t>
  </si>
  <si>
    <t>1073230614</t>
  </si>
  <si>
    <t>FABIO MANCERA</t>
  </si>
  <si>
    <t>52082583</t>
  </si>
  <si>
    <t>PATRICIA  MONTANEZ MARTHA</t>
  </si>
  <si>
    <t>2026-01-21 15:40:41</t>
  </si>
  <si>
    <t>2026-02-03 11:11:00</t>
  </si>
  <si>
    <t>2026-01-09 15:59:10</t>
  </si>
  <si>
    <t>050-32912</t>
  </si>
  <si>
    <t>303-171761</t>
  </si>
  <si>
    <t>303-599452</t>
  </si>
  <si>
    <t>33368777</t>
  </si>
  <si>
    <t>FRIULENG FRIULENG</t>
  </si>
  <si>
    <t>46383228</t>
  </si>
  <si>
    <t>MARY LUZ ESTIPIÑAN VIJA</t>
  </si>
  <si>
    <t>2026-01-26 15:20:17</t>
  </si>
  <si>
    <t>2026-02-03 17:06:00</t>
  </si>
  <si>
    <t>2026-01-19 10:54:11</t>
  </si>
  <si>
    <t>1073521486</t>
  </si>
  <si>
    <t>IVON VIVIANA RODRIGUEZ GUTIERREZ</t>
  </si>
  <si>
    <t>112-130227</t>
  </si>
  <si>
    <t>112-553748</t>
  </si>
  <si>
    <t>1126809098</t>
  </si>
  <si>
    <t>FERNANDO GOMEZ</t>
  </si>
  <si>
    <t>1193456309</t>
  </si>
  <si>
    <t>MARIO ALBERTO CASSIANI HERRERA</t>
  </si>
  <si>
    <t>2026-01-29 12:20:25</t>
  </si>
  <si>
    <t>2026-02-10 11:46:00</t>
  </si>
  <si>
    <t>2026-01-08 11:57:43</t>
  </si>
  <si>
    <t>113-85071</t>
  </si>
  <si>
    <t>113-528587</t>
  </si>
  <si>
    <t>900384349</t>
  </si>
  <si>
    <t>GESTOAGRO SAS</t>
  </si>
  <si>
    <t>1012413458</t>
  </si>
  <si>
    <t>JENNIFER CAROLINA OSORIO ROJAS</t>
  </si>
  <si>
    <t>2026-01-29 12:30:07</t>
  </si>
  <si>
    <t>2026-02-11 13:31:00</t>
  </si>
  <si>
    <t>2026-01-27 15:48:22</t>
  </si>
  <si>
    <t>050-32957</t>
  </si>
  <si>
    <t>113-84147</t>
  </si>
  <si>
    <t>113-528590</t>
  </si>
  <si>
    <t>2026-01-29 13:40:14</t>
  </si>
  <si>
    <t>2026-02-10 17:32:00</t>
  </si>
  <si>
    <t>2025-12-06 09:45:12</t>
  </si>
  <si>
    <t>050-32958</t>
  </si>
  <si>
    <t>2026-01-29 13:40:15</t>
  </si>
  <si>
    <t>050-32959</t>
  </si>
  <si>
    <t>211-107701</t>
  </si>
  <si>
    <t>211-537341</t>
  </si>
  <si>
    <t>900767056</t>
  </si>
  <si>
    <t>360 MARKETING SERVICES SAS</t>
  </si>
  <si>
    <t>1117515307</t>
  </si>
  <si>
    <t>ZULEIMA  SILVA TRUJILLO</t>
  </si>
  <si>
    <t>2026-01-29 16:10:09</t>
  </si>
  <si>
    <t>2026-02-11 08:43:00</t>
  </si>
  <si>
    <t>2026-01-23 16:27:44</t>
  </si>
  <si>
    <t>050-32960</t>
  </si>
  <si>
    <t>050-32964</t>
  </si>
  <si>
    <t>118-96458</t>
  </si>
  <si>
    <t>C50-9736</t>
  </si>
  <si>
    <t>901207855</t>
  </si>
  <si>
    <t>GLOBAL BUSSINES DE COLOMBIA SAS</t>
  </si>
  <si>
    <t>53001885</t>
  </si>
  <si>
    <t>KARLA VIVIANA BELTRAN REAL</t>
  </si>
  <si>
    <t>2026-01-29 17:00:21</t>
  </si>
  <si>
    <t>2026-02-11 10:43:00</t>
  </si>
  <si>
    <t>2026-01-27 15:44:21</t>
  </si>
  <si>
    <t>050-32968</t>
  </si>
  <si>
    <t>303-172178</t>
  </si>
  <si>
    <t>303-599576</t>
  </si>
  <si>
    <t>901902012</t>
  </si>
  <si>
    <t>GRUPO VECCO SAS</t>
  </si>
  <si>
    <t>2026-01-30 08:40:05</t>
  </si>
  <si>
    <t>2026-02-12 12:51:00</t>
  </si>
  <si>
    <t>2026-01-27 14:05:24</t>
  </si>
  <si>
    <t>050-32969</t>
  </si>
  <si>
    <t>050-32970</t>
  </si>
  <si>
    <t>AGNRAME106</t>
  </si>
  <si>
    <t>050-32973</t>
  </si>
  <si>
    <t>050-32975</t>
  </si>
  <si>
    <t>203-197335</t>
  </si>
  <si>
    <t>203-588494</t>
  </si>
  <si>
    <t>1110481362</t>
  </si>
  <si>
    <t>ANDRES POSADA</t>
  </si>
  <si>
    <t>1110593855</t>
  </si>
  <si>
    <t>LAURA JULIANA MARIN TELLEZ</t>
  </si>
  <si>
    <t>2026-01-30 10:00:24</t>
  </si>
  <si>
    <t>2026-02-10 12:50:00</t>
  </si>
  <si>
    <t>2026-01-30 08:16:44</t>
  </si>
  <si>
    <t>MFHERMR418-MP</t>
  </si>
  <si>
    <t>050-32984</t>
  </si>
  <si>
    <t>211-107683</t>
  </si>
  <si>
    <t>211-537342</t>
  </si>
  <si>
    <t>2026-01-30 16:51:30</t>
  </si>
  <si>
    <t>2026-02-10 13:48:00</t>
  </si>
  <si>
    <t>2026-01-23 08:34:31</t>
  </si>
  <si>
    <t>1013626469</t>
  </si>
  <si>
    <t>JENNY ALEJANDRA MORA CANTOR</t>
  </si>
  <si>
    <t>050-32994</t>
  </si>
  <si>
    <t>117-156456</t>
  </si>
  <si>
    <t>117-424354</t>
  </si>
  <si>
    <t>900683218</t>
  </si>
  <si>
    <t xml:space="preserve">INGENIEROS CONSTRUCTORES SAS </t>
  </si>
  <si>
    <t>1024508949</t>
  </si>
  <si>
    <t>CAMILO ANDREZ MENDEZ OVIEDO</t>
  </si>
  <si>
    <t>2026-01-31 11:10:02</t>
  </si>
  <si>
    <t>2026-02-11 10:12:00</t>
  </si>
  <si>
    <t>2026-01-27 13:13:06</t>
  </si>
  <si>
    <t>050-32812</t>
  </si>
  <si>
    <t>208-211663</t>
  </si>
  <si>
    <t>208-545433</t>
  </si>
  <si>
    <t>901923452</t>
  </si>
  <si>
    <t>CONSORCIO RISAF</t>
  </si>
  <si>
    <t>1057609440</t>
  </si>
  <si>
    <t>LADY VANESSA MORENO ACERO</t>
  </si>
  <si>
    <t>2026-01-19 08:20:07</t>
  </si>
  <si>
    <t>2026-01-27 11:02:00</t>
  </si>
  <si>
    <t>2025-09-03 12:11:08</t>
  </si>
  <si>
    <t>050-32813</t>
  </si>
  <si>
    <t>050-32815</t>
  </si>
  <si>
    <t>118-96026</t>
  </si>
  <si>
    <t>118-287585</t>
  </si>
  <si>
    <t>1097652</t>
  </si>
  <si>
    <t>JESUS GUAIMACUTO</t>
  </si>
  <si>
    <t>2026-01-19 12:30:21</t>
  </si>
  <si>
    <t>2026-01-27 10:09:00</t>
  </si>
  <si>
    <t>2026-01-14 15:15:36</t>
  </si>
  <si>
    <t>AGNEINE215</t>
  </si>
  <si>
    <t>050-32816</t>
  </si>
  <si>
    <t>800205914</t>
  </si>
  <si>
    <t>SOLUCIONES INTEGRALES UNION SAS</t>
  </si>
  <si>
    <t>1032366727</t>
  </si>
  <si>
    <t>DIANA PAOLA RINCON LOPEZ</t>
  </si>
  <si>
    <t>050-32883</t>
  </si>
  <si>
    <t>101-339052</t>
  </si>
  <si>
    <t>C01-111651</t>
  </si>
  <si>
    <t>2026-01-24 09:39:19</t>
  </si>
  <si>
    <t>2026-02-09 13:01:00</t>
  </si>
  <si>
    <t>2026-01-17 08:14:54</t>
  </si>
  <si>
    <t>050-32908</t>
  </si>
  <si>
    <t>AGNRPOY618</t>
  </si>
  <si>
    <t>050-32929</t>
  </si>
  <si>
    <t>512-320420</t>
  </si>
  <si>
    <t>N12-210691</t>
  </si>
  <si>
    <t>806000233</t>
  </si>
  <si>
    <t>ING  CONS SAS</t>
  </si>
  <si>
    <t>2026-01-27 15:50:21</t>
  </si>
  <si>
    <t>2026-02-12 11:41:00</t>
  </si>
  <si>
    <t>2026-01-21 17:04:50</t>
  </si>
  <si>
    <t>050-32930</t>
  </si>
  <si>
    <t>050-32952</t>
  </si>
  <si>
    <t>050-32954</t>
  </si>
  <si>
    <t>050-32956</t>
  </si>
  <si>
    <t>050-32965</t>
  </si>
  <si>
    <t>050-32966</t>
  </si>
  <si>
    <t>050-32967</t>
  </si>
  <si>
    <t>050-32971</t>
  </si>
  <si>
    <t>050-32972</t>
  </si>
  <si>
    <t>050-32974</t>
  </si>
  <si>
    <t>050-32976</t>
  </si>
  <si>
    <t>116-118066</t>
  </si>
  <si>
    <t>116-276310</t>
  </si>
  <si>
    <t>900558979</t>
  </si>
  <si>
    <t>TECTONIKA GROUP SAS</t>
  </si>
  <si>
    <t>1072649408</t>
  </si>
  <si>
    <t xml:space="preserve">MARCELA  BURGOS </t>
  </si>
  <si>
    <t>2026-01-30 13:20:13</t>
  </si>
  <si>
    <t>2026-02-12 17:50:00</t>
  </si>
  <si>
    <t>2026-01-27 14:59:49</t>
  </si>
  <si>
    <t>050-32977</t>
  </si>
  <si>
    <t>050-32978</t>
  </si>
  <si>
    <t>050-32996</t>
  </si>
  <si>
    <t>050-33000</t>
  </si>
  <si>
    <t>129-6006</t>
  </si>
  <si>
    <t>129-2505</t>
  </si>
  <si>
    <t>80491252</t>
  </si>
  <si>
    <t>FRANCISCO MORENO</t>
  </si>
  <si>
    <t>1000697118</t>
  </si>
  <si>
    <t>MARIANA  RAMIREZ URIAN</t>
  </si>
  <si>
    <t>2026-01-31 12:50:01</t>
  </si>
  <si>
    <t>2026-02-11 19:27:00</t>
  </si>
  <si>
    <t>2026-01-30 08:10:59</t>
  </si>
  <si>
    <t>050-33001</t>
  </si>
  <si>
    <t>050-33004</t>
  </si>
  <si>
    <t>407-243393</t>
  </si>
  <si>
    <t>407-615344</t>
  </si>
  <si>
    <t>1113700442</t>
  </si>
  <si>
    <t>ENMANUEL CASTRONOVO</t>
  </si>
  <si>
    <t>1113523883</t>
  </si>
  <si>
    <t>EVELIN CATALINA VICTORIA TELLO</t>
  </si>
  <si>
    <t>2026-01-31 12:50:05</t>
  </si>
  <si>
    <t>2026-02-11 19:14:00</t>
  </si>
  <si>
    <t>2026-01-30 11:21:55</t>
  </si>
  <si>
    <t>050-33005</t>
  </si>
  <si>
    <t>206-147640</t>
  </si>
  <si>
    <t>206-546328</t>
  </si>
  <si>
    <t>80070761</t>
  </si>
  <si>
    <t>NELSON ROJAS</t>
  </si>
  <si>
    <t>1012464078</t>
  </si>
  <si>
    <t>KAREN VIVIANA SANCHEZ RUIZ</t>
  </si>
  <si>
    <t>2026-01-31 13:40:30</t>
  </si>
  <si>
    <t>2026-02-10 18:17:00</t>
  </si>
  <si>
    <t>2026-01-28 10:27:04</t>
  </si>
  <si>
    <t>050-33006</t>
  </si>
  <si>
    <t>108-129026</t>
  </si>
  <si>
    <t>108-547340</t>
  </si>
  <si>
    <t>900320613</t>
  </si>
  <si>
    <t>SIGO CONSULTORIA Y CONSTRUCCION SAS</t>
  </si>
  <si>
    <t>92549392</t>
  </si>
  <si>
    <t>DAIRO JOSE BUELVAS CORENA</t>
  </si>
  <si>
    <t>2026-01-31 13:50:25</t>
  </si>
  <si>
    <t>2026-02-13 09:34:00</t>
  </si>
  <si>
    <t>2026-01-29 18:29:51</t>
  </si>
  <si>
    <t>050-33008</t>
  </si>
  <si>
    <t>050-33009</t>
  </si>
  <si>
    <t>512-321499</t>
  </si>
  <si>
    <t>N12-210724</t>
  </si>
  <si>
    <t>2026-01-31 14:00:16</t>
  </si>
  <si>
    <t>2026-02-13 15:40:00</t>
  </si>
  <si>
    <t>2026-01-30 08:06:30</t>
  </si>
  <si>
    <t>050-33010</t>
  </si>
  <si>
    <t>050-33013</t>
  </si>
  <si>
    <t>300-16493</t>
  </si>
  <si>
    <t>ZNS-52960</t>
  </si>
  <si>
    <t>901041121</t>
  </si>
  <si>
    <t>MADARCO  SAS</t>
  </si>
  <si>
    <t>2026-01-31 14:20:01</t>
  </si>
  <si>
    <t>2026-02-11 09:57:00</t>
  </si>
  <si>
    <t>2026-01-30 19:56:22</t>
  </si>
  <si>
    <t>050-33016</t>
  </si>
  <si>
    <t>302-187428</t>
  </si>
  <si>
    <t>302-559824</t>
  </si>
  <si>
    <t>7170762</t>
  </si>
  <si>
    <t>PEDRO LOPEZ</t>
  </si>
  <si>
    <t>1010014932</t>
  </si>
  <si>
    <t>BRAYAN ESTEBAN QUINTERO PARRA</t>
  </si>
  <si>
    <t>2026-01-31 17:00:00</t>
  </si>
  <si>
    <t>2026-02-11 15:48:00</t>
  </si>
  <si>
    <t>2026-01-31 08:02:06</t>
  </si>
  <si>
    <t>050-33017</t>
  </si>
  <si>
    <t>050-33019</t>
  </si>
  <si>
    <t>050-33020</t>
  </si>
  <si>
    <t>302-187475</t>
  </si>
  <si>
    <t>302-559826</t>
  </si>
  <si>
    <t>1049608179</t>
  </si>
  <si>
    <t>ALBERTO VANEGAS GARCIA</t>
  </si>
  <si>
    <t>1049624576</t>
  </si>
  <si>
    <t>DIANA MARCELA SANCHEZ SAMACA</t>
  </si>
  <si>
    <t>2026-01-31 17:20:00</t>
  </si>
  <si>
    <t>2026-02-11 10:22:00</t>
  </si>
  <si>
    <t>2026-01-31 15:12:19</t>
  </si>
  <si>
    <t>050-33023</t>
  </si>
  <si>
    <t>302-187479</t>
  </si>
  <si>
    <t>302-559831</t>
  </si>
  <si>
    <t>7175272</t>
  </si>
  <si>
    <t>NEMECIO RODRIGEZ</t>
  </si>
  <si>
    <t>2026-01-31 18:00:00</t>
  </si>
  <si>
    <t>2026-02-13 14:05:00</t>
  </si>
  <si>
    <t>2026-01-31 16:34:12</t>
  </si>
  <si>
    <t>109-99608</t>
  </si>
  <si>
    <t>109-533260</t>
  </si>
  <si>
    <t>18010536</t>
  </si>
  <si>
    <t>SAMUEL ROBINSON</t>
  </si>
  <si>
    <t>2026-02-02 08:09:15</t>
  </si>
  <si>
    <t>2026-02-17 18:10:00</t>
  </si>
  <si>
    <t>2026-01-27 12:21:14</t>
  </si>
  <si>
    <t>050-33031</t>
  </si>
  <si>
    <t>050-33032</t>
  </si>
  <si>
    <t>220-110619</t>
  </si>
  <si>
    <t>220-480562</t>
  </si>
  <si>
    <t>1006779549</t>
  </si>
  <si>
    <t>LAURA DANIELA GUTIERREZ PEÑA</t>
  </si>
  <si>
    <t>1118125844</t>
  </si>
  <si>
    <t>NIKOL DANIELA PEREZ PERILLA</t>
  </si>
  <si>
    <t>2026-02-02 09:00:20</t>
  </si>
  <si>
    <t>2026-02-17 16:59:00</t>
  </si>
  <si>
    <t>2026-01-31 11:06:56</t>
  </si>
  <si>
    <t>050-33033</t>
  </si>
  <si>
    <t>050-33034</t>
  </si>
  <si>
    <t>114-123414</t>
  </si>
  <si>
    <t>C38-13726</t>
  </si>
  <si>
    <t>2026-02-02 09:51:44</t>
  </si>
  <si>
    <t>2026-02-17 15:13:00</t>
  </si>
  <si>
    <t>2026-01-31 09:01:01</t>
  </si>
  <si>
    <t>050-33036</t>
  </si>
  <si>
    <t>050-32995</t>
  </si>
  <si>
    <t>050-32997</t>
  </si>
  <si>
    <t>112-130979</t>
  </si>
  <si>
    <t>112-553820</t>
  </si>
  <si>
    <t>1032386368</t>
  </si>
  <si>
    <t>JANITH BADRAN</t>
  </si>
  <si>
    <t>1085282093</t>
  </si>
  <si>
    <t>PAOLA LIZETH RUALES GAVIRIA</t>
  </si>
  <si>
    <t>2026-01-31 12:30:11</t>
  </si>
  <si>
    <t>2026-02-11 18:22:00</t>
  </si>
  <si>
    <t>2026-01-26 18:20:35</t>
  </si>
  <si>
    <t>050-32998</t>
  </si>
  <si>
    <t>050-32999</t>
  </si>
  <si>
    <t>307-336035</t>
  </si>
  <si>
    <t>C34-115298</t>
  </si>
  <si>
    <t>2026-01-31 14:20:00</t>
  </si>
  <si>
    <t>2026-02-11 14:58:00</t>
  </si>
  <si>
    <t>2026-01-28 11:49:46</t>
  </si>
  <si>
    <t>050-33012</t>
  </si>
  <si>
    <t>OSBHM04809</t>
  </si>
  <si>
    <t>050-33015</t>
  </si>
  <si>
    <t>050-33018</t>
  </si>
  <si>
    <t>050-33021</t>
  </si>
  <si>
    <t>050-33022</t>
  </si>
  <si>
    <t>050-33024</t>
  </si>
  <si>
    <t>050-33028</t>
  </si>
  <si>
    <t>050-33030</t>
  </si>
  <si>
    <t>050-33035</t>
  </si>
  <si>
    <t>050-33037</t>
  </si>
  <si>
    <t>050-33039</t>
  </si>
  <si>
    <t>105-106552</t>
  </si>
  <si>
    <t>105-542266</t>
  </si>
  <si>
    <t>901235841</t>
  </si>
  <si>
    <t xml:space="preserve">CONSTRUCTORA  PODIUM SAS </t>
  </si>
  <si>
    <t>2026-02-02 13:00:29</t>
  </si>
  <si>
    <t>2026-02-18 16:41:00</t>
  </si>
  <si>
    <t>2026-02-02 12:18:17</t>
  </si>
  <si>
    <t>050-33040</t>
  </si>
  <si>
    <t>050-33041</t>
  </si>
  <si>
    <t>050-33042</t>
  </si>
  <si>
    <t>050-33043</t>
  </si>
  <si>
    <t>050-33049</t>
  </si>
  <si>
    <t>302-187550</t>
  </si>
  <si>
    <t>302-559881</t>
  </si>
  <si>
    <t>2026-02-03 15:10:33</t>
  </si>
  <si>
    <t>2026-02-17 15:58:00</t>
  </si>
  <si>
    <t>2026-02-03 11:48:48</t>
  </si>
  <si>
    <t>050-33052</t>
  </si>
  <si>
    <t>100-23758</t>
  </si>
  <si>
    <t>ZBT-271077</t>
  </si>
  <si>
    <t>900536395</t>
  </si>
  <si>
    <t>CONSTRUCTORA PINEDA ACOSTA ASO SAS</t>
  </si>
  <si>
    <t>2026-02-03 16:04:01</t>
  </si>
  <si>
    <t>2026-02-23 18:54:00</t>
  </si>
  <si>
    <t>2026-01-28 11:09:36</t>
  </si>
  <si>
    <t>050-33055</t>
  </si>
  <si>
    <t>301-176859</t>
  </si>
  <si>
    <t>301-603937</t>
  </si>
  <si>
    <t>1098800333</t>
  </si>
  <si>
    <t>HERSON LEONARDO ALVARADO GUERRERO</t>
  </si>
  <si>
    <t>1031150992</t>
  </si>
  <si>
    <t>KELLY JOHANA GALLO SILVA</t>
  </si>
  <si>
    <t>2026-02-03 17:30:04</t>
  </si>
  <si>
    <t>2026-02-19 13:44:00</t>
  </si>
  <si>
    <t>2026-02-02 11:47:13</t>
  </si>
  <si>
    <t>050-33057</t>
  </si>
  <si>
    <t>301-176866</t>
  </si>
  <si>
    <t>301-603938</t>
  </si>
  <si>
    <t>2026-02-19 16:42:00</t>
  </si>
  <si>
    <t>2026-02-02 13:10:18</t>
  </si>
  <si>
    <t>AGNEAME106</t>
  </si>
  <si>
    <t>050-33038</t>
  </si>
  <si>
    <t>050-33044</t>
  </si>
  <si>
    <t>123-65863</t>
  </si>
  <si>
    <t>123-51248</t>
  </si>
  <si>
    <t>902003671</t>
  </si>
  <si>
    <t>CONSORCIO OBRAS C Y K</t>
  </si>
  <si>
    <t>2026-02-02 14:00:11</t>
  </si>
  <si>
    <t>2026-02-18 12:31:00</t>
  </si>
  <si>
    <t>2026-02-02 09:22:04</t>
  </si>
  <si>
    <t>050-33045</t>
  </si>
  <si>
    <t>050-33046</t>
  </si>
  <si>
    <t>2026-02-02 14:00:12</t>
  </si>
  <si>
    <t>050-33047</t>
  </si>
  <si>
    <t>050-33048</t>
  </si>
  <si>
    <t>112-131323</t>
  </si>
  <si>
    <t>C12-17756</t>
  </si>
  <si>
    <t>900527690</t>
  </si>
  <si>
    <t>VARFAL DE COLOMBIA SAS</t>
  </si>
  <si>
    <t>79789712</t>
  </si>
  <si>
    <t>JORGE HERNAN PENA LEON</t>
  </si>
  <si>
    <t>2026-02-03 07:50:00</t>
  </si>
  <si>
    <t>2026-02-17 17:02:00</t>
  </si>
  <si>
    <t>2026-02-02 21:32:16</t>
  </si>
  <si>
    <t>050-33050</t>
  </si>
  <si>
    <t>050-33051</t>
  </si>
  <si>
    <t>050-33053</t>
  </si>
  <si>
    <t>050-33054</t>
  </si>
  <si>
    <t>050-33056</t>
  </si>
  <si>
    <t>050-33059</t>
  </si>
  <si>
    <t>050-33061</t>
  </si>
  <si>
    <t>123-65924</t>
  </si>
  <si>
    <t>123-51271</t>
  </si>
  <si>
    <t>900199677</t>
  </si>
  <si>
    <t>GARMAQUIM SAS</t>
  </si>
  <si>
    <t>2026-02-04 11:40:28</t>
  </si>
  <si>
    <t>2026-02-16 08:54:00</t>
  </si>
  <si>
    <t>2026-02-04 10:35:00</t>
  </si>
  <si>
    <t>050-33063</t>
  </si>
  <si>
    <t>050-33066</t>
  </si>
  <si>
    <t>107-241748</t>
  </si>
  <si>
    <t>C07-16355</t>
  </si>
  <si>
    <t>900229653</t>
  </si>
  <si>
    <t>ATMOSFERA DISEÑAMOS ESPACIO</t>
  </si>
  <si>
    <t>79804979</t>
  </si>
  <si>
    <t>JOHN FREDDY MONTOYA MORENO</t>
  </si>
  <si>
    <t>2026-02-04 14:30:27</t>
  </si>
  <si>
    <t>2026-02-16 08:26:00</t>
  </si>
  <si>
    <t>2026-02-04 11:22:49</t>
  </si>
  <si>
    <t>050-33074</t>
  </si>
  <si>
    <t>101-330685</t>
  </si>
  <si>
    <t>C01-111684</t>
  </si>
  <si>
    <t>2026-02-04 15:40:39</t>
  </si>
  <si>
    <t>2026-02-24 08:31:00</t>
  </si>
  <si>
    <t>2025-09-12 13:52:16</t>
  </si>
  <si>
    <t>050-33075</t>
  </si>
  <si>
    <t>050-33076</t>
  </si>
  <si>
    <t>050-33078</t>
  </si>
  <si>
    <t>213-62604</t>
  </si>
  <si>
    <t>213-225492</t>
  </si>
  <si>
    <t>93420194</t>
  </si>
  <si>
    <t>ORLANDO BEDOYA</t>
  </si>
  <si>
    <t>1014266718</t>
  </si>
  <si>
    <t>CINDY PAOLA LINARES FLOREZ</t>
  </si>
  <si>
    <t>2026-02-04 17:20:01</t>
  </si>
  <si>
    <t>2026-02-17 15:40:00</t>
  </si>
  <si>
    <t>2026-02-04 09:39:14</t>
  </si>
  <si>
    <t>050-33081</t>
  </si>
  <si>
    <t>112-131441</t>
  </si>
  <si>
    <t>C12-17768</t>
  </si>
  <si>
    <t>2026-02-04 19:30:00</t>
  </si>
  <si>
    <t>2026-02-17 13:10:00</t>
  </si>
  <si>
    <t>2026-02-04 18:27:22</t>
  </si>
  <si>
    <t>050-33084</t>
  </si>
  <si>
    <t>116-118377</t>
  </si>
  <si>
    <t>116-276439</t>
  </si>
  <si>
    <t>11225262</t>
  </si>
  <si>
    <t>FABIO VELASQUEZ</t>
  </si>
  <si>
    <t>2026-02-05 10:00:28</t>
  </si>
  <si>
    <t>2026-02-18 07:13:00</t>
  </si>
  <si>
    <t>2026-02-05 08:35:51</t>
  </si>
  <si>
    <t>050-33087</t>
  </si>
  <si>
    <t>216-128477</t>
  </si>
  <si>
    <t>C43-15060</t>
  </si>
  <si>
    <t>1073515199</t>
  </si>
  <si>
    <t>JOSE OYOLA VANEGAS</t>
  </si>
  <si>
    <t>1107075158</t>
  </si>
  <si>
    <t>LUIS EDUARDO ARIAS BECERRA</t>
  </si>
  <si>
    <t>2026-02-05 13:40:11</t>
  </si>
  <si>
    <t>2026-02-24 15:33:00</t>
  </si>
  <si>
    <t>2026-02-02 09:20:52</t>
  </si>
  <si>
    <t>050-33093</t>
  </si>
  <si>
    <t>212-142146</t>
  </si>
  <si>
    <t>212-548348</t>
  </si>
  <si>
    <t>79861208</t>
  </si>
  <si>
    <t>EMERSON MARROQUIN</t>
  </si>
  <si>
    <t>52520943</t>
  </si>
  <si>
    <t>LISETH  BOHORQUEZ VARGAS</t>
  </si>
  <si>
    <t>2026-02-05 13:40:16</t>
  </si>
  <si>
    <t>2026-02-23 11:42:00</t>
  </si>
  <si>
    <t>2026-02-05 11:37:33</t>
  </si>
  <si>
    <t>050-33094</t>
  </si>
  <si>
    <t>050-33058</t>
  </si>
  <si>
    <t>050-33062</t>
  </si>
  <si>
    <t>050-33064</t>
  </si>
  <si>
    <t>116-118336</t>
  </si>
  <si>
    <t>116-276422</t>
  </si>
  <si>
    <t>79788671</t>
  </si>
  <si>
    <t>CARLOS ALVAREZ</t>
  </si>
  <si>
    <t>2026-02-04 14:20:11</t>
  </si>
  <si>
    <t>2026-02-16 08:34:00</t>
  </si>
  <si>
    <t>2026-02-04 08:53:21</t>
  </si>
  <si>
    <t>050-33065</t>
  </si>
  <si>
    <t>050-33067</t>
  </si>
  <si>
    <t>303-172203</t>
  </si>
  <si>
    <t>C30-16722</t>
  </si>
  <si>
    <t>820004286</t>
  </si>
  <si>
    <t>ASPRO SAS</t>
  </si>
  <si>
    <t>46381800</t>
  </si>
  <si>
    <t xml:space="preserve">DIANA  VARGAS </t>
  </si>
  <si>
    <t>2026-02-04 15:10:23</t>
  </si>
  <si>
    <t>2026-02-16 16:09:00</t>
  </si>
  <si>
    <t>2026-01-28 07:56:11</t>
  </si>
  <si>
    <t>050-33068</t>
  </si>
  <si>
    <t>050-33073</t>
  </si>
  <si>
    <t>050-33077</t>
  </si>
  <si>
    <t>050-33079</t>
  </si>
  <si>
    <t>050-33080</t>
  </si>
  <si>
    <t>050-33082</t>
  </si>
  <si>
    <t>050-33083</t>
  </si>
  <si>
    <t>050-33085</t>
  </si>
  <si>
    <t>100-23842</t>
  </si>
  <si>
    <t>ZBT-271087</t>
  </si>
  <si>
    <t>900838580</t>
  </si>
  <si>
    <t>ANEL INSTALACIONES SAS</t>
  </si>
  <si>
    <t>35254425</t>
  </si>
  <si>
    <t xml:space="preserve">MARGI  CORTES </t>
  </si>
  <si>
    <t>2026-02-05 11:35:44</t>
  </si>
  <si>
    <t>2026-02-23 19:11:00</t>
  </si>
  <si>
    <t>2026-02-02 16:40:26</t>
  </si>
  <si>
    <t>050-33088</t>
  </si>
  <si>
    <t>050-33089</t>
  </si>
  <si>
    <t>050-33090</t>
  </si>
  <si>
    <t>050-33091</t>
  </si>
  <si>
    <t>050-33092</t>
  </si>
  <si>
    <t>050-33095</t>
  </si>
  <si>
    <t>120-33602</t>
  </si>
  <si>
    <t>120-155405</t>
  </si>
  <si>
    <t>19497246</t>
  </si>
  <si>
    <t>WILSON MARTINEZ</t>
  </si>
  <si>
    <t>1019145630</t>
  </si>
  <si>
    <t>JEFRY STIVEN MEDINA SANDOVAL</t>
  </si>
  <si>
    <t>2026-02-05 13:40:17</t>
  </si>
  <si>
    <t>2026-02-24 14:07:00</t>
  </si>
  <si>
    <t>2026-01-15 12:54:06</t>
  </si>
  <si>
    <t>050-33096</t>
  </si>
  <si>
    <t>050-33097</t>
  </si>
  <si>
    <t>050-33099</t>
  </si>
  <si>
    <t>91108186</t>
  </si>
  <si>
    <t xml:space="preserve">RICARDO  MARIN </t>
  </si>
  <si>
    <t>327-8210</t>
  </si>
  <si>
    <t>327-4760</t>
  </si>
  <si>
    <t>900488811</t>
  </si>
  <si>
    <t>INOXIDABLES DEL ORIENTE SAS</t>
  </si>
  <si>
    <t>1098734621</t>
  </si>
  <si>
    <t xml:space="preserve">JHONATAN  GONZALEZ </t>
  </si>
  <si>
    <t>2026-01-27 10:40:10</t>
  </si>
  <si>
    <t>2026-02-28 09:31:00</t>
  </si>
  <si>
    <t>2026-01-23 11:13:36</t>
  </si>
  <si>
    <t>051-9856</t>
  </si>
  <si>
    <t>051-9863</t>
  </si>
  <si>
    <t>306-85048</t>
  </si>
  <si>
    <t>C33-13657</t>
  </si>
  <si>
    <t>1100969536</t>
  </si>
  <si>
    <t>CARLOS ALBERTO HERNANDEZ</t>
  </si>
  <si>
    <t>1121918201</t>
  </si>
  <si>
    <t>SARA MILENA GIL GARCIA</t>
  </si>
  <si>
    <t>2026-01-28 14:40:18</t>
  </si>
  <si>
    <t>2026-02-23 15:22:00</t>
  </si>
  <si>
    <t>2026-01-26 14:53:10</t>
  </si>
  <si>
    <t>051-9865</t>
  </si>
  <si>
    <t>051-9866</t>
  </si>
  <si>
    <t>051-9867</t>
  </si>
  <si>
    <t>305-116621</t>
  </si>
  <si>
    <t>305-633790</t>
  </si>
  <si>
    <t>900780259</t>
  </si>
  <si>
    <t>SERVYMADERASMYM SAS</t>
  </si>
  <si>
    <t>2026-01-29 12:50:16</t>
  </si>
  <si>
    <t>2026-02-21 08:56:00</t>
  </si>
  <si>
    <t>2025-12-29 13:53:50</t>
  </si>
  <si>
    <t>900661726</t>
  </si>
  <si>
    <t>TECNICOL  SAS</t>
  </si>
  <si>
    <t>91296390</t>
  </si>
  <si>
    <t xml:space="preserve">RICARDO  MATAMOROS </t>
  </si>
  <si>
    <t>051-9874</t>
  </si>
  <si>
    <t>300-16389</t>
  </si>
  <si>
    <t>ZNS-52895</t>
  </si>
  <si>
    <t>2026-01-29 15:40:10</t>
  </si>
  <si>
    <t>2026-02-13 14:39:00</t>
  </si>
  <si>
    <t>2026-01-28 14:12:42</t>
  </si>
  <si>
    <t>305-117822</t>
  </si>
  <si>
    <t>C32-14692</t>
  </si>
  <si>
    <t>901586994</t>
  </si>
  <si>
    <t>UZIVO SAS</t>
  </si>
  <si>
    <t>2026-01-31 08:20:15</t>
  </si>
  <si>
    <t>2026-02-11 14:38:00</t>
  </si>
  <si>
    <t>2026-01-31 07:26:20</t>
  </si>
  <si>
    <t>305-117813</t>
  </si>
  <si>
    <t>C32-14693</t>
  </si>
  <si>
    <t>2026-01-31 08:20:18</t>
  </si>
  <si>
    <t>2026-02-11 12:09:00</t>
  </si>
  <si>
    <t>2026-01-30 16:08:15</t>
  </si>
  <si>
    <t>305-116863</t>
  </si>
  <si>
    <t>C32-14695</t>
  </si>
  <si>
    <t>2026-01-31 08:30:01</t>
  </si>
  <si>
    <t>2026-02-12 17:40:00</t>
  </si>
  <si>
    <t>2026-01-07 15:30:32</t>
  </si>
  <si>
    <t>051-9905</t>
  </si>
  <si>
    <t>051-9906</t>
  </si>
  <si>
    <t>305-117810</t>
  </si>
  <si>
    <t>C32-14696</t>
  </si>
  <si>
    <t>2026-01-31 08:30:02</t>
  </si>
  <si>
    <t>2026-02-11 15:59:00</t>
  </si>
  <si>
    <t>2026-01-30 15:43:50</t>
  </si>
  <si>
    <t>051-9907</t>
  </si>
  <si>
    <t>051-9908</t>
  </si>
  <si>
    <t>051-9917</t>
  </si>
  <si>
    <t>305-117824</t>
  </si>
  <si>
    <t>C32-14700</t>
  </si>
  <si>
    <t>2026-01-31 09:00:29</t>
  </si>
  <si>
    <t>2026-02-13 17:57:00</t>
  </si>
  <si>
    <t>2026-01-31 08:22:45</t>
  </si>
  <si>
    <t>051-9918</t>
  </si>
  <si>
    <t>051-9921</t>
  </si>
  <si>
    <t>305-117827</t>
  </si>
  <si>
    <t>C32-14701</t>
  </si>
  <si>
    <t>2026-01-31 10:40:20</t>
  </si>
  <si>
    <t>2026-02-13 10:27:00</t>
  </si>
  <si>
    <t>2026-01-31 08:40:17</t>
  </si>
  <si>
    <t>051-9922</t>
  </si>
  <si>
    <t>307-335213</t>
  </si>
  <si>
    <t>C34-115295</t>
  </si>
  <si>
    <t>901019859</t>
  </si>
  <si>
    <t>INVIEWD SAS SAS</t>
  </si>
  <si>
    <t>2026-01-31 13:00:17</t>
  </si>
  <si>
    <t>2026-02-18 16:54:00</t>
  </si>
  <si>
    <t>2026-01-20 14:25:25</t>
  </si>
  <si>
    <t>051-9923</t>
  </si>
  <si>
    <t>051-9930</t>
  </si>
  <si>
    <t>307-335927</t>
  </si>
  <si>
    <t>307-636660</t>
  </si>
  <si>
    <t>901444321</t>
  </si>
  <si>
    <t>INFRAESTRUCTURA  Y SUMINISTROS SAS</t>
  </si>
  <si>
    <t>1098794425</t>
  </si>
  <si>
    <t>MARIA ALEJANDRA PEÑA PEÑARANDA</t>
  </si>
  <si>
    <t>2026-01-31 13:40:21</t>
  </si>
  <si>
    <t>2026-02-18 07:31:00</t>
  </si>
  <si>
    <t>2026-01-27 13:04:40</t>
  </si>
  <si>
    <t>051-9931</t>
  </si>
  <si>
    <t>314-103443</t>
  </si>
  <si>
    <t>314-464200</t>
  </si>
  <si>
    <t>901205083</t>
  </si>
  <si>
    <t>LA ZONA  DEL FLEJE</t>
  </si>
  <si>
    <t>1090454639</t>
  </si>
  <si>
    <t>YULEISI PILAR BORJA VILLALBA</t>
  </si>
  <si>
    <t>2026-01-31 13:50:28</t>
  </si>
  <si>
    <t>2026-02-18 10:32:00</t>
  </si>
  <si>
    <t>2026-01-30 10:18:23</t>
  </si>
  <si>
    <t>051-9932</t>
  </si>
  <si>
    <t>051-9933</t>
  </si>
  <si>
    <t>305-117773</t>
  </si>
  <si>
    <t>305-633884</t>
  </si>
  <si>
    <t>1095812096</t>
  </si>
  <si>
    <t>EDWAR DAVID MUÑOZ VILLAREAL</t>
  </si>
  <si>
    <t>2026-02-17 17:32:00</t>
  </si>
  <si>
    <t>2026-01-29 16:37:55</t>
  </si>
  <si>
    <t>051-9936</t>
  </si>
  <si>
    <t>323-9813</t>
  </si>
  <si>
    <t>323-5370</t>
  </si>
  <si>
    <t>901654669</t>
  </si>
  <si>
    <t>GERSON GELVEZ ARQUITECTURA Y CONSTRUCCION SA</t>
  </si>
  <si>
    <t>1090372539</t>
  </si>
  <si>
    <t xml:space="preserve">EDINSON  RIVERA </t>
  </si>
  <si>
    <t>2026-02-02 07:30:00</t>
  </si>
  <si>
    <t>2026-02-19 10:42:00</t>
  </si>
  <si>
    <t>2026-01-10 14:49:39</t>
  </si>
  <si>
    <t>051-9937</t>
  </si>
  <si>
    <t>323-9821</t>
  </si>
  <si>
    <t>323-5371</t>
  </si>
  <si>
    <t>2026-02-02 07:50:00</t>
  </si>
  <si>
    <t>2026-02-19 15:05:00</t>
  </si>
  <si>
    <t>2026-01-13 13:02:51</t>
  </si>
  <si>
    <t>051-9938</t>
  </si>
  <si>
    <t>051-9939</t>
  </si>
  <si>
    <t>051-9940</t>
  </si>
  <si>
    <t>051-9943</t>
  </si>
  <si>
    <t>323-9873</t>
  </si>
  <si>
    <t>323-5372</t>
  </si>
  <si>
    <t>2026-02-02 08:00:00</t>
  </si>
  <si>
    <t>2026-02-20 16:02:00</t>
  </si>
  <si>
    <t>2026-01-20 08:06:19</t>
  </si>
  <si>
    <t>051-9945</t>
  </si>
  <si>
    <t>314-103242</t>
  </si>
  <si>
    <t>C52-15482</t>
  </si>
  <si>
    <t>900642581</t>
  </si>
  <si>
    <t>ECO CONSTRUCCIONES VERSATILES</t>
  </si>
  <si>
    <t>2026-02-02 08:40:03</t>
  </si>
  <si>
    <t>2026-02-19 15:32:00</t>
  </si>
  <si>
    <t>2026-01-26 11:11:10</t>
  </si>
  <si>
    <t>051-9946</t>
  </si>
  <si>
    <t>051-9948</t>
  </si>
  <si>
    <t>306-84386</t>
  </si>
  <si>
    <t>306-501254</t>
  </si>
  <si>
    <t>901794112</t>
  </si>
  <si>
    <t>CONSTRUCTORA  AMP SAS</t>
  </si>
  <si>
    <t>1098824250</t>
  </si>
  <si>
    <t xml:space="preserve">OSCAR  ROJAS </t>
  </si>
  <si>
    <t>2026-02-02 10:00:20</t>
  </si>
  <si>
    <t>2026-02-19 14:53:00</t>
  </si>
  <si>
    <t>2025-12-30 10:16:22</t>
  </si>
  <si>
    <t>051-9951</t>
  </si>
  <si>
    <t>051-9952</t>
  </si>
  <si>
    <t>051-9954</t>
  </si>
  <si>
    <t>316-57264</t>
  </si>
  <si>
    <t>316-128823</t>
  </si>
  <si>
    <t>860054453</t>
  </si>
  <si>
    <t>INDUSTRIAS DE INYECCIONES COLO INYECOL SAS</t>
  </si>
  <si>
    <t>1095920385</t>
  </si>
  <si>
    <t>MARGLA ANIXA ROLON MEZA</t>
  </si>
  <si>
    <t>2026-02-02 16:21:36</t>
  </si>
  <si>
    <t>2026-03-02 13:59:00</t>
  </si>
  <si>
    <t>2026-01-30 10:32:15</t>
  </si>
  <si>
    <t>051-9955</t>
  </si>
  <si>
    <t>051-9956</t>
  </si>
  <si>
    <t>051-9957</t>
  </si>
  <si>
    <t>326-5740</t>
  </si>
  <si>
    <t>326-2494</t>
  </si>
  <si>
    <t>91494379</t>
  </si>
  <si>
    <t>JORGE BALAGUERA</t>
  </si>
  <si>
    <t>1005482913</t>
  </si>
  <si>
    <t>LAURA LIZETH MENDOZA ROMERO</t>
  </si>
  <si>
    <t>2026-02-02 17:00:18</t>
  </si>
  <si>
    <t>2026-02-20 13:22:00</t>
  </si>
  <si>
    <t>2026-01-15 14:37:25</t>
  </si>
  <si>
    <t>051-9958</t>
  </si>
  <si>
    <t>051-9960</t>
  </si>
  <si>
    <t>051-9961</t>
  </si>
  <si>
    <t>050-33098</t>
  </si>
  <si>
    <t>050-33100</t>
  </si>
  <si>
    <t>050-33101</t>
  </si>
  <si>
    <t>118-96452</t>
  </si>
  <si>
    <t>118-288010</t>
  </si>
  <si>
    <t>901821593</t>
  </si>
  <si>
    <t>POLITECNICO SANTA BARBARA SAS</t>
  </si>
  <si>
    <t>1070961636</t>
  </si>
  <si>
    <t xml:space="preserve">ALEJANDRA  SARMIENTO </t>
  </si>
  <si>
    <t>2026-02-05 15:30:14</t>
  </si>
  <si>
    <t>2026-03-11 16:43:00</t>
  </si>
  <si>
    <t>2026-01-27 14:10:59</t>
  </si>
  <si>
    <t>050-33102</t>
  </si>
  <si>
    <t>051-9864</t>
  </si>
  <si>
    <t>051-9868</t>
  </si>
  <si>
    <t>051-9895</t>
  </si>
  <si>
    <t>051-9901</t>
  </si>
  <si>
    <t>051-9912</t>
  </si>
  <si>
    <t>305-116874</t>
  </si>
  <si>
    <t>C32-14697</t>
  </si>
  <si>
    <t>2026-01-31 08:30:08</t>
  </si>
  <si>
    <t>2026-02-11 07:23:00</t>
  </si>
  <si>
    <t>2026-01-07 17:02:02</t>
  </si>
  <si>
    <t>051-9919</t>
  </si>
  <si>
    <t>300-16469</t>
  </si>
  <si>
    <t>ZNS-52941</t>
  </si>
  <si>
    <t>2026-01-31 10:30:23</t>
  </si>
  <si>
    <t>2026-02-13 12:10:00</t>
  </si>
  <si>
    <t>2026-01-30 13:18:23</t>
  </si>
  <si>
    <t>051-9920</t>
  </si>
  <si>
    <t>051-9927</t>
  </si>
  <si>
    <t>051-9928</t>
  </si>
  <si>
    <t>051-9929</t>
  </si>
  <si>
    <t>051-9934</t>
  </si>
  <si>
    <t>051-9935</t>
  </si>
  <si>
    <t>051-9941</t>
  </si>
  <si>
    <t>051-9942</t>
  </si>
  <si>
    <t>051-9944</t>
  </si>
  <si>
    <t>051-9947</t>
  </si>
  <si>
    <t>051-9949</t>
  </si>
  <si>
    <t>051-9950</t>
  </si>
  <si>
    <t>051-9953</t>
  </si>
  <si>
    <t>300-16391</t>
  </si>
  <si>
    <t>ZNS-52971</t>
  </si>
  <si>
    <t>2026-02-02 15:00:18</t>
  </si>
  <si>
    <t>2026-02-20 15:00:00</t>
  </si>
  <si>
    <t>2026-01-28 14:31:41</t>
  </si>
  <si>
    <t>051-9959</t>
  </si>
  <si>
    <t>051-9963</t>
  </si>
  <si>
    <t>326-5799</t>
  </si>
  <si>
    <t>326-2497</t>
  </si>
  <si>
    <t>1098615717</t>
  </si>
  <si>
    <t>OLGA MORALES</t>
  </si>
  <si>
    <t>2026-02-03 11:20:14</t>
  </si>
  <si>
    <t>2026-02-20 17:50:00</t>
  </si>
  <si>
    <t>2026-01-30 15:21:23</t>
  </si>
  <si>
    <t>051-9966</t>
  </si>
  <si>
    <t>305-117991</t>
  </si>
  <si>
    <t>305-633985</t>
  </si>
  <si>
    <t>109594265</t>
  </si>
  <si>
    <t>DIEGO ALEJANDRO DUEÑAS</t>
  </si>
  <si>
    <t>1098611004</t>
  </si>
  <si>
    <t>LUDWING  SALCEDO GELVES</t>
  </si>
  <si>
    <t>2026-02-03 17:20:06</t>
  </si>
  <si>
    <t>2026-02-21 07:44:00</t>
  </si>
  <si>
    <t>2026-02-03 16:44:12</t>
  </si>
  <si>
    <t>051-9967</t>
  </si>
  <si>
    <t>051-9968</t>
  </si>
  <si>
    <t>313-126225</t>
  </si>
  <si>
    <t>313-257995</t>
  </si>
  <si>
    <t>91519698</t>
  </si>
  <si>
    <t>MAURICIO PRADA</t>
  </si>
  <si>
    <t>1095801549</t>
  </si>
  <si>
    <t xml:space="preserve">MERLY  MARTINEZ </t>
  </si>
  <si>
    <t>2026-02-04 11:50:18</t>
  </si>
  <si>
    <t>2026-02-19 17:04:00</t>
  </si>
  <si>
    <t>2026-02-03 13:10:28</t>
  </si>
  <si>
    <t>051-9970</t>
  </si>
  <si>
    <t>300-16540</t>
  </si>
  <si>
    <t>ZNS-52998</t>
  </si>
  <si>
    <t>901138380</t>
  </si>
  <si>
    <t>ABBARTEK  SAS</t>
  </si>
  <si>
    <t>2026-02-05 11:00:25</t>
  </si>
  <si>
    <t>2026-02-19 17:08:00</t>
  </si>
  <si>
    <t>2026-02-02 16:55:19</t>
  </si>
  <si>
    <t>051-9962</t>
  </si>
  <si>
    <t>323-9931</t>
  </si>
  <si>
    <t>323-5378</t>
  </si>
  <si>
    <t>2026-02-03 08:20:10</t>
  </si>
  <si>
    <t>2026-02-20 09:25:00</t>
  </si>
  <si>
    <t>2026-01-24 18:40:45</t>
  </si>
  <si>
    <t>051-9964</t>
  </si>
  <si>
    <t>051-9965</t>
  </si>
  <si>
    <t>051-9969</t>
  </si>
  <si>
    <t>300-16539</t>
  </si>
  <si>
    <t>ZNS-52994</t>
  </si>
  <si>
    <t>2026-02-05 08:50:22</t>
  </si>
  <si>
    <t>2026-02-19 17:29:00</t>
  </si>
  <si>
    <t>2026-02-02 16:42:20</t>
  </si>
  <si>
    <t>051-9976</t>
  </si>
  <si>
    <t>319-17257</t>
  </si>
  <si>
    <t>319-9699</t>
  </si>
  <si>
    <t>71665557</t>
  </si>
  <si>
    <t>CARLOS VASQUEZ</t>
  </si>
  <si>
    <t>1090464569</t>
  </si>
  <si>
    <t>FERNY DAYANNA CASTRO LOPEZ</t>
  </si>
  <si>
    <t>2026-02-05 17:30:00</t>
  </si>
  <si>
    <t>2026-02-20 13:30:00</t>
  </si>
  <si>
    <t>2026-02-05 10:27:23</t>
  </si>
  <si>
    <t>718-71465</t>
  </si>
  <si>
    <t>718-50855</t>
  </si>
  <si>
    <t>2026-02-03 13:50:06</t>
  </si>
  <si>
    <t>2026-02-11 13:19:00</t>
  </si>
  <si>
    <t>2026-02-02 08:49:24</t>
  </si>
  <si>
    <t>052-41888</t>
  </si>
  <si>
    <t>622-57541</t>
  </si>
  <si>
    <t>622-54961</t>
  </si>
  <si>
    <t>3402116</t>
  </si>
  <si>
    <t>JOHN PINEDA RUIZ</t>
  </si>
  <si>
    <t>1216718907</t>
  </si>
  <si>
    <t xml:space="preserve">JOHAN  RIVERA </t>
  </si>
  <si>
    <t>2026-02-03 16:24:37</t>
  </si>
  <si>
    <t>2026-02-11 13:53:00</t>
  </si>
  <si>
    <t>2026-02-03 10:03:12</t>
  </si>
  <si>
    <t>052-41896</t>
  </si>
  <si>
    <t>600-26376</t>
  </si>
  <si>
    <t>2026-02-04 09:58:45</t>
  </si>
  <si>
    <t>2026-02-12 08:12:00</t>
  </si>
  <si>
    <t>2026-01-20 15:46:41</t>
  </si>
  <si>
    <t>052-41898</t>
  </si>
  <si>
    <t>052-41905</t>
  </si>
  <si>
    <t>705-62889</t>
  </si>
  <si>
    <t>2026-02-04 11:47:11</t>
  </si>
  <si>
    <t>2026-02-12 16:57:00</t>
  </si>
  <si>
    <t>2026-02-04 07:17:30</t>
  </si>
  <si>
    <t>053-22973</t>
  </si>
  <si>
    <t>551-12105</t>
  </si>
  <si>
    <t>551-5631</t>
  </si>
  <si>
    <t>901943403</t>
  </si>
  <si>
    <t>INVERSIONES PRADITO SAS</t>
  </si>
  <si>
    <t>2026-01-26 10:20:29</t>
  </si>
  <si>
    <t>2026-02-03 09:09:00</t>
  </si>
  <si>
    <t>2026-01-23 20:47:55</t>
  </si>
  <si>
    <t>512-319413</t>
  </si>
  <si>
    <t>N12-210705</t>
  </si>
  <si>
    <t>901612326</t>
  </si>
  <si>
    <t xml:space="preserve">CONSTRUCCIONES PUERTO VELERO SAS </t>
  </si>
  <si>
    <t>2026-01-29 09:50:20</t>
  </si>
  <si>
    <t>2026-02-12 19:16:00</t>
  </si>
  <si>
    <t>2026-01-13 19:50:54</t>
  </si>
  <si>
    <t>053-23070</t>
  </si>
  <si>
    <t>515-220330</t>
  </si>
  <si>
    <t>2026-01-30 09:02:46</t>
  </si>
  <si>
    <t>2026-02-12 05:34:00</t>
  </si>
  <si>
    <t>2026-01-29 15:40:49</t>
  </si>
  <si>
    <t>901643292</t>
  </si>
  <si>
    <t>E Y C PROYECTOS Y SERVICIOS</t>
  </si>
  <si>
    <t>1083467943</t>
  </si>
  <si>
    <t xml:space="preserve">JULIMEY  THOMAS </t>
  </si>
  <si>
    <t>053-23084</t>
  </si>
  <si>
    <t>512-321487</t>
  </si>
  <si>
    <t>512-714953</t>
  </si>
  <si>
    <t>73568959</t>
  </si>
  <si>
    <t>CARLOS CALLE CARMONA</t>
  </si>
  <si>
    <t>2026-01-30 16:30:24</t>
  </si>
  <si>
    <t>2026-02-10 13:00:00</t>
  </si>
  <si>
    <t>2026-01-29 16:28:16</t>
  </si>
  <si>
    <t>053-23122</t>
  </si>
  <si>
    <t>551-12182</t>
  </si>
  <si>
    <t>551-5677</t>
  </si>
  <si>
    <t>19389922</t>
  </si>
  <si>
    <t>CAMILO ROJAS</t>
  </si>
  <si>
    <t>2026-01-31 20:00:00</t>
  </si>
  <si>
    <t>2026-02-10 10:10:00</t>
  </si>
  <si>
    <t>2026-01-29 20:09:03</t>
  </si>
  <si>
    <t>551-12218</t>
  </si>
  <si>
    <t>551-5686</t>
  </si>
  <si>
    <t>900546695</t>
  </si>
  <si>
    <t>ARQUI-INGENIERIA LBM SAS</t>
  </si>
  <si>
    <t>2026-01-31 20:50:00</t>
  </si>
  <si>
    <t>2026-02-10 12:30:00</t>
  </si>
  <si>
    <t>2026-01-31 17:05:49</t>
  </si>
  <si>
    <t>053-23132</t>
  </si>
  <si>
    <t>72157496</t>
  </si>
  <si>
    <t>LUIS ENRIQUE MARIANO MARICHAL</t>
  </si>
  <si>
    <t>053-23148</t>
  </si>
  <si>
    <t>524-76112</t>
  </si>
  <si>
    <t>524-59761</t>
  </si>
  <si>
    <t>2026-02-02 14:20:23</t>
  </si>
  <si>
    <t>2026-02-11 06:38:00</t>
  </si>
  <si>
    <t>2026-02-02 10:34:10</t>
  </si>
  <si>
    <t>053-23149</t>
  </si>
  <si>
    <t>550-8837</t>
  </si>
  <si>
    <t>ZNT-35649</t>
  </si>
  <si>
    <t>2026-02-02 14:50:19</t>
  </si>
  <si>
    <t>2026-02-18 18:38:00</t>
  </si>
  <si>
    <t>2026-02-02 10:39:09</t>
  </si>
  <si>
    <t>053-23154</t>
  </si>
  <si>
    <t>518-168671</t>
  </si>
  <si>
    <t>518-144163</t>
  </si>
  <si>
    <t>1129567099</t>
  </si>
  <si>
    <t>MARIALEXANDRA RIZO</t>
  </si>
  <si>
    <t>2026-02-02 15:40:20</t>
  </si>
  <si>
    <t>2026-02-10 16:38:00</t>
  </si>
  <si>
    <t>2026-01-09 11:24:50</t>
  </si>
  <si>
    <t>053-23156</t>
  </si>
  <si>
    <t>515-220686</t>
  </si>
  <si>
    <t>515-746698</t>
  </si>
  <si>
    <t>901254847</t>
  </si>
  <si>
    <t>MUEBLES Y DISEÑOS RYF SAS</t>
  </si>
  <si>
    <t>2026-02-03 10:30:19</t>
  </si>
  <si>
    <t>2026-02-13 06:10:00</t>
  </si>
  <si>
    <t>2026-02-03 09:56:02</t>
  </si>
  <si>
    <t>524-76114</t>
  </si>
  <si>
    <t>524-59884</t>
  </si>
  <si>
    <t>901499225</t>
  </si>
  <si>
    <t xml:space="preserve">PRACTICOCINAS DEL CARIBE SAS </t>
  </si>
  <si>
    <t>2026-02-03 15:20:28</t>
  </si>
  <si>
    <t>2026-02-11 10:30:00</t>
  </si>
  <si>
    <t>2026-02-02 10:35:34</t>
  </si>
  <si>
    <t>053-23162</t>
  </si>
  <si>
    <t>053-23164</t>
  </si>
  <si>
    <t>520-46807</t>
  </si>
  <si>
    <t>520-32405</t>
  </si>
  <si>
    <t>1065821362</t>
  </si>
  <si>
    <t>CRHISTIAN ANDRES OSPINO MARTINEZ</t>
  </si>
  <si>
    <t>1065629842</t>
  </si>
  <si>
    <t xml:space="preserve">JOAN  CASTAÑO </t>
  </si>
  <si>
    <t>2026-02-03 16:00:13</t>
  </si>
  <si>
    <t>2026-02-12 17:02:00</t>
  </si>
  <si>
    <t>2026-01-31 12:31:58</t>
  </si>
  <si>
    <t>053-23168</t>
  </si>
  <si>
    <t>053-23169</t>
  </si>
  <si>
    <t>053-23173</t>
  </si>
  <si>
    <t>524-70874</t>
  </si>
  <si>
    <t>524-59917</t>
  </si>
  <si>
    <t>50872287</t>
  </si>
  <si>
    <t>ROSIRIS PATERNINA</t>
  </si>
  <si>
    <t>15429184</t>
  </si>
  <si>
    <t>IGNACIO  NOREÑA GONZALEZ</t>
  </si>
  <si>
    <t>2026-02-04 10:20:52</t>
  </si>
  <si>
    <t>2026-02-11 20:03:00</t>
  </si>
  <si>
    <t>2025-12-09 12:52:54</t>
  </si>
  <si>
    <t>053-23174</t>
  </si>
  <si>
    <t>518-171266</t>
  </si>
  <si>
    <t>518-144376</t>
  </si>
  <si>
    <t>1140850867</t>
  </si>
  <si>
    <t>JORGE CAMILO ARTEL</t>
  </si>
  <si>
    <t>2026-02-04 13:50:09</t>
  </si>
  <si>
    <t>2026-02-12 06:56:00</t>
  </si>
  <si>
    <t>2026-02-03 09:49:38</t>
  </si>
  <si>
    <t>053-23175</t>
  </si>
  <si>
    <t>053-23177</t>
  </si>
  <si>
    <t>524-76195</t>
  </si>
  <si>
    <t>524-59963</t>
  </si>
  <si>
    <t>901592657</t>
  </si>
  <si>
    <t>T Y Z CONSTRUCCIONES SAS SAS</t>
  </si>
  <si>
    <t>2026-02-04 15:00:10</t>
  </si>
  <si>
    <t>2026-02-12 12:37:00</t>
  </si>
  <si>
    <t>2026-02-03 08:11:19</t>
  </si>
  <si>
    <t>053-23179</t>
  </si>
  <si>
    <t>053-23184</t>
  </si>
  <si>
    <t>550-8720</t>
  </si>
  <si>
    <t>550-44</t>
  </si>
  <si>
    <t>2026-02-04 16:50:27</t>
  </si>
  <si>
    <t>2026-02-21 07:31:00</t>
  </si>
  <si>
    <t>2026-01-25 13:32:08</t>
  </si>
  <si>
    <t>053-23185</t>
  </si>
  <si>
    <t>053-23186</t>
  </si>
  <si>
    <t>550-8721</t>
  </si>
  <si>
    <t>550-45</t>
  </si>
  <si>
    <t>2026-02-04 17:00:19</t>
  </si>
  <si>
    <t>2026-02-23 06:08:00</t>
  </si>
  <si>
    <t>2026-01-25 13:51:07</t>
  </si>
  <si>
    <t>053-23188</t>
  </si>
  <si>
    <t>550-8741</t>
  </si>
  <si>
    <t>550-46</t>
  </si>
  <si>
    <t>2026-02-04 17:00:25</t>
  </si>
  <si>
    <t>2026-02-21 07:54:00</t>
  </si>
  <si>
    <t>2026-01-26 21:24:57</t>
  </si>
  <si>
    <t>053-23192</t>
  </si>
  <si>
    <t>518-171195</t>
  </si>
  <si>
    <t>N18-5378</t>
  </si>
  <si>
    <t>2026-02-04 17:00:38</t>
  </si>
  <si>
    <t>2026-02-12 15:34:00</t>
  </si>
  <si>
    <t>2026-02-02 13:53:18</t>
  </si>
  <si>
    <t>053-23197</t>
  </si>
  <si>
    <t>550-8742</t>
  </si>
  <si>
    <t>550-47</t>
  </si>
  <si>
    <t>2026-02-04 17:10:17</t>
  </si>
  <si>
    <t>2026-02-23 05:59:00</t>
  </si>
  <si>
    <t>2026-01-26 22:05:18</t>
  </si>
  <si>
    <t>053-23199</t>
  </si>
  <si>
    <t>507-199510</t>
  </si>
  <si>
    <t>507-772493</t>
  </si>
  <si>
    <t>73201653</t>
  </si>
  <si>
    <t>PEDRO AGUSTIN CESPEDES MARQUEZ</t>
  </si>
  <si>
    <t>85451032</t>
  </si>
  <si>
    <t xml:space="preserve">ALCIDES  MORALES </t>
  </si>
  <si>
    <t>2026-02-05 08:40:13</t>
  </si>
  <si>
    <t>2026-02-18 12:13:00</t>
  </si>
  <si>
    <t>2026-02-05 08:04:34</t>
  </si>
  <si>
    <t>053-23200</t>
  </si>
  <si>
    <t>512-315488</t>
  </si>
  <si>
    <t>512-715400</t>
  </si>
  <si>
    <t>901855407</t>
  </si>
  <si>
    <t xml:space="preserve">CONSORCIO CARIBE 2024 </t>
  </si>
  <si>
    <t>1051886572</t>
  </si>
  <si>
    <t>TATIANA PAOLA NARVAEZ ORTIZ</t>
  </si>
  <si>
    <t>2026-02-05 09:40:26</t>
  </si>
  <si>
    <t>2026-02-19 11:37:00</t>
  </si>
  <si>
    <t>2025-12-03 08:29:01</t>
  </si>
  <si>
    <t>053-23202</t>
  </si>
  <si>
    <t>053-23203</t>
  </si>
  <si>
    <t>501-309685</t>
  </si>
  <si>
    <t>501-637039</t>
  </si>
  <si>
    <t>72231849</t>
  </si>
  <si>
    <t>ROQUE DE JESUS ULLOQUE MORALES</t>
  </si>
  <si>
    <t>2026-02-05 12:30:13</t>
  </si>
  <si>
    <t>2026-02-18 22:48:00</t>
  </si>
  <si>
    <t>2026-02-05 10:52:20</t>
  </si>
  <si>
    <t>053-23205</t>
  </si>
  <si>
    <t>523-18893</t>
  </si>
  <si>
    <t>N23-649</t>
  </si>
  <si>
    <t>18009823</t>
  </si>
  <si>
    <t>LEONARD AUGUSTO FERNANDEZ FORBES</t>
  </si>
  <si>
    <t>2026-02-05 12:50:03</t>
  </si>
  <si>
    <t>2026-02-20 08:29:00</t>
  </si>
  <si>
    <t>2026-01-27 13:32:10</t>
  </si>
  <si>
    <t>053-23206</t>
  </si>
  <si>
    <t>2026-02-05 12:50:04</t>
  </si>
  <si>
    <t>053-23208</t>
  </si>
  <si>
    <t>511-231734</t>
  </si>
  <si>
    <t>N11-18611</t>
  </si>
  <si>
    <t>8692610</t>
  </si>
  <si>
    <t>DAVID VELASQUEZ RETAMOZO</t>
  </si>
  <si>
    <t>2026-02-05 15:00:11</t>
  </si>
  <si>
    <t>2026-02-19 11:43:00</t>
  </si>
  <si>
    <t>2026-02-05 08:08:12</t>
  </si>
  <si>
    <t>053-23209</t>
  </si>
  <si>
    <t>550-8891</t>
  </si>
  <si>
    <t>550-49</t>
  </si>
  <si>
    <t>2026-02-19 08:32:00</t>
  </si>
  <si>
    <t>2026-02-05 10:40:41</t>
  </si>
  <si>
    <t>053-23212</t>
  </si>
  <si>
    <t>550-8894</t>
  </si>
  <si>
    <t>550-52</t>
  </si>
  <si>
    <t>2026-02-05 15:40:10</t>
  </si>
  <si>
    <t>2026-02-05 11:17:04</t>
  </si>
  <si>
    <t>053-23214</t>
  </si>
  <si>
    <t>512-322193</t>
  </si>
  <si>
    <t>512-715474</t>
  </si>
  <si>
    <t>1143395785</t>
  </si>
  <si>
    <t>BELKYS ESCORCIAS GOMEZ</t>
  </si>
  <si>
    <t>45541902</t>
  </si>
  <si>
    <t xml:space="preserve">JHOHANA  CARREAZO </t>
  </si>
  <si>
    <t>2026-02-05 16:10:12</t>
  </si>
  <si>
    <t>2026-02-20 13:11:00</t>
  </si>
  <si>
    <t>2026-02-04 18:05:35</t>
  </si>
  <si>
    <t>053-23216</t>
  </si>
  <si>
    <t>512-322312</t>
  </si>
  <si>
    <t>N12-210758</t>
  </si>
  <si>
    <t>2026-02-05 16:40:17</t>
  </si>
  <si>
    <t>2026-02-20 09:26:00</t>
  </si>
  <si>
    <t>2026-02-05 14:45:29</t>
  </si>
  <si>
    <t>053-23218</t>
  </si>
  <si>
    <t>550-8744</t>
  </si>
  <si>
    <t>550-53</t>
  </si>
  <si>
    <t>901633166</t>
  </si>
  <si>
    <t>DREAMHOME LS SAS</t>
  </si>
  <si>
    <t>2026-02-06 09:50:09</t>
  </si>
  <si>
    <t>2026-02-19 10:55:00</t>
  </si>
  <si>
    <t>2026-01-27 09:52:36</t>
  </si>
  <si>
    <t>AGNRMBC106</t>
  </si>
  <si>
    <t>053-23220</t>
  </si>
  <si>
    <t>053-23221</t>
  </si>
  <si>
    <t>053-23223</t>
  </si>
  <si>
    <t>515-220983</t>
  </si>
  <si>
    <t>515-746922</t>
  </si>
  <si>
    <t>901991564</t>
  </si>
  <si>
    <t>MADEIRA DISEÑOS  Y MANUFACTURA SAS</t>
  </si>
  <si>
    <t>2026-02-06 10:20:14</t>
  </si>
  <si>
    <t>2026-02-23 06:00:00</t>
  </si>
  <si>
    <t>2026-02-06 08:31:38</t>
  </si>
  <si>
    <t>054-1432</t>
  </si>
  <si>
    <t>208-219129</t>
  </si>
  <si>
    <t>C21-15513</t>
  </si>
  <si>
    <t>901918997</t>
  </si>
  <si>
    <t>JHON PINZON DISEÑO Y CONSTRUCCION SAS</t>
  </si>
  <si>
    <t>2026-02-06 08:30:15</t>
  </si>
  <si>
    <t>2026-02-07 10:43:00</t>
  </si>
  <si>
    <t>2026-02-05 10:20:53</t>
  </si>
  <si>
    <t>064-8234</t>
  </si>
  <si>
    <t>600-26463</t>
  </si>
  <si>
    <t>2026-01-24 11:37:35</t>
  </si>
  <si>
    <t>2026-02-09 09:30:00</t>
  </si>
  <si>
    <t>2026-01-24 08:34:42</t>
  </si>
  <si>
    <t>064-8335</t>
  </si>
  <si>
    <t>700-33608</t>
  </si>
  <si>
    <t>1020452939</t>
  </si>
  <si>
    <t>DINAMO MOBILIARIO</t>
  </si>
  <si>
    <t>2026-01-30 17:19:44</t>
  </si>
  <si>
    <t>2026-02-09 11:29:00</t>
  </si>
  <si>
    <t>2026-01-30 15:37:51</t>
  </si>
  <si>
    <t>064-8337</t>
  </si>
  <si>
    <t>600-26424</t>
  </si>
  <si>
    <t>ZNO-215054</t>
  </si>
  <si>
    <t>2026-01-30 17:40:00</t>
  </si>
  <si>
    <t>2026-02-13 13:19:00</t>
  </si>
  <si>
    <t>2026-01-22 15:47:29</t>
  </si>
  <si>
    <t>064-8338</t>
  </si>
  <si>
    <t>064-8339</t>
  </si>
  <si>
    <t>2026-01-30 17:40:01</t>
  </si>
  <si>
    <t>064-8340</t>
  </si>
  <si>
    <t>606-189683</t>
  </si>
  <si>
    <t>606-533988</t>
  </si>
  <si>
    <t>901809199</t>
  </si>
  <si>
    <t>INNOVARTE CONSTRUCCIONES SAS</t>
  </si>
  <si>
    <t>2026-01-31 13:40:17</t>
  </si>
  <si>
    <t>2026-02-10 12:03:00</t>
  </si>
  <si>
    <t>2026-01-29 16:59:31</t>
  </si>
  <si>
    <t>064-8356</t>
  </si>
  <si>
    <t>629-23077</t>
  </si>
  <si>
    <t>629-14258</t>
  </si>
  <si>
    <t>1036632692</t>
  </si>
  <si>
    <t>ALEXIS LONDOÑO</t>
  </si>
  <si>
    <t>2026-01-31 15:10:00</t>
  </si>
  <si>
    <t>2026-02-12 17:46:00</t>
  </si>
  <si>
    <t>2026-01-29 12:05:35</t>
  </si>
  <si>
    <t>064-8359</t>
  </si>
  <si>
    <t>064-8363</t>
  </si>
  <si>
    <t>702-387742</t>
  </si>
  <si>
    <t>702-623560</t>
  </si>
  <si>
    <t>901496856</t>
  </si>
  <si>
    <t xml:space="preserve">PARCELACION TESORO UNO SAS </t>
  </si>
  <si>
    <t>43252113</t>
  </si>
  <si>
    <t xml:space="preserve">TATIANA  GUTIERREZ </t>
  </si>
  <si>
    <t>2026-02-03 13:00:13</t>
  </si>
  <si>
    <t>2026-02-11 16:48:00</t>
  </si>
  <si>
    <t>2026-01-14 14:23:03</t>
  </si>
  <si>
    <t>064-8364</t>
  </si>
  <si>
    <t>700-33561</t>
  </si>
  <si>
    <t>2026-02-03 18:56:32</t>
  </si>
  <si>
    <t>2026-02-14 14:42:00</t>
  </si>
  <si>
    <t>2026-01-28 19:22:03</t>
  </si>
  <si>
    <t>064-8365</t>
  </si>
  <si>
    <t>600-26340</t>
  </si>
  <si>
    <t>2026-02-04 10:26:55</t>
  </si>
  <si>
    <t>2026-02-12 09:56:00</t>
  </si>
  <si>
    <t>2026-01-19 08:13:51</t>
  </si>
  <si>
    <t>064-8370</t>
  </si>
  <si>
    <t>618-160828</t>
  </si>
  <si>
    <t>618-652903</t>
  </si>
  <si>
    <t>39288988</t>
  </si>
  <si>
    <t>LEIDY LILIANA USUGA TAMAYO</t>
  </si>
  <si>
    <t>2026-02-04 10:50:19</t>
  </si>
  <si>
    <t>2026-02-13 19:48:00</t>
  </si>
  <si>
    <t>2026-01-21 15:55:08</t>
  </si>
  <si>
    <t>064-8373</t>
  </si>
  <si>
    <t>700-33248</t>
  </si>
  <si>
    <t>2026-02-04 12:10:26</t>
  </si>
  <si>
    <t>2026-02-14 15:08:00</t>
  </si>
  <si>
    <t>2026-01-09 12:19:31</t>
  </si>
  <si>
    <t>064-8377</t>
  </si>
  <si>
    <t>616-130537</t>
  </si>
  <si>
    <t>616-258109</t>
  </si>
  <si>
    <t>1098750401</t>
  </si>
  <si>
    <t>DAYANA CONTRERAS</t>
  </si>
  <si>
    <t>2026-02-04 16:20:07</t>
  </si>
  <si>
    <t>2026-02-14 12:26:00</t>
  </si>
  <si>
    <t>2026-02-03 10:18:57</t>
  </si>
  <si>
    <t>064-8379</t>
  </si>
  <si>
    <t>064-8380</t>
  </si>
  <si>
    <t>701-437722</t>
  </si>
  <si>
    <t>701-630346</t>
  </si>
  <si>
    <t>1144141097</t>
  </si>
  <si>
    <t>LAINEKER ROMAN</t>
  </si>
  <si>
    <t>2026-02-05 11:30:07</t>
  </si>
  <si>
    <t>2026-02-14 11:10:00</t>
  </si>
  <si>
    <t>2026-01-31 11:43:21</t>
  </si>
  <si>
    <t>064-8381</t>
  </si>
  <si>
    <t>064-8382</t>
  </si>
  <si>
    <t>065-21546</t>
  </si>
  <si>
    <t>700-33361</t>
  </si>
  <si>
    <t>2026-01-20 13:01:58</t>
  </si>
  <si>
    <t>2026-03-25 17:05:00</t>
  </si>
  <si>
    <t>2026-01-19 12:50:23</t>
  </si>
  <si>
    <t>065-21653</t>
  </si>
  <si>
    <t>412-252275</t>
  </si>
  <si>
    <t>S12-17261</t>
  </si>
  <si>
    <t>2026-01-22 11:30:11</t>
  </si>
  <si>
    <t>2026-02-16 16:23:00</t>
  </si>
  <si>
    <t>2025-12-19 17:26:56</t>
  </si>
  <si>
    <t>065-21654</t>
  </si>
  <si>
    <t>065-21658</t>
  </si>
  <si>
    <t>065-21750</t>
  </si>
  <si>
    <t>102-258616</t>
  </si>
  <si>
    <t>102-498663</t>
  </si>
  <si>
    <t>900819772</t>
  </si>
  <si>
    <t>MULTIVENTANAS SAS</t>
  </si>
  <si>
    <t>1024484261</t>
  </si>
  <si>
    <t xml:space="preserve">WILMAR  CUENCA </t>
  </si>
  <si>
    <t>2026-01-27 09:50:12</t>
  </si>
  <si>
    <t>2026-02-16 19:51:00</t>
  </si>
  <si>
    <t>2026-01-26 16:36:35</t>
  </si>
  <si>
    <t>065-21751</t>
  </si>
  <si>
    <t>102-258065</t>
  </si>
  <si>
    <t>102-498664</t>
  </si>
  <si>
    <t>2026-01-27 09:50:13</t>
  </si>
  <si>
    <t>2026-01-16 08:56:19</t>
  </si>
  <si>
    <t>065-21756</t>
  </si>
  <si>
    <t>700-33518</t>
  </si>
  <si>
    <t>2026-01-27 15:13:50</t>
  </si>
  <si>
    <t>2026-03-10 19:09:00</t>
  </si>
  <si>
    <t>2026-01-27 09:56:12</t>
  </si>
  <si>
    <t>065-21801</t>
  </si>
  <si>
    <t>800-9508</t>
  </si>
  <si>
    <t>2026-01-28 16:43:20</t>
  </si>
  <si>
    <t>2026-02-18 16:52:00</t>
  </si>
  <si>
    <t>2026-01-26 15:50:54</t>
  </si>
  <si>
    <t>418-139431</t>
  </si>
  <si>
    <t>418-558044</t>
  </si>
  <si>
    <t>10496360</t>
  </si>
  <si>
    <t>OVER MENESES</t>
  </si>
  <si>
    <t>2026-01-29 09:40:17</t>
  </si>
  <si>
    <t>2026-02-12 09:42:00</t>
  </si>
  <si>
    <t>2025-11-25 09:51:00</t>
  </si>
  <si>
    <t>065-21807</t>
  </si>
  <si>
    <t>700-33539</t>
  </si>
  <si>
    <t>2026-01-29 14:50:23</t>
  </si>
  <si>
    <t>2026-02-14 12:25:00</t>
  </si>
  <si>
    <t>2026-01-28 10:36:43</t>
  </si>
  <si>
    <t>052-41883</t>
  </si>
  <si>
    <t>052-41885</t>
  </si>
  <si>
    <t>052-41889</t>
  </si>
  <si>
    <t>052-41890</t>
  </si>
  <si>
    <t>052-41891</t>
  </si>
  <si>
    <t>052-41892</t>
  </si>
  <si>
    <t>052-41895</t>
  </si>
  <si>
    <t>052-41897</t>
  </si>
  <si>
    <t>053-23039</t>
  </si>
  <si>
    <t>053-23040</t>
  </si>
  <si>
    <t>053-23071</t>
  </si>
  <si>
    <t>053-23072</t>
  </si>
  <si>
    <t>053-23085</t>
  </si>
  <si>
    <t>065-21826</t>
  </si>
  <si>
    <t>700-33543</t>
  </si>
  <si>
    <t>2026-01-29 14:50:37</t>
  </si>
  <si>
    <t>2026-02-18 13:21:00</t>
  </si>
  <si>
    <t>2026-01-28 11:44:56</t>
  </si>
  <si>
    <t>065-21827</t>
  </si>
  <si>
    <t>065-21828</t>
  </si>
  <si>
    <t>700-33548</t>
  </si>
  <si>
    <t>2026-01-29 14:50:41</t>
  </si>
  <si>
    <t>2026-02-18 07:20:00</t>
  </si>
  <si>
    <t>2026-01-28 12:14:56</t>
  </si>
  <si>
    <t>065-21831</t>
  </si>
  <si>
    <t>065-21832</t>
  </si>
  <si>
    <t>800-9415</t>
  </si>
  <si>
    <t>2026-01-29 15:17:55</t>
  </si>
  <si>
    <t>2026-02-14 11:57:00</t>
  </si>
  <si>
    <t>2026-01-16 23:00:23</t>
  </si>
  <si>
    <t>065-21834</t>
  </si>
  <si>
    <t>020-1505</t>
  </si>
  <si>
    <t>2026-01-29 15:21:40</t>
  </si>
  <si>
    <t>2026-02-13 07:55:00</t>
  </si>
  <si>
    <t>2026-01-29 14:19:59</t>
  </si>
  <si>
    <t>065-21835</t>
  </si>
  <si>
    <t>065-21837</t>
  </si>
  <si>
    <t>412-254421</t>
  </si>
  <si>
    <t>S12-17295</t>
  </si>
  <si>
    <t>2026-01-30 10:30:22</t>
  </si>
  <si>
    <t>2026-02-20 13:58:00</t>
  </si>
  <si>
    <t>2026-01-21 22:03:13</t>
  </si>
  <si>
    <t>065-21839</t>
  </si>
  <si>
    <t>065-21840</t>
  </si>
  <si>
    <t>020-1506</t>
  </si>
  <si>
    <t>2026-01-30 10:33:44</t>
  </si>
  <si>
    <t>2026-02-12 14:31:00</t>
  </si>
  <si>
    <t>2026-01-29 15:17:28</t>
  </si>
  <si>
    <t>065-21844</t>
  </si>
  <si>
    <t>200-25712</t>
  </si>
  <si>
    <t>ZBS-276176</t>
  </si>
  <si>
    <t>2026-01-30 13:40:13</t>
  </si>
  <si>
    <t>2026-02-23 19:28:00</t>
  </si>
  <si>
    <t>2026-01-24 11:53:13</t>
  </si>
  <si>
    <t>065-21845</t>
  </si>
  <si>
    <t>065-21846</t>
  </si>
  <si>
    <t>403-154855</t>
  </si>
  <si>
    <t>403-583918</t>
  </si>
  <si>
    <t>94459373</t>
  </si>
  <si>
    <t>ANDRES CUESTAS</t>
  </si>
  <si>
    <t>2026-01-31 09:10:17</t>
  </si>
  <si>
    <t>2026-02-12 17:07:00</t>
  </si>
  <si>
    <t>2026-01-26 16:24:38</t>
  </si>
  <si>
    <t>065-21854</t>
  </si>
  <si>
    <t>065-21857</t>
  </si>
  <si>
    <t>020-1507</t>
  </si>
  <si>
    <t>2026-01-31 10:13:01</t>
  </si>
  <si>
    <t>2026-02-18 14:52:00</t>
  </si>
  <si>
    <t>2026-01-31 10:00:24</t>
  </si>
  <si>
    <t>439-2846</t>
  </si>
  <si>
    <t>439-1225</t>
  </si>
  <si>
    <t>1002958894</t>
  </si>
  <si>
    <t>ANGGIE TATIANA MOLANO CORDOBA</t>
  </si>
  <si>
    <t>2026-01-31 13:20:29</t>
  </si>
  <si>
    <t>2026-02-11 20:01:00</t>
  </si>
  <si>
    <t>2026-01-15 11:33:12</t>
  </si>
  <si>
    <t>2026-02-12 07:58:00</t>
  </si>
  <si>
    <t>065-21865</t>
  </si>
  <si>
    <t>551-12167</t>
  </si>
  <si>
    <t>551-5666</t>
  </si>
  <si>
    <t>802009914</t>
  </si>
  <si>
    <t>VISION DEL LITORAL SAS</t>
  </si>
  <si>
    <t>2026-01-31 16:50:00</t>
  </si>
  <si>
    <t>2026-03-03 16:00:00</t>
  </si>
  <si>
    <t>2026-01-29 10:08:20</t>
  </si>
  <si>
    <t>065-21866</t>
  </si>
  <si>
    <t>435-6787</t>
  </si>
  <si>
    <t>435-2882</t>
  </si>
  <si>
    <t>2026-01-31 17:30:00</t>
  </si>
  <si>
    <t>2026-02-13 10:37:00</t>
  </si>
  <si>
    <t>2026-01-23 14:05:15</t>
  </si>
  <si>
    <t>065-21874</t>
  </si>
  <si>
    <t>410-189992</t>
  </si>
  <si>
    <t>410-629443</t>
  </si>
  <si>
    <t>72248694</t>
  </si>
  <si>
    <t>HUGO JARA</t>
  </si>
  <si>
    <t>1080188251</t>
  </si>
  <si>
    <t>JENNIFER PAOLA LONDOÑO RODRIGUEZ</t>
  </si>
  <si>
    <t>2026-02-02 10:36:13</t>
  </si>
  <si>
    <t>2026-02-14 10:23:00</t>
  </si>
  <si>
    <t>2026-01-30 13:43:26</t>
  </si>
  <si>
    <t>065-21879</t>
  </si>
  <si>
    <t>020-1510</t>
  </si>
  <si>
    <t>2026-02-02 12:32:27</t>
  </si>
  <si>
    <t>2026-02-12 07:53:00</t>
  </si>
  <si>
    <t>2026-02-02 08:45:25</t>
  </si>
  <si>
    <t>065-21884</t>
  </si>
  <si>
    <t>020-1512</t>
  </si>
  <si>
    <t>2026-02-02 14:16:16</t>
  </si>
  <si>
    <t>2026-02-13 19:50:00</t>
  </si>
  <si>
    <t>2026-02-02 13:52:50</t>
  </si>
  <si>
    <t>065-21886</t>
  </si>
  <si>
    <t>550-8838</t>
  </si>
  <si>
    <t>ZNT-35650</t>
  </si>
  <si>
    <t>2026-02-02 15:00:16</t>
  </si>
  <si>
    <t>2026-02-21 15:33:00</t>
  </si>
  <si>
    <t>2026-02-02 10:49:58</t>
  </si>
  <si>
    <t>065-21890</t>
  </si>
  <si>
    <t>418-141874</t>
  </si>
  <si>
    <t>418-558182</t>
  </si>
  <si>
    <t>MARINO MARTINEZ CORDOBA</t>
  </si>
  <si>
    <t>2026-02-03 09:30:01</t>
  </si>
  <si>
    <t>2026-02-13 11:08:00</t>
  </si>
  <si>
    <t>2026-01-27 09:28:22</t>
  </si>
  <si>
    <t>065-21894</t>
  </si>
  <si>
    <t>438-3794</t>
  </si>
  <si>
    <t>438-1625</t>
  </si>
  <si>
    <t>900178090</t>
  </si>
  <si>
    <t>FOFENOS MEDIA LTDA</t>
  </si>
  <si>
    <t>4877330</t>
  </si>
  <si>
    <t>KEVIN ISACK SANCHEZ CARDENAS</t>
  </si>
  <si>
    <t>2026-02-03 10:50:01</t>
  </si>
  <si>
    <t>2026-02-12 10:46:00</t>
  </si>
  <si>
    <t>2026-01-31 15:30:41</t>
  </si>
  <si>
    <t>065-21901</t>
  </si>
  <si>
    <t>429-14956</t>
  </si>
  <si>
    <t>429-5918</t>
  </si>
  <si>
    <t>1151961534</t>
  </si>
  <si>
    <t>CRISTIAN URBANO</t>
  </si>
  <si>
    <t>2026-02-03 15:50:05</t>
  </si>
  <si>
    <t>2026-02-12 17:06:00</t>
  </si>
  <si>
    <t>2026-01-31 10:25:21</t>
  </si>
  <si>
    <t>065-21904</t>
  </si>
  <si>
    <t>700-33627</t>
  </si>
  <si>
    <t>2026-02-03 16:16:32</t>
  </si>
  <si>
    <t>2026-02-12 17:34:00</t>
  </si>
  <si>
    <t>2026-02-02 09:23:03</t>
  </si>
  <si>
    <t>065-21907</t>
  </si>
  <si>
    <t>AGNRRVM415</t>
  </si>
  <si>
    <t>065-21908</t>
  </si>
  <si>
    <t>065-21909</t>
  </si>
  <si>
    <t>MFCAR06812</t>
  </si>
  <si>
    <t>065-21914</t>
  </si>
  <si>
    <t>423-103073</t>
  </si>
  <si>
    <t>S22-12283</t>
  </si>
  <si>
    <t>825001640</t>
  </si>
  <si>
    <t>INDUSTRIAS CRUZ DEL CARIBE LTDA</t>
  </si>
  <si>
    <t>6429750</t>
  </si>
  <si>
    <t>ERWIN ANTONIO MARIN DIAZ</t>
  </si>
  <si>
    <t>2026-02-18 17:50:00</t>
  </si>
  <si>
    <t>2025-12-15 15:29:34</t>
  </si>
  <si>
    <t>065-21916</t>
  </si>
  <si>
    <t>065-21926</t>
  </si>
  <si>
    <t>430-42928</t>
  </si>
  <si>
    <t>430-30125</t>
  </si>
  <si>
    <t>1113643941</t>
  </si>
  <si>
    <t>CAMILO OROZCO</t>
  </si>
  <si>
    <t>1113645416</t>
  </si>
  <si>
    <t>JONATTAN DAVID GARCIA DIAZ</t>
  </si>
  <si>
    <t>2026-02-04 10:20:22</t>
  </si>
  <si>
    <t>2026-02-13 07:58:00</t>
  </si>
  <si>
    <t>2026-02-02 08:43:48</t>
  </si>
  <si>
    <t>065-21927</t>
  </si>
  <si>
    <t>800-9585</t>
  </si>
  <si>
    <t>ZNA-106055</t>
  </si>
  <si>
    <t>2026-02-04 10:20:39</t>
  </si>
  <si>
    <t>2026-02-16 16:46:00</t>
  </si>
  <si>
    <t>2026-02-03 22:09:18</t>
  </si>
  <si>
    <t>065-21928</t>
  </si>
  <si>
    <t>065-21929</t>
  </si>
  <si>
    <t>753-161544</t>
  </si>
  <si>
    <t>753-631494</t>
  </si>
  <si>
    <t>93401249</t>
  </si>
  <si>
    <t>LUIS ALBERTO CARDOZO MORA</t>
  </si>
  <si>
    <t>1053786721</t>
  </si>
  <si>
    <t>ANGELA MARÍA ARIAS TABARES</t>
  </si>
  <si>
    <t>2026-02-04 10:40:06</t>
  </si>
  <si>
    <t>2026-02-13 18:20:00</t>
  </si>
  <si>
    <t>2026-02-03 09:40:34</t>
  </si>
  <si>
    <t>065-21931</t>
  </si>
  <si>
    <t>065-21935</t>
  </si>
  <si>
    <t>426-46999</t>
  </si>
  <si>
    <t>426-34742</t>
  </si>
  <si>
    <t>1085327017</t>
  </si>
  <si>
    <t>DIEGO ANDRES ROSERO</t>
  </si>
  <si>
    <t>6097543</t>
  </si>
  <si>
    <t xml:space="preserve">GEOVANNY  MARTINEZ </t>
  </si>
  <si>
    <t>2026-02-04 11:50:24</t>
  </si>
  <si>
    <t>2026-02-13 17:23:00</t>
  </si>
  <si>
    <t>2026-02-04 08:42:41</t>
  </si>
  <si>
    <t>065-21937</t>
  </si>
  <si>
    <t>800-9447</t>
  </si>
  <si>
    <t>ZNA-106057</t>
  </si>
  <si>
    <t>1234639281</t>
  </si>
  <si>
    <t xml:space="preserve">WENDY JULIETH TAPIERO </t>
  </si>
  <si>
    <t>2026-02-04 12:10:15</t>
  </si>
  <si>
    <t>2026-02-20 14:01:00</t>
  </si>
  <si>
    <t>2026-01-20 12:05:47</t>
  </si>
  <si>
    <t>065-21938</t>
  </si>
  <si>
    <t>065-21939</t>
  </si>
  <si>
    <t>800-9446</t>
  </si>
  <si>
    <t>ZNA-106058</t>
  </si>
  <si>
    <t>2026-02-04 12:10:17</t>
  </si>
  <si>
    <t>2026-02-19 08:48:00</t>
  </si>
  <si>
    <t>2026-01-20 11:45:30</t>
  </si>
  <si>
    <t>065-21940</t>
  </si>
  <si>
    <t>700-33566</t>
  </si>
  <si>
    <t>2026-02-04 12:41:51</t>
  </si>
  <si>
    <t>2026-02-16 08:27:00</t>
  </si>
  <si>
    <t>2026-01-29 10:17:03</t>
  </si>
  <si>
    <t>053-23118</t>
  </si>
  <si>
    <t>551-12177</t>
  </si>
  <si>
    <t>551-5668</t>
  </si>
  <si>
    <t>901501853</t>
  </si>
  <si>
    <t>EL BAUL DE CELIA SAS</t>
  </si>
  <si>
    <t>2026-02-10 08:49:00</t>
  </si>
  <si>
    <t>2026-01-29 15:14:07</t>
  </si>
  <si>
    <t>053-23121</t>
  </si>
  <si>
    <t>053-23129</t>
  </si>
  <si>
    <t>053-23131</t>
  </si>
  <si>
    <t>053-23145</t>
  </si>
  <si>
    <t>053-23146</t>
  </si>
  <si>
    <t>053-23147</t>
  </si>
  <si>
    <t>053-23150</t>
  </si>
  <si>
    <t>518-171199</t>
  </si>
  <si>
    <t>518-144150</t>
  </si>
  <si>
    <t>901980966</t>
  </si>
  <si>
    <t>HEALTHY HUNTERS SAS</t>
  </si>
  <si>
    <t>2026-02-02 15:00:09</t>
  </si>
  <si>
    <t>2026-02-10 13:46:00</t>
  </si>
  <si>
    <t>2026-02-02 14:20:52</t>
  </si>
  <si>
    <t>053-23151</t>
  </si>
  <si>
    <t>053-23158</t>
  </si>
  <si>
    <t>518-171016</t>
  </si>
  <si>
    <t>518-144251</t>
  </si>
  <si>
    <t>1140837500</t>
  </si>
  <si>
    <t>CRISTIAN CERTAIN CASTILLA</t>
  </si>
  <si>
    <t>2026-02-03 13:10:03</t>
  </si>
  <si>
    <t>2026-02-10 21:41:00</t>
  </si>
  <si>
    <t>2026-01-30 16:25:07</t>
  </si>
  <si>
    <t>053-23159</t>
  </si>
  <si>
    <t>053-23160</t>
  </si>
  <si>
    <t>053-23166</t>
  </si>
  <si>
    <t>053-23167</t>
  </si>
  <si>
    <t>053-23176</t>
  </si>
  <si>
    <t>053-23178</t>
  </si>
  <si>
    <t>053-23180</t>
  </si>
  <si>
    <t>053-23181</t>
  </si>
  <si>
    <t>053-23182</t>
  </si>
  <si>
    <t>053-23183</t>
  </si>
  <si>
    <t>550-8735</t>
  </si>
  <si>
    <t>ZNT-</t>
  </si>
  <si>
    <t>2026-02-04 16:20:29</t>
  </si>
  <si>
    <t>2026-02-12 06:39:00</t>
  </si>
  <si>
    <t>2026-01-26 15:00:47</t>
  </si>
  <si>
    <t>053-23187</t>
  </si>
  <si>
    <t>053-23189</t>
  </si>
  <si>
    <t>053-23190</t>
  </si>
  <si>
    <t>518-171518</t>
  </si>
  <si>
    <t>N18-5377</t>
  </si>
  <si>
    <t>2026-02-04 17:00:36</t>
  </si>
  <si>
    <t>2026-02-12 06:37:00</t>
  </si>
  <si>
    <t>2026-02-04 16:31:02</t>
  </si>
  <si>
    <t>053-23191</t>
  </si>
  <si>
    <t>053-23193</t>
  </si>
  <si>
    <t>053-23194</t>
  </si>
  <si>
    <t>550-8657</t>
  </si>
  <si>
    <t>ZNT-35657</t>
  </si>
  <si>
    <t>901087179</t>
  </si>
  <si>
    <t>PROMOTORA DE DESARROLLO INMOBI SAS</t>
  </si>
  <si>
    <t>2026-02-04 17:00:39</t>
  </si>
  <si>
    <t>2026-02-13 11:15:00</t>
  </si>
  <si>
    <t>2026-01-21 11:25:02</t>
  </si>
  <si>
    <t>053-23195</t>
  </si>
  <si>
    <t>053-23196</t>
  </si>
  <si>
    <t>053-23198</t>
  </si>
  <si>
    <t>053-23201</t>
  </si>
  <si>
    <t>053-23204</t>
  </si>
  <si>
    <t>053-23207</t>
  </si>
  <si>
    <t>053-23210</t>
  </si>
  <si>
    <t>550-8892</t>
  </si>
  <si>
    <t>550-50</t>
  </si>
  <si>
    <t>2026-02-05 15:30:17</t>
  </si>
  <si>
    <t>2026-02-05 11:07:18</t>
  </si>
  <si>
    <t>065-21941</t>
  </si>
  <si>
    <t>020-1513</t>
  </si>
  <si>
    <t>2026-02-04 13:52:19</t>
  </si>
  <si>
    <t>2026-03-07 10:16:00</t>
  </si>
  <si>
    <t>2026-02-03 12:23:44</t>
  </si>
  <si>
    <t>065-21942</t>
  </si>
  <si>
    <t>065-21946</t>
  </si>
  <si>
    <t>407-243403</t>
  </si>
  <si>
    <t>407-615516</t>
  </si>
  <si>
    <t>1113645338</t>
  </si>
  <si>
    <t>CAMILO MARTINEZ</t>
  </si>
  <si>
    <t>2026-02-04 15:40:26</t>
  </si>
  <si>
    <t>2026-02-17 12:22:00</t>
  </si>
  <si>
    <t>2026-01-30 12:04:54</t>
  </si>
  <si>
    <t>065-21948</t>
  </si>
  <si>
    <t>436-9923</t>
  </si>
  <si>
    <t>436-5248</t>
  </si>
  <si>
    <t>14605239</t>
  </si>
  <si>
    <t>MAURICIO CARDONA</t>
  </si>
  <si>
    <t>1107518985</t>
  </si>
  <si>
    <t>DANIELA  ARANGO BEDOYA</t>
  </si>
  <si>
    <t>2026-02-04 16:30:17</t>
  </si>
  <si>
    <t>2026-02-16 17:34:00</t>
  </si>
  <si>
    <t>2026-01-15 13:14:59</t>
  </si>
  <si>
    <t>065-21951</t>
  </si>
  <si>
    <t>407-243686</t>
  </si>
  <si>
    <t>407-615526</t>
  </si>
  <si>
    <t>901578494</t>
  </si>
  <si>
    <t>COLEGIO SANTO TOMAS SEC PREESCOLAR CAPERUCITA ROJA</t>
  </si>
  <si>
    <t>2026-02-04 17:10:18</t>
  </si>
  <si>
    <t>2026-02-16 13:27:00</t>
  </si>
  <si>
    <t>2026-02-04 16:26:09</t>
  </si>
  <si>
    <t>065-21954</t>
  </si>
  <si>
    <t>430-42890</t>
  </si>
  <si>
    <t>430-30151</t>
  </si>
  <si>
    <t>1114822128</t>
  </si>
  <si>
    <t>FELIPE ECHEVERRY</t>
  </si>
  <si>
    <t>2026-02-05 11:10:21</t>
  </si>
  <si>
    <t>2026-02-18 08:34:00</t>
  </si>
  <si>
    <t>2026-01-30 15:48:55</t>
  </si>
  <si>
    <t>065-21955</t>
  </si>
  <si>
    <t>065-21959</t>
  </si>
  <si>
    <t>400-9186</t>
  </si>
  <si>
    <t>ZSR-33013</t>
  </si>
  <si>
    <t>900192423</t>
  </si>
  <si>
    <t>KONSTRUIR INGENIERIA SA</t>
  </si>
  <si>
    <t>2026-02-05 14:20:08</t>
  </si>
  <si>
    <t>2026-02-24 19:09:00</t>
  </si>
  <si>
    <t>2026-01-13 15:19:32</t>
  </si>
  <si>
    <t>065-21960</t>
  </si>
  <si>
    <t>2026-02-05 14:20:09</t>
  </si>
  <si>
    <t>065-21963</t>
  </si>
  <si>
    <t>415-166432</t>
  </si>
  <si>
    <t>415-612326</t>
  </si>
  <si>
    <t>1113513653</t>
  </si>
  <si>
    <t>EDWARD QUINTERO</t>
  </si>
  <si>
    <t>2026-02-05 15:10:12</t>
  </si>
  <si>
    <t>2026-02-17 14:03:00</t>
  </si>
  <si>
    <t>2026-02-05 13:20:41</t>
  </si>
  <si>
    <t>065-21970</t>
  </si>
  <si>
    <t>435-6845</t>
  </si>
  <si>
    <t>435-2892</t>
  </si>
  <si>
    <t>900671976</t>
  </si>
  <si>
    <t>CAC CONSTRUCCIONES SAS</t>
  </si>
  <si>
    <t>2026-02-05 18:20:00</t>
  </si>
  <si>
    <t>2026-02-19 17:21:00</t>
  </si>
  <si>
    <t>2026-02-02 18:10:43</t>
  </si>
  <si>
    <t>053-23211</t>
  </si>
  <si>
    <t>550-8893</t>
  </si>
  <si>
    <t>550-51</t>
  </si>
  <si>
    <t>2026-02-05 15:30:31</t>
  </si>
  <si>
    <t>2026-02-05 11:11:16</t>
  </si>
  <si>
    <t>053-23213</t>
  </si>
  <si>
    <t>053-23215</t>
  </si>
  <si>
    <t>512-273178</t>
  </si>
  <si>
    <t>N12-210757</t>
  </si>
  <si>
    <t>2026-02-05 16:20:16</t>
  </si>
  <si>
    <t>2026-02-19 08:56:00</t>
  </si>
  <si>
    <t>2024-10-22 15:15:35</t>
  </si>
  <si>
    <t>053-23217</t>
  </si>
  <si>
    <t>053-23219</t>
  </si>
  <si>
    <t>AGNRBUS215</t>
  </si>
  <si>
    <t>053-23222</t>
  </si>
  <si>
    <t>053-23224</t>
  </si>
  <si>
    <t>053-23225</t>
  </si>
  <si>
    <t>064-8232</t>
  </si>
  <si>
    <t>600-26462</t>
  </si>
  <si>
    <t>2026-01-24 11:31:53</t>
  </si>
  <si>
    <t>2026-02-07 09:26:00</t>
  </si>
  <si>
    <t>2026-01-24 08:26:52</t>
  </si>
  <si>
    <t>064-8334</t>
  </si>
  <si>
    <t>064-8341</t>
  </si>
  <si>
    <t>064-8345</t>
  </si>
  <si>
    <t>064-8357</t>
  </si>
  <si>
    <t>064-8358</t>
  </si>
  <si>
    <t>064-8360</t>
  </si>
  <si>
    <t>629-23082</t>
  </si>
  <si>
    <t>629-14259</t>
  </si>
  <si>
    <t>71275009</t>
  </si>
  <si>
    <t>JOSE WILLIAM DELGADO DELGADO</t>
  </si>
  <si>
    <t>1115742348</t>
  </si>
  <si>
    <t>DIANA MARCELA LEAL CORDOBA</t>
  </si>
  <si>
    <t>2026-01-31 16:00:01</t>
  </si>
  <si>
    <t>2026-01-29 14:48:16</t>
  </si>
  <si>
    <t>064-8361</t>
  </si>
  <si>
    <t>064-8366</t>
  </si>
  <si>
    <t>064-8367</t>
  </si>
  <si>
    <t>064-8368</t>
  </si>
  <si>
    <t>064-8369</t>
  </si>
  <si>
    <t>700-33352</t>
  </si>
  <si>
    <t>ZNC-44538</t>
  </si>
  <si>
    <t>901768887</t>
  </si>
  <si>
    <t xml:space="preserve">IDEARQ CONTRUCTORA SAS </t>
  </si>
  <si>
    <t>2026-02-04 10:40:13</t>
  </si>
  <si>
    <t>2026-02-16 13:03:00</t>
  </si>
  <si>
    <t>2026-01-19 09:00:01</t>
  </si>
  <si>
    <t>064-8371</t>
  </si>
  <si>
    <t>064-8372</t>
  </si>
  <si>
    <t>064-8374</t>
  </si>
  <si>
    <t>064-8375</t>
  </si>
  <si>
    <t>601-190338</t>
  </si>
  <si>
    <t>A01-14764</t>
  </si>
  <si>
    <t>900938701</t>
  </si>
  <si>
    <t>PACTAR DESARROLLADOR  INMOBILIARIO SAS</t>
  </si>
  <si>
    <t>2026-02-05 10:30:19</t>
  </si>
  <si>
    <t>2026-02-21 15:27:00</t>
  </si>
  <si>
    <t>2026-02-04 14:35:30</t>
  </si>
  <si>
    <t>064-8376</t>
  </si>
  <si>
    <t>064-8378</t>
  </si>
  <si>
    <t>064-8383</t>
  </si>
  <si>
    <t>064-8384</t>
  </si>
  <si>
    <t>065-21547</t>
  </si>
  <si>
    <t>065-21652</t>
  </si>
  <si>
    <t>065-21655</t>
  </si>
  <si>
    <t>065-21656</t>
  </si>
  <si>
    <t>065-21657</t>
  </si>
  <si>
    <t>065-21747</t>
  </si>
  <si>
    <t>800-9416</t>
  </si>
  <si>
    <t>2026-01-26 18:56:59</t>
  </si>
  <si>
    <t>2026-02-12 12:15:00</t>
  </si>
  <si>
    <t>2026-01-16 23:06:57</t>
  </si>
  <si>
    <t>065-21757</t>
  </si>
  <si>
    <t>700-33517</t>
  </si>
  <si>
    <t>2026-01-27 15:24:29</t>
  </si>
  <si>
    <t>2026-02-13 09:16:00</t>
  </si>
  <si>
    <t>2026-01-27 09:55:10</t>
  </si>
  <si>
    <t>065-21817</t>
  </si>
  <si>
    <t>700-33540</t>
  </si>
  <si>
    <t>2026-01-29 14:50:28</t>
  </si>
  <si>
    <t>2026-02-14 12:40:00</t>
  </si>
  <si>
    <t>2026-01-28 10:49:49</t>
  </si>
  <si>
    <t>065-21822</t>
  </si>
  <si>
    <t>065-21829</t>
  </si>
  <si>
    <t>065-21838</t>
  </si>
  <si>
    <t>065-21842</t>
  </si>
  <si>
    <t>065-21843</t>
  </si>
  <si>
    <t>065-21847</t>
  </si>
  <si>
    <t>700-32774</t>
  </si>
  <si>
    <t>2026-01-30 15:17:00</t>
  </si>
  <si>
    <t>2026-02-17 09:10:00</t>
  </si>
  <si>
    <t>2025-12-03 19:54:24</t>
  </si>
  <si>
    <t>065-21848</t>
  </si>
  <si>
    <t>065-21849</t>
  </si>
  <si>
    <t>754-135332</t>
  </si>
  <si>
    <t>754-480206</t>
  </si>
  <si>
    <t>9808853</t>
  </si>
  <si>
    <t>CARLOS ARTURO OSORIO BEDOYA</t>
  </si>
  <si>
    <t>33817358</t>
  </si>
  <si>
    <t>CLARA PATRICIA BERNAL GARCIA</t>
  </si>
  <si>
    <t>2026-01-30 16:45:49</t>
  </si>
  <si>
    <t>2026-02-11 11:56:00</t>
  </si>
  <si>
    <t>2026-01-27 15:34:51</t>
  </si>
  <si>
    <t>065-21850</t>
  </si>
  <si>
    <t>065-21851</t>
  </si>
  <si>
    <t>065-21853</t>
  </si>
  <si>
    <t>065-21860</t>
  </si>
  <si>
    <t>704-305200</t>
  </si>
  <si>
    <t>704-778035</t>
  </si>
  <si>
    <t>98482468</t>
  </si>
  <si>
    <t>MAURIO JARAMILLO</t>
  </si>
  <si>
    <t>32142203</t>
  </si>
  <si>
    <t>ANID JOHANNA PRADA VELASQUEZ</t>
  </si>
  <si>
    <t>2026-01-31 14:40:07</t>
  </si>
  <si>
    <t>2026-02-12 16:56:00</t>
  </si>
  <si>
    <t>2026-01-28 16:52:07</t>
  </si>
  <si>
    <t>065-21864</t>
  </si>
  <si>
    <t>065-21870</t>
  </si>
  <si>
    <t>065-21871</t>
  </si>
  <si>
    <t>065-21875</t>
  </si>
  <si>
    <t>065-21876</t>
  </si>
  <si>
    <t>065-21878</t>
  </si>
  <si>
    <t>065-21880</t>
  </si>
  <si>
    <t>065-21881</t>
  </si>
  <si>
    <t>020-1511</t>
  </si>
  <si>
    <t>2026-02-02 13:38:26</t>
  </si>
  <si>
    <t>2026-02-11 14:11:00</t>
  </si>
  <si>
    <t>2026-02-02 13:32:41</t>
  </si>
  <si>
    <t>065-21882</t>
  </si>
  <si>
    <t>436-9887</t>
  </si>
  <si>
    <t>436-5234</t>
  </si>
  <si>
    <t>94384999</t>
  </si>
  <si>
    <t>JOSE RODRIGO RODRIGUEZ</t>
  </si>
  <si>
    <t>2026-02-02 14:10:11</t>
  </si>
  <si>
    <t>2026-01-10 12:49:57</t>
  </si>
  <si>
    <t>065-21885</t>
  </si>
  <si>
    <t>065-21891</t>
  </si>
  <si>
    <t>065-21895</t>
  </si>
  <si>
    <t>400-9185</t>
  </si>
  <si>
    <t>ZSR-33011</t>
  </si>
  <si>
    <t>901095203</t>
  </si>
  <si>
    <t>MODULAR SU OFICINA SU IMAGEN</t>
  </si>
  <si>
    <t>2026-02-03 11:40:15</t>
  </si>
  <si>
    <t>2026-02-11 18:45:00</t>
  </si>
  <si>
    <t>2026-01-08 14:41:14</t>
  </si>
  <si>
    <t>065-21905</t>
  </si>
  <si>
    <t>065-21906</t>
  </si>
  <si>
    <t>065-21910</t>
  </si>
  <si>
    <t>700-33603</t>
  </si>
  <si>
    <t>2026-02-03 16:29:33</t>
  </si>
  <si>
    <t>2026-03-16 17:25:00</t>
  </si>
  <si>
    <t>2026-01-30 13:06:27</t>
  </si>
  <si>
    <t>065-21911</t>
  </si>
  <si>
    <t>700-33602</t>
  </si>
  <si>
    <t>2026-02-03 16:42:28</t>
  </si>
  <si>
    <t>2026-02-19 10:08:00</t>
  </si>
  <si>
    <t>2026-01-30 13:03:27</t>
  </si>
  <si>
    <t>065-21912</t>
  </si>
  <si>
    <t>701-437903</t>
  </si>
  <si>
    <t>701-630237</t>
  </si>
  <si>
    <t>901462945</t>
  </si>
  <si>
    <t>CONSTRUCTORA CATALEYA APARTAMENTOS SAS</t>
  </si>
  <si>
    <t>1069470764</t>
  </si>
  <si>
    <t xml:space="preserve">JHONATAN  ACEVEDO </t>
  </si>
  <si>
    <t>2026-02-03 16:50:15</t>
  </si>
  <si>
    <t>2026-02-13 16:46:00</t>
  </si>
  <si>
    <t>2026-02-03 08:24:57</t>
  </si>
  <si>
    <t>065-21915</t>
  </si>
  <si>
    <t>065-21917</t>
  </si>
  <si>
    <t>065-21918</t>
  </si>
  <si>
    <t>430-41915</t>
  </si>
  <si>
    <t>430-30122</t>
  </si>
  <si>
    <t>1113681187</t>
  </si>
  <si>
    <t>JAIRO ANDRES RIOS</t>
  </si>
  <si>
    <t>2026-02-03 17:50:00</t>
  </si>
  <si>
    <t>2026-02-14 11:04:00</t>
  </si>
  <si>
    <t>2025-12-23 09:49:31</t>
  </si>
  <si>
    <t>065-21921</t>
  </si>
  <si>
    <t>065-21923</t>
  </si>
  <si>
    <t>065-21924</t>
  </si>
  <si>
    <t>065-21925</t>
  </si>
  <si>
    <t>065-21930</t>
  </si>
  <si>
    <t>AGNEAME236</t>
  </si>
  <si>
    <t>065-21932</t>
  </si>
  <si>
    <t>065-21933</t>
  </si>
  <si>
    <t>065-21934</t>
  </si>
  <si>
    <t>065-21936</t>
  </si>
  <si>
    <t>800-9448</t>
  </si>
  <si>
    <t>ZNA-106056</t>
  </si>
  <si>
    <t>2026-02-13 19:52:00</t>
  </si>
  <si>
    <t>2026-01-20 12:09:48</t>
  </si>
  <si>
    <t>065-21947</t>
  </si>
  <si>
    <t>065-21949</t>
  </si>
  <si>
    <t>065-21950</t>
  </si>
  <si>
    <t>065-21952</t>
  </si>
  <si>
    <t>065-21953</t>
  </si>
  <si>
    <t>065-21956</t>
  </si>
  <si>
    <t>436-10097</t>
  </si>
  <si>
    <t>436-5256</t>
  </si>
  <si>
    <t>1111763013</t>
  </si>
  <si>
    <t>KATHERINE OCORO</t>
  </si>
  <si>
    <t>2026-02-05 12:40:02</t>
  </si>
  <si>
    <t>2026-02-16 14:44:00</t>
  </si>
  <si>
    <t>2026-02-02 16:03:21</t>
  </si>
  <si>
    <t>065-21957</t>
  </si>
  <si>
    <t>065-21958</t>
  </si>
  <si>
    <t>065-21961</t>
  </si>
  <si>
    <t>065-21962</t>
  </si>
  <si>
    <t>065-21964</t>
  </si>
  <si>
    <t>400-9283</t>
  </si>
  <si>
    <t>ZSR-33014</t>
  </si>
  <si>
    <t>2026-02-05 16:00:37</t>
  </si>
  <si>
    <t>2026-02-17 09:22:00</t>
  </si>
  <si>
    <t>2026-02-04 16:36:25</t>
  </si>
  <si>
    <t>065-21971</t>
  </si>
  <si>
    <t>050-33105</t>
  </si>
  <si>
    <t>213-62127</t>
  </si>
  <si>
    <t>213-225506</t>
  </si>
  <si>
    <t>890600127</t>
  </si>
  <si>
    <t>LABORATORIOS ESCOVAR S SAS</t>
  </si>
  <si>
    <t>2026-02-06 12:50:10</t>
  </si>
  <si>
    <t>2026-02-24 14:14:00</t>
  </si>
  <si>
    <t>2025-12-22 09:07:19</t>
  </si>
  <si>
    <t>050-33106</t>
  </si>
  <si>
    <t>2026-02-06 12:50:11</t>
  </si>
  <si>
    <t>050-33112</t>
  </si>
  <si>
    <t>124-11300</t>
  </si>
  <si>
    <t>124-5629</t>
  </si>
  <si>
    <t>901871522</t>
  </si>
  <si>
    <t>CUBICO GROUP SAS</t>
  </si>
  <si>
    <t>1144098471</t>
  </si>
  <si>
    <t>JUAN DAVID CALERO VASQUEZ</t>
  </si>
  <si>
    <t>2026-02-06 16:30:07</t>
  </si>
  <si>
    <t>2026-02-26 16:54:00</t>
  </si>
  <si>
    <t>2026-02-04 15:27:52</t>
  </si>
  <si>
    <t>050-33124</t>
  </si>
  <si>
    <t>301-176923</t>
  </si>
  <si>
    <t>301-604099</t>
  </si>
  <si>
    <t>19476618</t>
  </si>
  <si>
    <t>PEDRONEL SUAREZ</t>
  </si>
  <si>
    <t>1052406748</t>
  </si>
  <si>
    <t>TATIANA ALEJANDRA TAVERA GARAY</t>
  </si>
  <si>
    <t>2026-02-07 12:00:18</t>
  </si>
  <si>
    <t>2026-02-27 18:36:00</t>
  </si>
  <si>
    <t>2026-02-03 11:33:01</t>
  </si>
  <si>
    <t>050-33126</t>
  </si>
  <si>
    <t>104-128299</t>
  </si>
  <si>
    <t>104-304955</t>
  </si>
  <si>
    <t>80031290</t>
  </si>
  <si>
    <t>JUAN CARLOS MESA</t>
  </si>
  <si>
    <t>6588551</t>
  </si>
  <si>
    <t>FELIX ANTONIO CASTILLO ZABALA</t>
  </si>
  <si>
    <t>2026-02-07 12:10:23</t>
  </si>
  <si>
    <t>2026-02-27 15:27:00</t>
  </si>
  <si>
    <t>2026-01-17 11:01:42</t>
  </si>
  <si>
    <t>050-33127</t>
  </si>
  <si>
    <t>050-33128</t>
  </si>
  <si>
    <t>119-79870</t>
  </si>
  <si>
    <t>119-397379</t>
  </si>
  <si>
    <t>900758480</t>
  </si>
  <si>
    <t>MANTENIMIENTO HOSPITALARIO SAS</t>
  </si>
  <si>
    <t>1233688324</t>
  </si>
  <si>
    <t>LAURA VANESSA GUERRERO PINEDA</t>
  </si>
  <si>
    <t>2026-02-07 12:40:18</t>
  </si>
  <si>
    <t>2026-02-27 09:13:00</t>
  </si>
  <si>
    <t>2026-02-07 09:10:40</t>
  </si>
  <si>
    <t>050-33129</t>
  </si>
  <si>
    <t>105-106710</t>
  </si>
  <si>
    <t>105-542382</t>
  </si>
  <si>
    <t>1077087366</t>
  </si>
  <si>
    <t>JUAN SEBASTIAN OBREGOSO</t>
  </si>
  <si>
    <t>2026-02-07 12:50:15</t>
  </si>
  <si>
    <t>2026-02-27 09:30:00</t>
  </si>
  <si>
    <t>2026-02-07 10:46:09</t>
  </si>
  <si>
    <t>050-33131</t>
  </si>
  <si>
    <t>050-33132</t>
  </si>
  <si>
    <t>301-177105</t>
  </si>
  <si>
    <t>301-604123</t>
  </si>
  <si>
    <t>1233489040</t>
  </si>
  <si>
    <t>FELIPE MEDINA</t>
  </si>
  <si>
    <t>9636280</t>
  </si>
  <si>
    <t xml:space="preserve">LUIS  ROMERO </t>
  </si>
  <si>
    <t>2026-02-07 13:30:07</t>
  </si>
  <si>
    <t>2026-02-27 12:24:00</t>
  </si>
  <si>
    <t>2026-02-05 15:26:28</t>
  </si>
  <si>
    <t>050-33133</t>
  </si>
  <si>
    <t>050-33136</t>
  </si>
  <si>
    <t>118-96850</t>
  </si>
  <si>
    <t>118-288074</t>
  </si>
  <si>
    <t>1018475070</t>
  </si>
  <si>
    <t>JULIAN AREVALO</t>
  </si>
  <si>
    <t>2026-02-07 13:40:01</t>
  </si>
  <si>
    <t>2026-02-28 08:30:00</t>
  </si>
  <si>
    <t>2026-02-07 12:41:37</t>
  </si>
  <si>
    <t>050-33139</t>
  </si>
  <si>
    <t>108-129309</t>
  </si>
  <si>
    <t>108-547518</t>
  </si>
  <si>
    <t>1018428574</t>
  </si>
  <si>
    <t>JOSE RICARDO PARDO LOPEZ</t>
  </si>
  <si>
    <t>2026-02-09 09:10:11</t>
  </si>
  <si>
    <t>2026-02-28 08:35:00</t>
  </si>
  <si>
    <t>2026-02-06 15:56:01</t>
  </si>
  <si>
    <t>050-33140</t>
  </si>
  <si>
    <t>050-33145</t>
  </si>
  <si>
    <t>212-140210</t>
  </si>
  <si>
    <t>212-548417</t>
  </si>
  <si>
    <t>79789461</t>
  </si>
  <si>
    <t>SAMUEL RICARDO MARTINEZ</t>
  </si>
  <si>
    <t>2026-02-09 11:20:25</t>
  </si>
  <si>
    <t>2026-03-03 07:14:00</t>
  </si>
  <si>
    <t>2025-12-05 10:22:04</t>
  </si>
  <si>
    <t>050-33148</t>
  </si>
  <si>
    <t>050-33149</t>
  </si>
  <si>
    <t>100-23916</t>
  </si>
  <si>
    <t>ZBT-</t>
  </si>
  <si>
    <t>2026-02-09 14:34:12</t>
  </si>
  <si>
    <t>2026-02-28 10:24:00</t>
  </si>
  <si>
    <t>2026-02-09 09:41:13</t>
  </si>
  <si>
    <t>050-33152</t>
  </si>
  <si>
    <t>050-33155</t>
  </si>
  <si>
    <t>100-23919</t>
  </si>
  <si>
    <t>2026-02-09 14:34:17</t>
  </si>
  <si>
    <t>2026-02-27 19:01:00</t>
  </si>
  <si>
    <t>2026-02-09 10:53:21</t>
  </si>
  <si>
    <t>050-33157</t>
  </si>
  <si>
    <t>101-340488</t>
  </si>
  <si>
    <t>C01-111706</t>
  </si>
  <si>
    <t>901291615</t>
  </si>
  <si>
    <t>COCINAS INTEGRALES LASER SAS</t>
  </si>
  <si>
    <t>2026-02-09 15:50:19</t>
  </si>
  <si>
    <t>2026-03-02 10:21:00</t>
  </si>
  <si>
    <t>2026-02-07 12:54:26</t>
  </si>
  <si>
    <t>051-10000</t>
  </si>
  <si>
    <t>307-336786</t>
  </si>
  <si>
    <t>307-636968</t>
  </si>
  <si>
    <t>1098795572</t>
  </si>
  <si>
    <t>LUIS ALIRIO SAAVEDRA</t>
  </si>
  <si>
    <t>1101692506</t>
  </si>
  <si>
    <t>WILLIAM FERNEY PEREZ VARGAS</t>
  </si>
  <si>
    <t>2026-02-07 14:34:25</t>
  </si>
  <si>
    <t>2026-02-23 15:46:00</t>
  </si>
  <si>
    <t>2026-02-04 11:56:56</t>
  </si>
  <si>
    <t>051-10002</t>
  </si>
  <si>
    <t>051-10003</t>
  </si>
  <si>
    <t>307-336368</t>
  </si>
  <si>
    <t>307-637231</t>
  </si>
  <si>
    <t>901400243</t>
  </si>
  <si>
    <t>INDUSTRIAS METALISA SAS</t>
  </si>
  <si>
    <t>2026-02-09 08:30:17</t>
  </si>
  <si>
    <t>2026-02-24 17:09:00</t>
  </si>
  <si>
    <t>2026-01-31 08:37:07</t>
  </si>
  <si>
    <t>051-10005</t>
  </si>
  <si>
    <t>051-10010</t>
  </si>
  <si>
    <t>311-124544</t>
  </si>
  <si>
    <t>C41-16471</t>
  </si>
  <si>
    <t>77194531</t>
  </si>
  <si>
    <t>JEAN CARLOS MANJARRES MEZA</t>
  </si>
  <si>
    <t>1042424171</t>
  </si>
  <si>
    <t xml:space="preserve">GINA  GUARDIOLA </t>
  </si>
  <si>
    <t>2026-02-09 12:04:04</t>
  </si>
  <si>
    <t>2026-02-23 13:39:00</t>
  </si>
  <si>
    <t>2026-02-07 16:24:19</t>
  </si>
  <si>
    <t>051-10013</t>
  </si>
  <si>
    <t>320-30352</t>
  </si>
  <si>
    <t>320-22069</t>
  </si>
  <si>
    <t>1095815847</t>
  </si>
  <si>
    <t>BRIAN FERNANDO HERNANDEZ ANAYA</t>
  </si>
  <si>
    <t>37727242</t>
  </si>
  <si>
    <t xml:space="preserve">SANDRA  SUAREZ </t>
  </si>
  <si>
    <t>2026-02-09 12:50:12</t>
  </si>
  <si>
    <t>2026-02-23 17:28:00</t>
  </si>
  <si>
    <t>2026-02-06 12:38:13</t>
  </si>
  <si>
    <t>051-10014</t>
  </si>
  <si>
    <t>307-337297</t>
  </si>
  <si>
    <t>307-637286</t>
  </si>
  <si>
    <t>37875699</t>
  </si>
  <si>
    <t>ROSALBINA AVILA AVENDAÑO</t>
  </si>
  <si>
    <t>1098743677</t>
  </si>
  <si>
    <t>JOSE LUIS ARAQUE DIAZ</t>
  </si>
  <si>
    <t>2026-02-09 13:40:12</t>
  </si>
  <si>
    <t>2026-02-24 18:15:00</t>
  </si>
  <si>
    <t>2026-02-09 13:08:08</t>
  </si>
  <si>
    <t>051-10015</t>
  </si>
  <si>
    <t>051-10017</t>
  </si>
  <si>
    <t>051-10019</t>
  </si>
  <si>
    <t>307-337002</t>
  </si>
  <si>
    <t>307-637295</t>
  </si>
  <si>
    <t>900537234</t>
  </si>
  <si>
    <t>CONSTRUMESA SAS</t>
  </si>
  <si>
    <t>2026-02-09 14:40:24</t>
  </si>
  <si>
    <t>2026-02-25 08:32:00</t>
  </si>
  <si>
    <t>2026-02-06 08:48:35</t>
  </si>
  <si>
    <t>051-10022</t>
  </si>
  <si>
    <t>313-126479</t>
  </si>
  <si>
    <t>313-</t>
  </si>
  <si>
    <t>91296565</t>
  </si>
  <si>
    <t>ORLANDO VILLAMIZAR HERNANDEZ</t>
  </si>
  <si>
    <t>2026-02-09 14:51:07</t>
  </si>
  <si>
    <t>2026-02-25 07:55:00</t>
  </si>
  <si>
    <t>2026-02-09 08:30:14</t>
  </si>
  <si>
    <t>051-9981</t>
  </si>
  <si>
    <t>307-336111</t>
  </si>
  <si>
    <t>307-637147</t>
  </si>
  <si>
    <t>1098631881</t>
  </si>
  <si>
    <t>CAROL JIMENA CAPACHO</t>
  </si>
  <si>
    <t>1095821149</t>
  </si>
  <si>
    <t xml:space="preserve">JIM  QUINTANILLA </t>
  </si>
  <si>
    <t>2026-02-06 16:00:31</t>
  </si>
  <si>
    <t>2026-02-20 16:27:00</t>
  </si>
  <si>
    <t>2026-01-29 08:24:32</t>
  </si>
  <si>
    <t>051-9986</t>
  </si>
  <si>
    <t>312-135480</t>
  </si>
  <si>
    <t>C47-12926</t>
  </si>
  <si>
    <t>901503655</t>
  </si>
  <si>
    <t>CO MOBILART SAS SAS</t>
  </si>
  <si>
    <t>1098758028</t>
  </si>
  <si>
    <t xml:space="preserve">DIANA  DUARTE </t>
  </si>
  <si>
    <t>2026-02-07 08:50:20</t>
  </si>
  <si>
    <t>2026-02-23 13:21:00</t>
  </si>
  <si>
    <t>2026-02-04 09:36:05</t>
  </si>
  <si>
    <t>051-9988</t>
  </si>
  <si>
    <t>312-135514</t>
  </si>
  <si>
    <t>312-589712</t>
  </si>
  <si>
    <t>37750207</t>
  </si>
  <si>
    <t>ISABEL ANDREA DIAZ</t>
  </si>
  <si>
    <t>1005157729</t>
  </si>
  <si>
    <t xml:space="preserve">DIEGO  GARCES </t>
  </si>
  <si>
    <t>2026-02-07 09:20:21</t>
  </si>
  <si>
    <t>2026-02-23 09:20:00</t>
  </si>
  <si>
    <t>2026-02-04 14:41:09</t>
  </si>
  <si>
    <t>051-9996</t>
  </si>
  <si>
    <t>326-5777</t>
  </si>
  <si>
    <t>326-2507</t>
  </si>
  <si>
    <t>901411745</t>
  </si>
  <si>
    <t>PINZON ARCINIEGAS ABOGADOS</t>
  </si>
  <si>
    <t>2026-02-07 11:40:12</t>
  </si>
  <si>
    <t>2026-02-23 11:54:00</t>
  </si>
  <si>
    <t>2026-01-27 09:11:39</t>
  </si>
  <si>
    <t>051-9998</t>
  </si>
  <si>
    <t>319-17238</t>
  </si>
  <si>
    <t>319-9717</t>
  </si>
  <si>
    <t>1090385388</t>
  </si>
  <si>
    <t>DANIEL RODRIGUEZ</t>
  </si>
  <si>
    <t>2026-02-07 14:30:00</t>
  </si>
  <si>
    <t>2026-02-23 10:59:00</t>
  </si>
  <si>
    <t>2026-02-03 16:27:04</t>
  </si>
  <si>
    <t>052-41928</t>
  </si>
  <si>
    <t>600-26622</t>
  </si>
  <si>
    <t>900340840</t>
  </si>
  <si>
    <t>ACERRIN MADERA CON DISEÑO SAS</t>
  </si>
  <si>
    <t>71777161</t>
  </si>
  <si>
    <t>LUIS FERNANDO NARANJO FERNANDEZ</t>
  </si>
  <si>
    <t>2026-02-05 13:26:07</t>
  </si>
  <si>
    <t>2026-02-13 11:11:00</t>
  </si>
  <si>
    <t>2026-02-03 16:14:50</t>
  </si>
  <si>
    <t>052-41930</t>
  </si>
  <si>
    <t>600-26624</t>
  </si>
  <si>
    <t>2026-02-05 13:27:13</t>
  </si>
  <si>
    <t>2026-02-13 11:45:00</t>
  </si>
  <si>
    <t>2026-02-03 16:23:17</t>
  </si>
  <si>
    <t>052-41946</t>
  </si>
  <si>
    <t>716-99224</t>
  </si>
  <si>
    <t>716-167826</t>
  </si>
  <si>
    <t>1041230955</t>
  </si>
  <si>
    <t>HUBER MAURICIO MARIN VERGARA</t>
  </si>
  <si>
    <t>1000207564</t>
  </si>
  <si>
    <t>VALERIA  GIL TORRES</t>
  </si>
  <si>
    <t>2026-02-05 16:50:19</t>
  </si>
  <si>
    <t>2026-02-18 08:43:00</t>
  </si>
  <si>
    <t>2026-02-05 14:16:10</t>
  </si>
  <si>
    <t>052-41947</t>
  </si>
  <si>
    <t>626-9253</t>
  </si>
  <si>
    <t>626-4123</t>
  </si>
  <si>
    <t>811015501</t>
  </si>
  <si>
    <t>VERDE SAS</t>
  </si>
  <si>
    <t>2026-02-05 17:50:00</t>
  </si>
  <si>
    <t>2026-02-18 17:46:00</t>
  </si>
  <si>
    <t>2026-02-03 17:26:51</t>
  </si>
  <si>
    <t>052-41974</t>
  </si>
  <si>
    <t>708-154599</t>
  </si>
  <si>
    <t>A27-</t>
  </si>
  <si>
    <t>900896782</t>
  </si>
  <si>
    <t>INVERSIONES PAISAJES DEL CERRO</t>
  </si>
  <si>
    <t>2026-02-06 16:11:42</t>
  </si>
  <si>
    <t>2026-02-20 16:00:00</t>
  </si>
  <si>
    <t>2026-01-26 15:29:58</t>
  </si>
  <si>
    <t>052-41979</t>
  </si>
  <si>
    <t>708-155194</t>
  </si>
  <si>
    <t>708-</t>
  </si>
  <si>
    <t>1040739825</t>
  </si>
  <si>
    <t>JOHN MARIO ISAZA MONTOYA</t>
  </si>
  <si>
    <t>1003190030</t>
  </si>
  <si>
    <t>LEANDRO JOSE GONZALEZ PEREIRA</t>
  </si>
  <si>
    <t>2026-02-06 16:47:50</t>
  </si>
  <si>
    <t>2026-02-16 19:50:00</t>
  </si>
  <si>
    <t>2026-02-06 13:34:08</t>
  </si>
  <si>
    <t>052-41985</t>
  </si>
  <si>
    <t>704-305790</t>
  </si>
  <si>
    <t>704-778341</t>
  </si>
  <si>
    <t>900690119</t>
  </si>
  <si>
    <t>ESTANTERIAS METALICAS MEDELLIN SAS</t>
  </si>
  <si>
    <t>1127065334</t>
  </si>
  <si>
    <t>YENNY CAROLINA REYES MORA</t>
  </si>
  <si>
    <t>2026-02-06 16:50:23</t>
  </si>
  <si>
    <t>2026-02-16 12:01:00</t>
  </si>
  <si>
    <t>2026-02-04 16:42:12</t>
  </si>
  <si>
    <t>052-41986</t>
  </si>
  <si>
    <t>726-40757</t>
  </si>
  <si>
    <t>726-24189</t>
  </si>
  <si>
    <t>71374778</t>
  </si>
  <si>
    <t>GONZALO JIMENEZ MANCO</t>
  </si>
  <si>
    <t>2026-02-06 17:00:29</t>
  </si>
  <si>
    <t>2026-02-17 17:17:00</t>
  </si>
  <si>
    <t>2026-02-02 12:05:37</t>
  </si>
  <si>
    <t>052-41987</t>
  </si>
  <si>
    <t>052-41988</t>
  </si>
  <si>
    <t>052-41990</t>
  </si>
  <si>
    <t>052-41993</t>
  </si>
  <si>
    <t>052-42032</t>
  </si>
  <si>
    <t>721-53089</t>
  </si>
  <si>
    <t>721-28833</t>
  </si>
  <si>
    <t>11811695</t>
  </si>
  <si>
    <t>CRISTIAN PEÑA</t>
  </si>
  <si>
    <t>1020408181</t>
  </si>
  <si>
    <t>JOSE ANTONIO HERNANDEZ LEGARDA</t>
  </si>
  <si>
    <t>2026-02-07 11:10:36</t>
  </si>
  <si>
    <t>2026-02-18 17:05:00</t>
  </si>
  <si>
    <t>2026-02-03 13:36:08</t>
  </si>
  <si>
    <t>052-42048</t>
  </si>
  <si>
    <t>726-40949</t>
  </si>
  <si>
    <t>726-24214</t>
  </si>
  <si>
    <t>900998103</t>
  </si>
  <si>
    <t>MADERAS SAN NICOLAS SAS</t>
  </si>
  <si>
    <t>44120448</t>
  </si>
  <si>
    <t xml:space="preserve">FLOR  AGUDELO </t>
  </si>
  <si>
    <t>2026-02-09 09:10:08</t>
  </si>
  <si>
    <t>2026-02-26 08:27:00</t>
  </si>
  <si>
    <t>2026-02-07 08:44:47</t>
  </si>
  <si>
    <t>052-42049</t>
  </si>
  <si>
    <t>052-42050</t>
  </si>
  <si>
    <t>600-26587</t>
  </si>
  <si>
    <t>2026-02-09 09:51:39</t>
  </si>
  <si>
    <t>2026-02-18 14:16:00</t>
  </si>
  <si>
    <t>2026-02-02 15:50:46</t>
  </si>
  <si>
    <t>052-42051</t>
  </si>
  <si>
    <t>052-42052</t>
  </si>
  <si>
    <t>052-42055</t>
  </si>
  <si>
    <t>600-26591</t>
  </si>
  <si>
    <t>2026-02-09 09:56:17</t>
  </si>
  <si>
    <t>2026-02-18 09:43:00</t>
  </si>
  <si>
    <t>2026-02-03 07:34:43</t>
  </si>
  <si>
    <t>052-42056</t>
  </si>
  <si>
    <t>052-42057</t>
  </si>
  <si>
    <t>052-42059</t>
  </si>
  <si>
    <t>600-26592</t>
  </si>
  <si>
    <t>2026-02-09 09:58:05</t>
  </si>
  <si>
    <t>2026-02-18 07:17:00</t>
  </si>
  <si>
    <t>2026-02-03 07:57:44</t>
  </si>
  <si>
    <t>052-42062</t>
  </si>
  <si>
    <t>600-26611</t>
  </si>
  <si>
    <t>2026-02-09 09:58:31</t>
  </si>
  <si>
    <t>2026-02-18 13:48:00</t>
  </si>
  <si>
    <t>2026-02-03 14:45:15</t>
  </si>
  <si>
    <t>052-42063</t>
  </si>
  <si>
    <t>052-42064</t>
  </si>
  <si>
    <t>052-42065</t>
  </si>
  <si>
    <t>052-42066</t>
  </si>
  <si>
    <t>600-26630</t>
  </si>
  <si>
    <t>2026-02-09 09:59:02</t>
  </si>
  <si>
    <t>2026-02-18 07:53:00</t>
  </si>
  <si>
    <t>2026-02-04 07:42:45</t>
  </si>
  <si>
    <t>052-42067</t>
  </si>
  <si>
    <t>052-42068</t>
  </si>
  <si>
    <t>052-42069</t>
  </si>
  <si>
    <t>052-42073</t>
  </si>
  <si>
    <t>600-26631</t>
  </si>
  <si>
    <t>2026-02-09 09:59:27</t>
  </si>
  <si>
    <t>2026-02-17 18:20:00</t>
  </si>
  <si>
    <t>2026-02-04 07:57:23</t>
  </si>
  <si>
    <t>050-33103</t>
  </si>
  <si>
    <t>617-182436</t>
  </si>
  <si>
    <t>617-377290</t>
  </si>
  <si>
    <t>900047874</t>
  </si>
  <si>
    <t>GRUPO AFIN  FARMACEUTICA SAS</t>
  </si>
  <si>
    <t>1127612156</t>
  </si>
  <si>
    <t xml:space="preserve">JESUS JACOBO MARTINEZ </t>
  </si>
  <si>
    <t>2026-02-06 12:00:30</t>
  </si>
  <si>
    <t>2026-02-24 15:23:00</t>
  </si>
  <si>
    <t>2026-02-04 16:41:50</t>
  </si>
  <si>
    <t>050-33104</t>
  </si>
  <si>
    <t>2026-02-06 12:00:31</t>
  </si>
  <si>
    <t>050-33107</t>
  </si>
  <si>
    <t>050-33109</t>
  </si>
  <si>
    <t>116-118392</t>
  </si>
  <si>
    <t>116-276486</t>
  </si>
  <si>
    <t>901039805</t>
  </si>
  <si>
    <t>GIDACOL SAS</t>
  </si>
  <si>
    <t>2026-02-06 14:50:17</t>
  </si>
  <si>
    <t>2026-02-25 13:40:00</t>
  </si>
  <si>
    <t>2026-02-05 12:13:28</t>
  </si>
  <si>
    <t>050-33110</t>
  </si>
  <si>
    <t>050-33111</t>
  </si>
  <si>
    <t>050-33113</t>
  </si>
  <si>
    <t>050-33114</t>
  </si>
  <si>
    <t>053-23226</t>
  </si>
  <si>
    <t>524-74010</t>
  </si>
  <si>
    <t>524-60199</t>
  </si>
  <si>
    <t>800225803</t>
  </si>
  <si>
    <t>SERVIMET SAS</t>
  </si>
  <si>
    <t>2026-02-06 12:20:11</t>
  </si>
  <si>
    <t>2026-02-19 13:24:00</t>
  </si>
  <si>
    <t>2026-01-14 09:51:36</t>
  </si>
  <si>
    <t>053-23227</t>
  </si>
  <si>
    <t>053-23228</t>
  </si>
  <si>
    <t>053-23229</t>
  </si>
  <si>
    <t>501-308442</t>
  </si>
  <si>
    <t>501-637116</t>
  </si>
  <si>
    <t>8567402</t>
  </si>
  <si>
    <t>DAVID DIAZ TAPIA</t>
  </si>
  <si>
    <t>72016849</t>
  </si>
  <si>
    <t xml:space="preserve">ANTONIO  PALMA </t>
  </si>
  <si>
    <t>2026-02-06 13:20:18</t>
  </si>
  <si>
    <t>2026-02-19 07:09:00</t>
  </si>
  <si>
    <t>2026-01-21 15:36:34</t>
  </si>
  <si>
    <t>053-23233</t>
  </si>
  <si>
    <t>501-309587</t>
  </si>
  <si>
    <t>501-637117</t>
  </si>
  <si>
    <t>2026-02-06 13:30:07</t>
  </si>
  <si>
    <t>2026-02-19 06:03:00</t>
  </si>
  <si>
    <t>2026-02-04 11:05:00</t>
  </si>
  <si>
    <t>053-23234</t>
  </si>
  <si>
    <t>524-76303</t>
  </si>
  <si>
    <t>N24-1510</t>
  </si>
  <si>
    <t>901412240</t>
  </si>
  <si>
    <t>GRUPO FERREMATE SAS</t>
  </si>
  <si>
    <t>2026-02-06 13:40:10</t>
  </si>
  <si>
    <t>2026-02-20 09:35:00</t>
  </si>
  <si>
    <t>2026-02-03 15:56:20</t>
  </si>
  <si>
    <t>053-23235</t>
  </si>
  <si>
    <t>053-23236</t>
  </si>
  <si>
    <t>053-23241</t>
  </si>
  <si>
    <t>550-8364</t>
  </si>
  <si>
    <t>ZNT-35685</t>
  </si>
  <si>
    <t>901249671</t>
  </si>
  <si>
    <t>UNION TEMPORAL BELLAVISTA</t>
  </si>
  <si>
    <t>2026-02-07 08:50:14</t>
  </si>
  <si>
    <t>2026-02-19 11:54:00</t>
  </si>
  <si>
    <t>2025-12-16 15:58:35</t>
  </si>
  <si>
    <t>053-23243</t>
  </si>
  <si>
    <t>550-8366</t>
  </si>
  <si>
    <t>ZNT-35686</t>
  </si>
  <si>
    <t>2026-02-27 15:02:00</t>
  </si>
  <si>
    <t>2025-12-16 16:27:18</t>
  </si>
  <si>
    <t>053-23244</t>
  </si>
  <si>
    <t>053-23246</t>
  </si>
  <si>
    <t>518-171413</t>
  </si>
  <si>
    <t>518-144430</t>
  </si>
  <si>
    <t>72241247</t>
  </si>
  <si>
    <t>HERNANDO DONADO MOLINA</t>
  </si>
  <si>
    <t>2026-02-07 08:55:25</t>
  </si>
  <si>
    <t>2026-02-19 10:21:00</t>
  </si>
  <si>
    <t>2026-02-04 09:40:17</t>
  </si>
  <si>
    <t>053-23248</t>
  </si>
  <si>
    <t>050-33123</t>
  </si>
  <si>
    <t>050-33125</t>
  </si>
  <si>
    <t>050-33130</t>
  </si>
  <si>
    <t>050-33134</t>
  </si>
  <si>
    <t>050-33135</t>
  </si>
  <si>
    <t>050-33137</t>
  </si>
  <si>
    <t>050-33138</t>
  </si>
  <si>
    <t>050-33141</t>
  </si>
  <si>
    <t>050-33142</t>
  </si>
  <si>
    <t>050-33144</t>
  </si>
  <si>
    <t>050-33146</t>
  </si>
  <si>
    <t>050-33147</t>
  </si>
  <si>
    <t>050-33150</t>
  </si>
  <si>
    <t>050-33151</t>
  </si>
  <si>
    <t>050-33153</t>
  </si>
  <si>
    <t>050-33154</t>
  </si>
  <si>
    <t>050-33156</t>
  </si>
  <si>
    <t>051-10001</t>
  </si>
  <si>
    <t>051-10004</t>
  </si>
  <si>
    <t>051-10006</t>
  </si>
  <si>
    <t>051-10007</t>
  </si>
  <si>
    <t>312-135689</t>
  </si>
  <si>
    <t>312-589750</t>
  </si>
  <si>
    <t>5661300</t>
  </si>
  <si>
    <t>NORBERTO GARCIA</t>
  </si>
  <si>
    <t>2026-02-09 11:00:17</t>
  </si>
  <si>
    <t>2026-02-25 07:02:00</t>
  </si>
  <si>
    <t>2026-02-07 11:40:19</t>
  </si>
  <si>
    <t>051-10008</t>
  </si>
  <si>
    <t>051-10009</t>
  </si>
  <si>
    <t>2026-02-09 11:00:18</t>
  </si>
  <si>
    <t>051-10011</t>
  </si>
  <si>
    <t>051-10012</t>
  </si>
  <si>
    <t>051-10016</t>
  </si>
  <si>
    <t>051-10018</t>
  </si>
  <si>
    <t>051-10020</t>
  </si>
  <si>
    <t>300-16312</t>
  </si>
  <si>
    <t>ZNS-53034</t>
  </si>
  <si>
    <t>2026-02-09 14:40:27</t>
  </si>
  <si>
    <t>2026-02-24 11:38:00</t>
  </si>
  <si>
    <t>2026-01-24 08:14:44</t>
  </si>
  <si>
    <t>051-10021</t>
  </si>
  <si>
    <t>053-23251</t>
  </si>
  <si>
    <t>551-12276</t>
  </si>
  <si>
    <t>551-5712</t>
  </si>
  <si>
    <t>901203594</t>
  </si>
  <si>
    <t>TOP PRODUCER SAS</t>
  </si>
  <si>
    <t>2026-02-07 09:20:19</t>
  </si>
  <si>
    <t>2026-02-20 09:59:00</t>
  </si>
  <si>
    <t>2026-02-05 14:39:22</t>
  </si>
  <si>
    <t>053-23260</t>
  </si>
  <si>
    <t>516-74446</t>
  </si>
  <si>
    <t>516-543784</t>
  </si>
  <si>
    <t>15558068</t>
  </si>
  <si>
    <t>PEDRO JAVIER MUJICA</t>
  </si>
  <si>
    <t>60391577</t>
  </si>
  <si>
    <t>ADRIANA MILENA MALDONADO GALVIS</t>
  </si>
  <si>
    <t>2026-02-07 09:50:37</t>
  </si>
  <si>
    <t>2026-02-19 22:17:00</t>
  </si>
  <si>
    <t>2026-02-07 07:36:14</t>
  </si>
  <si>
    <t>053-23262</t>
  </si>
  <si>
    <t>517-152413</t>
  </si>
  <si>
    <t>517-408527</t>
  </si>
  <si>
    <t>2026-02-07 10:00:37</t>
  </si>
  <si>
    <t>2026-02-20 05:54:00</t>
  </si>
  <si>
    <t>2026-02-04 10:53:17</t>
  </si>
  <si>
    <t>053-23263</t>
  </si>
  <si>
    <t>MFHERBR418</t>
  </si>
  <si>
    <t>053-23265</t>
  </si>
  <si>
    <t>550-8830</t>
  </si>
  <si>
    <t>ZNT-35688</t>
  </si>
  <si>
    <t>901037572</t>
  </si>
  <si>
    <t>MADERAS DISEÑOS Y CONSTRUCCION SAS</t>
  </si>
  <si>
    <t>2026-02-07 10:10:30</t>
  </si>
  <si>
    <t>2026-02-23 08:19:00</t>
  </si>
  <si>
    <t>2026-01-31 09:37:50</t>
  </si>
  <si>
    <t>053-23266</t>
  </si>
  <si>
    <t>524-76599</t>
  </si>
  <si>
    <t>524-60280</t>
  </si>
  <si>
    <t>2026-02-07 10:20:21</t>
  </si>
  <si>
    <t>2026-02-20 10:22:00</t>
  </si>
  <si>
    <t>2026-02-05 15:49:39</t>
  </si>
  <si>
    <t>053-23267</t>
  </si>
  <si>
    <t>2026-02-07 10:20:22</t>
  </si>
  <si>
    <t>053-23269</t>
  </si>
  <si>
    <t>053-23271</t>
  </si>
  <si>
    <t>517-152611</t>
  </si>
  <si>
    <t>517-408535</t>
  </si>
  <si>
    <t>1007893863</t>
  </si>
  <si>
    <t>JUAN JOSE DIAZGRANADOS</t>
  </si>
  <si>
    <t>2026-02-07 10:30:40</t>
  </si>
  <si>
    <t>2026-02-21 11:17:00</t>
  </si>
  <si>
    <t>2026-02-06 09:01:37</t>
  </si>
  <si>
    <t>053-23274</t>
  </si>
  <si>
    <t>512-322342</t>
  </si>
  <si>
    <t>N12-210761</t>
  </si>
  <si>
    <t>2026-02-07 11:40:28</t>
  </si>
  <si>
    <t>2026-02-21 09:53:00</t>
  </si>
  <si>
    <t>2026-02-05 16:47:16</t>
  </si>
  <si>
    <t>053-23278</t>
  </si>
  <si>
    <t>511-231952</t>
  </si>
  <si>
    <t>N11-18624</t>
  </si>
  <si>
    <t>900418160</t>
  </si>
  <si>
    <t xml:space="preserve">INVERSIONES HOTELERAS ITACA SA </t>
  </si>
  <si>
    <t>2026-02-07 12:48:10</t>
  </si>
  <si>
    <t>2026-02-23 15:34:00</t>
  </si>
  <si>
    <t>2026-02-06 16:55:47</t>
  </si>
  <si>
    <t>053-23281</t>
  </si>
  <si>
    <t>504-246928</t>
  </si>
  <si>
    <t>504-616808</t>
  </si>
  <si>
    <t>1047483911</t>
  </si>
  <si>
    <t>JOSE ANGEL MORALES</t>
  </si>
  <si>
    <t>1002192251</t>
  </si>
  <si>
    <t>SANDRA MILENA MILENA ESPITIA QUIROZ</t>
  </si>
  <si>
    <t>2026-02-07 13:30:08</t>
  </si>
  <si>
    <t>2026-02-21 06:01:00</t>
  </si>
  <si>
    <t>2026-02-02 16:58:52</t>
  </si>
  <si>
    <t>053-23287</t>
  </si>
  <si>
    <t>518-171948</t>
  </si>
  <si>
    <t>N18-5401</t>
  </si>
  <si>
    <t>2026-02-09 15:30:20</t>
  </si>
  <si>
    <t>2026-02-20 07:30:00</t>
  </si>
  <si>
    <t>2026-02-09 12:48:44</t>
  </si>
  <si>
    <t>054-1433</t>
  </si>
  <si>
    <t>028-3917</t>
  </si>
  <si>
    <t>2026-02-09 07:37:35</t>
  </si>
  <si>
    <t>2026-02-12 20:01:00</t>
  </si>
  <si>
    <t>2026-02-09 07:27:35</t>
  </si>
  <si>
    <t>AGNEBBS109</t>
  </si>
  <si>
    <t>064-8385</t>
  </si>
  <si>
    <t>701-438146</t>
  </si>
  <si>
    <t>701-630363</t>
  </si>
  <si>
    <t>2026-02-05 13:30:08</t>
  </si>
  <si>
    <t>2026-02-14 10:05:00</t>
  </si>
  <si>
    <t>2026-02-05 07:21:47</t>
  </si>
  <si>
    <t>064-8386</t>
  </si>
  <si>
    <t>064-8388</t>
  </si>
  <si>
    <t>064-8389</t>
  </si>
  <si>
    <t>001-8244</t>
  </si>
  <si>
    <t>CHY-305183</t>
  </si>
  <si>
    <t>2026-02-05 15:08:16</t>
  </si>
  <si>
    <t>2026-02-13 13:37:00</t>
  </si>
  <si>
    <t>2026-02-05 14:48:38</t>
  </si>
  <si>
    <t>064-8390</t>
  </si>
  <si>
    <t>620-107494</t>
  </si>
  <si>
    <t>620-216462</t>
  </si>
  <si>
    <t>901024326</t>
  </si>
  <si>
    <t>EYF DISEÑO MOBILIARIO SAS SAS</t>
  </si>
  <si>
    <t>1214717093</t>
  </si>
  <si>
    <t>JHON ESTEBAN RAMIREZ HENAO</t>
  </si>
  <si>
    <t>2026-02-05 15:20:04</t>
  </si>
  <si>
    <t>2026-02-16 13:06:00</t>
  </si>
  <si>
    <t>2026-02-05 08:26:51</t>
  </si>
  <si>
    <t>064-8392</t>
  </si>
  <si>
    <t>722-66253</t>
  </si>
  <si>
    <t>722-37818</t>
  </si>
  <si>
    <t>900865734</t>
  </si>
  <si>
    <t xml:space="preserve">WS DIGITAL </t>
  </si>
  <si>
    <t>2026-02-18 07:28:00</t>
  </si>
  <si>
    <t>2026-02-02 14:47:59</t>
  </si>
  <si>
    <t>064-8393</t>
  </si>
  <si>
    <t>064-8394</t>
  </si>
  <si>
    <t>702-389605</t>
  </si>
  <si>
    <t>702-623723</t>
  </si>
  <si>
    <t>71527508</t>
  </si>
  <si>
    <t>JHON EDISON OTALVARO SANCHEZ</t>
  </si>
  <si>
    <t>2026-02-05 16:20:31</t>
  </si>
  <si>
    <t>2026-02-19 11:47:00</t>
  </si>
  <si>
    <t>2026-02-04 15:55:35</t>
  </si>
  <si>
    <t>064-8397</t>
  </si>
  <si>
    <t>064-8401</t>
  </si>
  <si>
    <t>700-33661</t>
  </si>
  <si>
    <t>900911752</t>
  </si>
  <si>
    <t>CONSTRUCTORA INGROSSO SAS</t>
  </si>
  <si>
    <t>2026-02-06 10:09:50</t>
  </si>
  <si>
    <t>2026-02-21 12:43:00</t>
  </si>
  <si>
    <t>2026-02-03 16:06:13</t>
  </si>
  <si>
    <t>064-8402</t>
  </si>
  <si>
    <t>064-8403</t>
  </si>
  <si>
    <t>622-57588</t>
  </si>
  <si>
    <t>622-</t>
  </si>
  <si>
    <t>1022097633</t>
  </si>
  <si>
    <t>JULIANA MARIA SUAREZ ALCAREZ</t>
  </si>
  <si>
    <t>98630922</t>
  </si>
  <si>
    <t>JADER ANDRES SANCHEZ MESA</t>
  </si>
  <si>
    <t>2026-02-06 12:20:27</t>
  </si>
  <si>
    <t>2026-02-18 19:23:00</t>
  </si>
  <si>
    <t>2026-02-04 10:44:17</t>
  </si>
  <si>
    <t>064-8405</t>
  </si>
  <si>
    <t>701-437880</t>
  </si>
  <si>
    <t>701-630415</t>
  </si>
  <si>
    <t>1037641629</t>
  </si>
  <si>
    <t>ANDRES RESTREPO</t>
  </si>
  <si>
    <t>1214730091</t>
  </si>
  <si>
    <t>YESID  SANCHEZ NARVAEZ</t>
  </si>
  <si>
    <t>2026-02-06 13:18:19</t>
  </si>
  <si>
    <t>2026-02-16 11:38:00</t>
  </si>
  <si>
    <t>2026-02-02 16:15:10</t>
  </si>
  <si>
    <t>064-8409</t>
  </si>
  <si>
    <t>726-40343</t>
  </si>
  <si>
    <t>726-24173</t>
  </si>
  <si>
    <t>15445689</t>
  </si>
  <si>
    <t>MAURICIO MARIN OSORIO</t>
  </si>
  <si>
    <t>2026-02-06 13:20:10</t>
  </si>
  <si>
    <t>2026-02-16 19:23:00</t>
  </si>
  <si>
    <t>2026-01-17 12:41:14</t>
  </si>
  <si>
    <t>064-8411</t>
  </si>
  <si>
    <t>064-8414</t>
  </si>
  <si>
    <t>722-66321</t>
  </si>
  <si>
    <t>A57-3591</t>
  </si>
  <si>
    <t>2026-02-06 15:30:17</t>
  </si>
  <si>
    <t>2026-02-18 16:43:00</t>
  </si>
  <si>
    <t>2026-02-03 17:44:35</t>
  </si>
  <si>
    <t>064-8416</t>
  </si>
  <si>
    <t>721-53085</t>
  </si>
  <si>
    <t>721-28822</t>
  </si>
  <si>
    <t>2026-02-06 15:30:23</t>
  </si>
  <si>
    <t>2026-02-16 16:01:00</t>
  </si>
  <si>
    <t>2026-02-03 11:59:51</t>
  </si>
  <si>
    <t>051-9982</t>
  </si>
  <si>
    <t>051-9983</t>
  </si>
  <si>
    <t>051-9984</t>
  </si>
  <si>
    <t>051-9985</t>
  </si>
  <si>
    <t>051-9987</t>
  </si>
  <si>
    <t>064-8417</t>
  </si>
  <si>
    <t>064-8419</t>
  </si>
  <si>
    <t>064-8424</t>
  </si>
  <si>
    <t>629-23165</t>
  </si>
  <si>
    <t>629-14339</t>
  </si>
  <si>
    <t>71361799</t>
  </si>
  <si>
    <t>JHON DAVID SANCHEZ MARTINEZ</t>
  </si>
  <si>
    <t>2026-02-06 17:10:13</t>
  </si>
  <si>
    <t>2026-02-17 10:45:00</t>
  </si>
  <si>
    <t>2026-02-04 08:19:26</t>
  </si>
  <si>
    <t>064-8426</t>
  </si>
  <si>
    <t>064-8430</t>
  </si>
  <si>
    <t>600-26599</t>
  </si>
  <si>
    <t>2026-02-06 17:15:03</t>
  </si>
  <si>
    <t>2026-02-19 14:21:00</t>
  </si>
  <si>
    <t>2026-02-03 11:32:42</t>
  </si>
  <si>
    <t>064-8431</t>
  </si>
  <si>
    <t>064-8433</t>
  </si>
  <si>
    <t>064-8436</t>
  </si>
  <si>
    <t>720-58180</t>
  </si>
  <si>
    <t>720-33942</t>
  </si>
  <si>
    <t>98506819</t>
  </si>
  <si>
    <t>JOSE OROZCO</t>
  </si>
  <si>
    <t>1128398735</t>
  </si>
  <si>
    <t>RICARDO  SERNA MUÑOZ</t>
  </si>
  <si>
    <t>2026-02-06 17:29:38</t>
  </si>
  <si>
    <t>2026-02-18 12:52:00</t>
  </si>
  <si>
    <t>2026-01-20 18:01:47</t>
  </si>
  <si>
    <t>MFKRCAP105</t>
  </si>
  <si>
    <t>064-8442</t>
  </si>
  <si>
    <t>707-156439</t>
  </si>
  <si>
    <t>707-1245073</t>
  </si>
  <si>
    <t>1035436258</t>
  </si>
  <si>
    <t>MATEO VALENCIA</t>
  </si>
  <si>
    <t>1128480708</t>
  </si>
  <si>
    <t>SEBASTIAN  PATINO POSADA</t>
  </si>
  <si>
    <t>2026-02-07 13:50:00</t>
  </si>
  <si>
    <t>2026-02-21 09:43:00</t>
  </si>
  <si>
    <t>2026-02-04 08:45:37</t>
  </si>
  <si>
    <t>064-8445</t>
  </si>
  <si>
    <t>726-40451</t>
  </si>
  <si>
    <t>726-24190</t>
  </si>
  <si>
    <t>901471076</t>
  </si>
  <si>
    <t>GRUPO NAVARRO ZULUAGA SAS</t>
  </si>
  <si>
    <t>39456952</t>
  </si>
  <si>
    <t xml:space="preserve">CAROLINA  CARDONA </t>
  </si>
  <si>
    <t>2026-02-06 17:50:00</t>
  </si>
  <si>
    <t>2026-02-17 18:06:00</t>
  </si>
  <si>
    <t>2026-01-22 07:39:48</t>
  </si>
  <si>
    <t>MFHERNG318-MP</t>
  </si>
  <si>
    <t>064-8448</t>
  </si>
  <si>
    <t>623-103524</t>
  </si>
  <si>
    <t>623-89973</t>
  </si>
  <si>
    <t>901877410</t>
  </si>
  <si>
    <t>ULTRACUBIERTAS  SAS</t>
  </si>
  <si>
    <t>3415456</t>
  </si>
  <si>
    <t>GERMAN DARIO PARDO OROZCO</t>
  </si>
  <si>
    <t>2026-02-07 09:40:17</t>
  </si>
  <si>
    <t>2026-02-18 18:54:00</t>
  </si>
  <si>
    <t>2026-02-06 07:43:02</t>
  </si>
  <si>
    <t>064-8449</t>
  </si>
  <si>
    <t>064-8451</t>
  </si>
  <si>
    <t>600-26710</t>
  </si>
  <si>
    <t>901143924</t>
  </si>
  <si>
    <t>INFINITUM ARQUITECTURA Y MOBIL SAS</t>
  </si>
  <si>
    <t>2026-02-07 10:00:06</t>
  </si>
  <si>
    <t>2026-02-17 16:05:00</t>
  </si>
  <si>
    <t>2026-02-07 09:02:10</t>
  </si>
  <si>
    <t>064-8457</t>
  </si>
  <si>
    <t>602-209424</t>
  </si>
  <si>
    <t>602-580012</t>
  </si>
  <si>
    <t>1037616884</t>
  </si>
  <si>
    <t>ALEJANDRO GONZALEZ ARIAS</t>
  </si>
  <si>
    <t>1060586069</t>
  </si>
  <si>
    <t>MALORY  GONZALEZ SUAZA</t>
  </si>
  <si>
    <t>2026-02-07 10:10:11</t>
  </si>
  <si>
    <t>2026-02-20 11:30:00</t>
  </si>
  <si>
    <t>2026-02-06 12:10:37</t>
  </si>
  <si>
    <t>064-8458</t>
  </si>
  <si>
    <t>064-8459</t>
  </si>
  <si>
    <t>064-8461</t>
  </si>
  <si>
    <t>064-8463</t>
  </si>
  <si>
    <t>600-26695</t>
  </si>
  <si>
    <t>2026-02-07 11:07:08</t>
  </si>
  <si>
    <t>2026-02-19 09:39:00</t>
  </si>
  <si>
    <t>2026-02-06 13:50:16</t>
  </si>
  <si>
    <t>064-8465</t>
  </si>
  <si>
    <t>701-438384</t>
  </si>
  <si>
    <t>701-630473</t>
  </si>
  <si>
    <t>900872734</t>
  </si>
  <si>
    <t>POLITECNICO DE SURAMERICA SAS</t>
  </si>
  <si>
    <t>71290984</t>
  </si>
  <si>
    <t>EDISON ALEXANDER RENDON ZAPATA</t>
  </si>
  <si>
    <t>2026-02-07 09:50:13</t>
  </si>
  <si>
    <t>2026-02-18 08:57:00</t>
  </si>
  <si>
    <t>2026-02-07 08:33:15</t>
  </si>
  <si>
    <t>064-8469</t>
  </si>
  <si>
    <t>852-16419</t>
  </si>
  <si>
    <t>852-11294</t>
  </si>
  <si>
    <t>1028008408</t>
  </si>
  <si>
    <t>JUAN GABRIEL ESPITIA BARRIOS</t>
  </si>
  <si>
    <t>1022032640</t>
  </si>
  <si>
    <t>ESMERALDA  MEDINA SALAZAR</t>
  </si>
  <si>
    <t>2026-02-07 13:10:01</t>
  </si>
  <si>
    <t>2026-02-20 09:13:00</t>
  </si>
  <si>
    <t>2026-01-19 15:32:20</t>
  </si>
  <si>
    <t>064-8471</t>
  </si>
  <si>
    <t>064-8472</t>
  </si>
  <si>
    <t>064-8474</t>
  </si>
  <si>
    <t>001-8242</t>
  </si>
  <si>
    <t>CHY-305184</t>
  </si>
  <si>
    <t>2026-02-09 08:21:44</t>
  </si>
  <si>
    <t>2026-03-05 20:16:00</t>
  </si>
  <si>
    <t>2026-02-03 10:55:26</t>
  </si>
  <si>
    <t>AGNRCGY415</t>
  </si>
  <si>
    <t>064-8475</t>
  </si>
  <si>
    <t>001-8243</t>
  </si>
  <si>
    <t>CHY-305185</t>
  </si>
  <si>
    <t>2026-02-09 08:22:39</t>
  </si>
  <si>
    <t>2026-02-05 07:19:20</t>
  </si>
  <si>
    <t>AGNRPOY415</t>
  </si>
  <si>
    <t>051-9989</t>
  </si>
  <si>
    <t>051-9990</t>
  </si>
  <si>
    <t>305-118175</t>
  </si>
  <si>
    <t>305-634141</t>
  </si>
  <si>
    <t>2026-02-07 10:20:24</t>
  </si>
  <si>
    <t>2026-02-24 09:28:00</t>
  </si>
  <si>
    <t>2026-02-07 09:23:04</t>
  </si>
  <si>
    <t>051-9991</t>
  </si>
  <si>
    <t>051-9992</t>
  </si>
  <si>
    <t>314-102781</t>
  </si>
  <si>
    <t>314-464366</t>
  </si>
  <si>
    <t>25495159</t>
  </si>
  <si>
    <t>ANDREA ESTEFANNIA DUQUE FERNANDEZ</t>
  </si>
  <si>
    <t>2026-02-07 10:30:25</t>
  </si>
  <si>
    <t>2026-02-25 14:33:00</t>
  </si>
  <si>
    <t>2026-01-13 11:19:03</t>
  </si>
  <si>
    <t>051-9993</t>
  </si>
  <si>
    <t>051-9994</t>
  </si>
  <si>
    <t>051-9995</t>
  </si>
  <si>
    <t>051-9997</t>
  </si>
  <si>
    <t>051-9999</t>
  </si>
  <si>
    <t>052-41935</t>
  </si>
  <si>
    <t>620-106932</t>
  </si>
  <si>
    <t>620-216461</t>
  </si>
  <si>
    <t>71291293</t>
  </si>
  <si>
    <t>DUVAN DAVID ARENAS PATIÑO</t>
  </si>
  <si>
    <t>1000398616</t>
  </si>
  <si>
    <t>CHRISTIAN  GALVIS SUAREZ</t>
  </si>
  <si>
    <t>2026-02-05 14:30:03</t>
  </si>
  <si>
    <t>2026-02-13 15:30:00</t>
  </si>
  <si>
    <t>2026-01-27 09:45:28</t>
  </si>
  <si>
    <t>052-41948</t>
  </si>
  <si>
    <t>052-41973</t>
  </si>
  <si>
    <t>705-62924</t>
  </si>
  <si>
    <t>2026-02-06 15:53:00</t>
  </si>
  <si>
    <t>2026-02-16 10:46:00</t>
  </si>
  <si>
    <t>2026-02-06 15:25:05</t>
  </si>
  <si>
    <t>052-41977</t>
  </si>
  <si>
    <t>052-41978</t>
  </si>
  <si>
    <t>052-41980</t>
  </si>
  <si>
    <t>052-41981</t>
  </si>
  <si>
    <t>052-41982</t>
  </si>
  <si>
    <t>052-41983</t>
  </si>
  <si>
    <t>052-41984</t>
  </si>
  <si>
    <t>052-41989</t>
  </si>
  <si>
    <t>052-41991</t>
  </si>
  <si>
    <t>052-41992</t>
  </si>
  <si>
    <t>052-42033</t>
  </si>
  <si>
    <t>052-42034</t>
  </si>
  <si>
    <t>052-42053</t>
  </si>
  <si>
    <t>052-42054</t>
  </si>
  <si>
    <t>052-42058</t>
  </si>
  <si>
    <t>052-42060</t>
  </si>
  <si>
    <t>052-42061</t>
  </si>
  <si>
    <t>052-42070</t>
  </si>
  <si>
    <t>2026-02-09 09:59:26</t>
  </si>
  <si>
    <t>052-42071</t>
  </si>
  <si>
    <t>052-42072</t>
  </si>
  <si>
    <t>065-21973</t>
  </si>
  <si>
    <t>726-40888</t>
  </si>
  <si>
    <t>726-24158</t>
  </si>
  <si>
    <t>901717969</t>
  </si>
  <si>
    <t>NATURAL CORE AD SAS</t>
  </si>
  <si>
    <t>2026-02-06 08:30:18</t>
  </si>
  <si>
    <t>2026-02-17 14:48:00</t>
  </si>
  <si>
    <t>2026-02-05 13:08:22</t>
  </si>
  <si>
    <t>065-21975</t>
  </si>
  <si>
    <t>065-21976</t>
  </si>
  <si>
    <t>421-85685</t>
  </si>
  <si>
    <t>421-328766</t>
  </si>
  <si>
    <t>901748369</t>
  </si>
  <si>
    <t>INDUMUEBLES SILVA SAS</t>
  </si>
  <si>
    <t>29233689</t>
  </si>
  <si>
    <t xml:space="preserve">YADIRA CAMPAZ GONGORA </t>
  </si>
  <si>
    <t>2026-02-06 10:40:10</t>
  </si>
  <si>
    <t>2026-02-17 17:13:00</t>
  </si>
  <si>
    <t>2026-02-03 08:35:24</t>
  </si>
  <si>
    <t>065-21978</t>
  </si>
  <si>
    <t>065-21979</t>
  </si>
  <si>
    <t>065-21980</t>
  </si>
  <si>
    <t>436-10114</t>
  </si>
  <si>
    <t>436-5265</t>
  </si>
  <si>
    <t>2026-02-06 11:00:30</t>
  </si>
  <si>
    <t>2026-02-17 18:35:00</t>
  </si>
  <si>
    <t>2026-02-04 08:04:25</t>
  </si>
  <si>
    <t>065-21983</t>
  </si>
  <si>
    <t>001-8232</t>
  </si>
  <si>
    <t>CHY-</t>
  </si>
  <si>
    <t>19670211734641</t>
  </si>
  <si>
    <t>DAMASCO OVERSEAS CORP</t>
  </si>
  <si>
    <t>1037572053</t>
  </si>
  <si>
    <t>JAIR SANTIAGO BERRIO VANEGAS</t>
  </si>
  <si>
    <t>2026-02-06 11:33:52</t>
  </si>
  <si>
    <t>2026-02-17 20:04:00</t>
  </si>
  <si>
    <t>2026-01-19 07:53:46</t>
  </si>
  <si>
    <t>065-21988</t>
  </si>
  <si>
    <t>001-8235</t>
  </si>
  <si>
    <t>2026-02-06 11:36:50</t>
  </si>
  <si>
    <t>2026-02-18 09:41:00</t>
  </si>
  <si>
    <t>2026-01-19 09:34:52</t>
  </si>
  <si>
    <t>065-21989</t>
  </si>
  <si>
    <t>065-21991</t>
  </si>
  <si>
    <t>001-8236</t>
  </si>
  <si>
    <t>2026-02-06 11:37:05</t>
  </si>
  <si>
    <t>2026-02-18 12:33:00</t>
  </si>
  <si>
    <t>2026-01-19 09:44:45</t>
  </si>
  <si>
    <t>065-21993</t>
  </si>
  <si>
    <t>001-8237</t>
  </si>
  <si>
    <t>2026-02-06 11:37:26</t>
  </si>
  <si>
    <t>2026-02-17 14:07:00</t>
  </si>
  <si>
    <t>2026-01-19 09:51:15</t>
  </si>
  <si>
    <t>065-21995</t>
  </si>
  <si>
    <t>424-47388</t>
  </si>
  <si>
    <t>424-115211</t>
  </si>
  <si>
    <t>14889082</t>
  </si>
  <si>
    <t>RAMON DELGADO</t>
  </si>
  <si>
    <t>1054920510</t>
  </si>
  <si>
    <t>JUAN SEBASTIAN SAENZ FLOREZ</t>
  </si>
  <si>
    <t>2026-02-06 13:40:08</t>
  </si>
  <si>
    <t>2026-02-19 19:50:00</t>
  </si>
  <si>
    <t>2026-02-04 08:05:42</t>
  </si>
  <si>
    <t>065-21997</t>
  </si>
  <si>
    <t>512-322336</t>
  </si>
  <si>
    <t>N12-210760</t>
  </si>
  <si>
    <t>2026-02-06 13:40:24</t>
  </si>
  <si>
    <t>2026-02-20 17:31:00</t>
  </si>
  <si>
    <t>2026-02-05 16:28:55</t>
  </si>
  <si>
    <t>065-22000</t>
  </si>
  <si>
    <t>430-42958</t>
  </si>
  <si>
    <t>430-30189</t>
  </si>
  <si>
    <t>1113679273</t>
  </si>
  <si>
    <t>MARIA CAMILA ESCOBAR</t>
  </si>
  <si>
    <t>2026-02-06 15:00:33</t>
  </si>
  <si>
    <t>2026-02-18 16:20:00</t>
  </si>
  <si>
    <t>2026-02-02 23:19:52</t>
  </si>
  <si>
    <t>065-22001</t>
  </si>
  <si>
    <t>053-23230</t>
  </si>
  <si>
    <t>053-23231</t>
  </si>
  <si>
    <t>053-23232</t>
  </si>
  <si>
    <t>053-23237</t>
  </si>
  <si>
    <t>518-171652</t>
  </si>
  <si>
    <t>518-144581</t>
  </si>
  <si>
    <t>901972389</t>
  </si>
  <si>
    <t xml:space="preserve">HATIKVA ORAL HEALTH SAS </t>
  </si>
  <si>
    <t>2026-02-06 14:50:14</t>
  </si>
  <si>
    <t>2026-02-19 20:54:00</t>
  </si>
  <si>
    <t>2026-02-05 15:01:37</t>
  </si>
  <si>
    <t>053-23238</t>
  </si>
  <si>
    <t>053-23239</t>
  </si>
  <si>
    <t>065-22002</t>
  </si>
  <si>
    <t>717-62637</t>
  </si>
  <si>
    <t>A52-16124</t>
  </si>
  <si>
    <t>901434361</t>
  </si>
  <si>
    <t>TEK MODULARES SAS</t>
  </si>
  <si>
    <t>2026-02-06 16:30:26</t>
  </si>
  <si>
    <t>2026-02-18 12:59:00</t>
  </si>
  <si>
    <t>2026-02-06 14:18:10</t>
  </si>
  <si>
    <t>065-22004</t>
  </si>
  <si>
    <t>065-22005</t>
  </si>
  <si>
    <t>204-128909</t>
  </si>
  <si>
    <t>204-552694</t>
  </si>
  <si>
    <t>901918187</t>
  </si>
  <si>
    <t>GEOMETRICA DISEYNTILDEO  Y CON SAS</t>
  </si>
  <si>
    <t>1006827902</t>
  </si>
  <si>
    <t>ANGIE XIMENA RODRIGUEZ ORTIZ</t>
  </si>
  <si>
    <t>2026-02-06 16:30:38</t>
  </si>
  <si>
    <t>2026-02-17 17:37:00</t>
  </si>
  <si>
    <t>2026-02-05 10:33:15</t>
  </si>
  <si>
    <t>065-22006</t>
  </si>
  <si>
    <t>101-340239</t>
  </si>
  <si>
    <t>C01-111702</t>
  </si>
  <si>
    <t>901048446</t>
  </si>
  <si>
    <t>DKO DESIGN SAS</t>
  </si>
  <si>
    <t>52304182</t>
  </si>
  <si>
    <t xml:space="preserve">FANNY  GRANADOS </t>
  </si>
  <si>
    <t>2026-02-06 16:40:46</t>
  </si>
  <si>
    <t>2026-02-18 12:58:00</t>
  </si>
  <si>
    <t>2026-02-04 12:21:23</t>
  </si>
  <si>
    <t>065-22009</t>
  </si>
  <si>
    <t>406-108086</t>
  </si>
  <si>
    <t>S06-16291</t>
  </si>
  <si>
    <t>901473170</t>
  </si>
  <si>
    <t>MATHIZ SAS .</t>
  </si>
  <si>
    <t>16739663</t>
  </si>
  <si>
    <t xml:space="preserve">ALBERTO  CARDONA </t>
  </si>
  <si>
    <t>2026-02-07 08:10:19</t>
  </si>
  <si>
    <t>2026-02-17 16:50:00</t>
  </si>
  <si>
    <t>2026-02-06 09:39:20</t>
  </si>
  <si>
    <t>065-22011</t>
  </si>
  <si>
    <t>550-8384</t>
  </si>
  <si>
    <t>ZNT-35684</t>
  </si>
  <si>
    <t>2026-02-07 08:50:12</t>
  </si>
  <si>
    <t>2026-03-12 11:54:00</t>
  </si>
  <si>
    <t>2025-12-18 08:57:36</t>
  </si>
  <si>
    <t>065-22012</t>
  </si>
  <si>
    <t>065-22013</t>
  </si>
  <si>
    <t>065-22014</t>
  </si>
  <si>
    <t>065-22017</t>
  </si>
  <si>
    <t>430-43040</t>
  </si>
  <si>
    <t>430-30199</t>
  </si>
  <si>
    <t>6391796</t>
  </si>
  <si>
    <t>EDWIN HERRERA</t>
  </si>
  <si>
    <t>2026-02-07 10:50:23</t>
  </si>
  <si>
    <t>2026-02-19 10:54:00</t>
  </si>
  <si>
    <t>2026-02-05 12:41:17</t>
  </si>
  <si>
    <t>065-22019</t>
  </si>
  <si>
    <t>421-85909</t>
  </si>
  <si>
    <t>421-328832</t>
  </si>
  <si>
    <t>2026-02-07 11:30:35</t>
  </si>
  <si>
    <t>2026-02-19 11:39:00</t>
  </si>
  <si>
    <t>2026-02-06 12:10:41</t>
  </si>
  <si>
    <t>065-22024</t>
  </si>
  <si>
    <t>430-43110</t>
  </si>
  <si>
    <t>430-30211</t>
  </si>
  <si>
    <t>2026-02-07 13:10:23</t>
  </si>
  <si>
    <t>2026-02-19 17:47:00</t>
  </si>
  <si>
    <t>2026-02-07 12:37:20</t>
  </si>
  <si>
    <t>065-22027</t>
  </si>
  <si>
    <t>430-43087</t>
  </si>
  <si>
    <t>430-30212</t>
  </si>
  <si>
    <t>1151936270</t>
  </si>
  <si>
    <t>SUSANA GALEANO CUELLAR</t>
  </si>
  <si>
    <t>2026-02-07 13:20:05</t>
  </si>
  <si>
    <t>2026-02-20 07:12:00</t>
  </si>
  <si>
    <t>2026-02-06 23:37:04</t>
  </si>
  <si>
    <t>065-22031</t>
  </si>
  <si>
    <t>438-3829</t>
  </si>
  <si>
    <t>438-1645</t>
  </si>
  <si>
    <t>901583983</t>
  </si>
  <si>
    <t>B A  BUSINESS INVESTMENTS SAS</t>
  </si>
  <si>
    <t>1105684832</t>
  </si>
  <si>
    <t>CAMILO IVAN BARRERO MARROQUIN</t>
  </si>
  <si>
    <t>2026-02-08 14:00:00</t>
  </si>
  <si>
    <t>2026-02-20 18:12:00</t>
  </si>
  <si>
    <t>2026-02-06 19:10:29</t>
  </si>
  <si>
    <t>065-22033</t>
  </si>
  <si>
    <t>065-22034</t>
  </si>
  <si>
    <t>065-22035</t>
  </si>
  <si>
    <t>717-62674</t>
  </si>
  <si>
    <t>A52-16133</t>
  </si>
  <si>
    <t>901700397</t>
  </si>
  <si>
    <t>CESLA GOLDEN HOUSE SAS</t>
  </si>
  <si>
    <t>43973835</t>
  </si>
  <si>
    <t>SIRLEY JOHANA JOHANA GARRO CARVAJAL</t>
  </si>
  <si>
    <t>2026-02-09 08:50:02</t>
  </si>
  <si>
    <t>2026-02-19 14:17:00</t>
  </si>
  <si>
    <t>2026-02-07 13:31:24</t>
  </si>
  <si>
    <t>065-22036</t>
  </si>
  <si>
    <t>800-9609</t>
  </si>
  <si>
    <t>ZNA-106076</t>
  </si>
  <si>
    <t>901540602</t>
  </si>
  <si>
    <t>AVANZA PROPERTY SAS</t>
  </si>
  <si>
    <t>1070591873</t>
  </si>
  <si>
    <t xml:space="preserve">ROSA  DIAZ </t>
  </si>
  <si>
    <t>2026-02-09 10:20:13</t>
  </si>
  <si>
    <t>2026-02-21 14:28:00</t>
  </si>
  <si>
    <t>2026-02-06 06:54:15</t>
  </si>
  <si>
    <t>065-22039</t>
  </si>
  <si>
    <t>053-23240</t>
  </si>
  <si>
    <t>423-102481</t>
  </si>
  <si>
    <t>S22-12293</t>
  </si>
  <si>
    <t>2026-02-06 16:40:42</t>
  </si>
  <si>
    <t>2026-02-19 14:25:00</t>
  </si>
  <si>
    <t>2025-11-28 16:49:41</t>
  </si>
  <si>
    <t>053-23242</t>
  </si>
  <si>
    <t>053-23245</t>
  </si>
  <si>
    <t>053-23247</t>
  </si>
  <si>
    <t>053-23249</t>
  </si>
  <si>
    <t>053-23250</t>
  </si>
  <si>
    <t>053-23252</t>
  </si>
  <si>
    <t>053-23253</t>
  </si>
  <si>
    <t>053-23258</t>
  </si>
  <si>
    <t>053-23259</t>
  </si>
  <si>
    <t>053-23261</t>
  </si>
  <si>
    <t>053-23264</t>
  </si>
  <si>
    <t>053-23268</t>
  </si>
  <si>
    <t>053-23270</t>
  </si>
  <si>
    <t>053-23272</t>
  </si>
  <si>
    <t>053-23273</t>
  </si>
  <si>
    <t>053-23275</t>
  </si>
  <si>
    <t>518-171710</t>
  </si>
  <si>
    <t>518-144635</t>
  </si>
  <si>
    <t>50911629</t>
  </si>
  <si>
    <t>IVONE ARISTIZABAL</t>
  </si>
  <si>
    <t>2026-02-07 11:50:22</t>
  </si>
  <si>
    <t>2026-02-21 09:02:00</t>
  </si>
  <si>
    <t>2026-02-06 09:54:53</t>
  </si>
  <si>
    <t>053-23276</t>
  </si>
  <si>
    <t>053-23277</t>
  </si>
  <si>
    <t>053-23279</t>
  </si>
  <si>
    <t>515-219432</t>
  </si>
  <si>
    <t>515-747026</t>
  </si>
  <si>
    <t>901415620</t>
  </si>
  <si>
    <t>DESIGN  HYM SAS</t>
  </si>
  <si>
    <t>1143227863</t>
  </si>
  <si>
    <t>LILY  LEGUIA LIÑAN</t>
  </si>
  <si>
    <t>2026-02-07 13:03:56</t>
  </si>
  <si>
    <t>2026-02-20 14:23:00</t>
  </si>
  <si>
    <t>2026-01-20 12:18:39</t>
  </si>
  <si>
    <t>053-23280</t>
  </si>
  <si>
    <t>053-23282</t>
  </si>
  <si>
    <t>053-23283</t>
  </si>
  <si>
    <t>053-23284</t>
  </si>
  <si>
    <t>551-12281</t>
  </si>
  <si>
    <t>551-5716</t>
  </si>
  <si>
    <t>900798155</t>
  </si>
  <si>
    <t>METCON COLOMBIA SAS SAS</t>
  </si>
  <si>
    <t>1129583568</t>
  </si>
  <si>
    <t>FREDERICK MICHAEL LLINÁS PÉREZ</t>
  </si>
  <si>
    <t>2026-02-07 16:20:00</t>
  </si>
  <si>
    <t>2026-02-20 19:12:00</t>
  </si>
  <si>
    <t>2026-02-05 19:56:53</t>
  </si>
  <si>
    <t>053-23285</t>
  </si>
  <si>
    <t>518-171520</t>
  </si>
  <si>
    <t>518-144726</t>
  </si>
  <si>
    <t>901667528</t>
  </si>
  <si>
    <t>ATLANTIGAS SAS</t>
  </si>
  <si>
    <t>2026-02-09 13:00:08</t>
  </si>
  <si>
    <t>2026-02-19 20:55:00</t>
  </si>
  <si>
    <t>2026-02-04 16:35:53</t>
  </si>
  <si>
    <t>053-23286</t>
  </si>
  <si>
    <t>053-23288</t>
  </si>
  <si>
    <t>064-8387</t>
  </si>
  <si>
    <t>064-8391</t>
  </si>
  <si>
    <t>064-8395</t>
  </si>
  <si>
    <t>064-8396</t>
  </si>
  <si>
    <t>064-8398</t>
  </si>
  <si>
    <t>064-8399</t>
  </si>
  <si>
    <t>064-8400</t>
  </si>
  <si>
    <t>064-8404</t>
  </si>
  <si>
    <t>064-8406</t>
  </si>
  <si>
    <t>064-8407</t>
  </si>
  <si>
    <t>064-8408</t>
  </si>
  <si>
    <t>064-8410</t>
  </si>
  <si>
    <t>064-8412</t>
  </si>
  <si>
    <t>064-8413</t>
  </si>
  <si>
    <t>716-98500</t>
  </si>
  <si>
    <t>716-167872</t>
  </si>
  <si>
    <t>2026-02-06 14:30:27</t>
  </si>
  <si>
    <t>2026-02-17 09:40:00</t>
  </si>
  <si>
    <t>2026-01-23 16:45:52</t>
  </si>
  <si>
    <t>064-8415</t>
  </si>
  <si>
    <t>064-8418</t>
  </si>
  <si>
    <t>064-8420</t>
  </si>
  <si>
    <t>720-58699</t>
  </si>
  <si>
    <t>720-33943</t>
  </si>
  <si>
    <t>15511145</t>
  </si>
  <si>
    <t>CARLOS ALVAREZ GALLEGO</t>
  </si>
  <si>
    <t>2026-02-06 17:00:32</t>
  </si>
  <si>
    <t>2026-02-17 15:03:00</t>
  </si>
  <si>
    <t>2026-02-05 10:32:35</t>
  </si>
  <si>
    <t>064-8421</t>
  </si>
  <si>
    <t>064-8422</t>
  </si>
  <si>
    <t>064-8423</t>
  </si>
  <si>
    <t>064-8425</t>
  </si>
  <si>
    <t>064-8427</t>
  </si>
  <si>
    <t>064-8428</t>
  </si>
  <si>
    <t>064-8429</t>
  </si>
  <si>
    <t>064-8432</t>
  </si>
  <si>
    <t>064-8434</t>
  </si>
  <si>
    <t>064-8435</t>
  </si>
  <si>
    <t>064-8437</t>
  </si>
  <si>
    <t>700-33453</t>
  </si>
  <si>
    <t>901141057</t>
  </si>
  <si>
    <t>BOCETO Y DISEÑO SAS</t>
  </si>
  <si>
    <t>2026-02-06 19:10:59</t>
  </si>
  <si>
    <t>2026-02-23 10:06:00</t>
  </si>
  <si>
    <t>2026-01-23 08:48:57</t>
  </si>
  <si>
    <t>064-8438</t>
  </si>
  <si>
    <t>600-26662</t>
  </si>
  <si>
    <t>2026-02-07 06:59:56</t>
  </si>
  <si>
    <t>2026-02-19 19:14:00</t>
  </si>
  <si>
    <t>064-8439</t>
  </si>
  <si>
    <t>064-8440</t>
  </si>
  <si>
    <t>064-8441</t>
  </si>
  <si>
    <t>064-8443</t>
  </si>
  <si>
    <t>064-8444</t>
  </si>
  <si>
    <t>064-8446</t>
  </si>
  <si>
    <t>722-66297</t>
  </si>
  <si>
    <t>722-37855</t>
  </si>
  <si>
    <t>901802202</t>
  </si>
  <si>
    <t>MARMOLERIA RENACER SAS</t>
  </si>
  <si>
    <t>2026-02-07 08:12:28</t>
  </si>
  <si>
    <t>2026-02-19 14:34:00</t>
  </si>
  <si>
    <t>2026-02-03 13:40:23</t>
  </si>
  <si>
    <t>064-8447</t>
  </si>
  <si>
    <t>064-8450</t>
  </si>
  <si>
    <t>064-8460</t>
  </si>
  <si>
    <t>064-8464</t>
  </si>
  <si>
    <t>623-102993</t>
  </si>
  <si>
    <t>623-89471</t>
  </si>
  <si>
    <t>900472209</t>
  </si>
  <si>
    <t>IMECPRO  SAS</t>
  </si>
  <si>
    <t>1128438791</t>
  </si>
  <si>
    <t xml:space="preserve">HARLEN MAURICIO ROJAS </t>
  </si>
  <si>
    <t>2026-02-07 10:51:04</t>
  </si>
  <si>
    <t>2026-02-18 09:07:00</t>
  </si>
  <si>
    <t>2026-01-29 15:37:35</t>
  </si>
  <si>
    <t>064-8466</t>
  </si>
  <si>
    <t>064-8467</t>
  </si>
  <si>
    <t>064-8468</t>
  </si>
  <si>
    <t>064-8470</t>
  </si>
  <si>
    <t>064-8473</t>
  </si>
  <si>
    <t>065-21972</t>
  </si>
  <si>
    <t>065-21974</t>
  </si>
  <si>
    <t>065-21977</t>
  </si>
  <si>
    <t>065-21981</t>
  </si>
  <si>
    <t>065-21982</t>
  </si>
  <si>
    <t>2026-02-06 11:33:51</t>
  </si>
  <si>
    <t>065-21984</t>
  </si>
  <si>
    <t>001-8233</t>
  </si>
  <si>
    <t>2026-02-06 11:34:34</t>
  </si>
  <si>
    <t>2026-02-18 07:41:00</t>
  </si>
  <si>
    <t>2026-01-19 08:15:48</t>
  </si>
  <si>
    <t>065-21985</t>
  </si>
  <si>
    <t>065-21986</t>
  </si>
  <si>
    <t>001-8234</t>
  </si>
  <si>
    <t>2026-02-06 11:36:35</t>
  </si>
  <si>
    <t>2026-02-18 09:38:00</t>
  </si>
  <si>
    <t>2026-01-19 08:44:20</t>
  </si>
  <si>
    <t>065-21987</t>
  </si>
  <si>
    <t>065-21990</t>
  </si>
  <si>
    <t>065-21992</t>
  </si>
  <si>
    <t>065-21994</t>
  </si>
  <si>
    <t>001-8238</t>
  </si>
  <si>
    <t>2026-02-06 11:37:41</t>
  </si>
  <si>
    <t>2026-02-17 14:41:00</t>
  </si>
  <si>
    <t>2026-01-19 09:57:39</t>
  </si>
  <si>
    <t>065-21996</t>
  </si>
  <si>
    <t>065-21998</t>
  </si>
  <si>
    <t>426-47010</t>
  </si>
  <si>
    <t>426-34823</t>
  </si>
  <si>
    <t>16250035</t>
  </si>
  <si>
    <t>JOSE RAMIREZ</t>
  </si>
  <si>
    <t>2026-02-17 20:30:00</t>
  </si>
  <si>
    <t>2026-02-04 10:08:19</t>
  </si>
  <si>
    <t>065-21999</t>
  </si>
  <si>
    <t>065-22003</t>
  </si>
  <si>
    <t>065-22007</t>
  </si>
  <si>
    <t>065-22008</t>
  </si>
  <si>
    <t>065-22010</t>
  </si>
  <si>
    <t>065-22015</t>
  </si>
  <si>
    <t>855-2297</t>
  </si>
  <si>
    <t>ZEO-</t>
  </si>
  <si>
    <t>811030916</t>
  </si>
  <si>
    <t>INGEMAT COLOMBIA SAS</t>
  </si>
  <si>
    <t>2026-02-07 10:44:00</t>
  </si>
  <si>
    <t>2026-02-27 18:16:00</t>
  </si>
  <si>
    <t>2026-02-05 16:13:34</t>
  </si>
  <si>
    <t>065-22016</t>
  </si>
  <si>
    <t>065-22018</t>
  </si>
  <si>
    <t>065-22020</t>
  </si>
  <si>
    <t>065-22021</t>
  </si>
  <si>
    <t>427-9810</t>
  </si>
  <si>
    <t>427-4395</t>
  </si>
  <si>
    <t>16547779</t>
  </si>
  <si>
    <t>JORGE GUZMAN</t>
  </si>
  <si>
    <t>6104587</t>
  </si>
  <si>
    <t>YEFERSON  MOSQUERA LEDESMA</t>
  </si>
  <si>
    <t>2026-02-07 12:50:43</t>
  </si>
  <si>
    <t>2026-02-23 07:14:00</t>
  </si>
  <si>
    <t>2026-01-30 13:29:27</t>
  </si>
  <si>
    <t>065-22022</t>
  </si>
  <si>
    <t>439-2966</t>
  </si>
  <si>
    <t>439-1237</t>
  </si>
  <si>
    <t>31538814</t>
  </si>
  <si>
    <t>PAOLA OROZCO</t>
  </si>
  <si>
    <t>2026-02-07 13:10:19</t>
  </si>
  <si>
    <t>2026-02-06 15:25:48</t>
  </si>
  <si>
    <t>065-22023</t>
  </si>
  <si>
    <t>065-22025</t>
  </si>
  <si>
    <t>065-22026</t>
  </si>
  <si>
    <t>065-22032</t>
  </si>
  <si>
    <t>065-22037</t>
  </si>
  <si>
    <t>065-22038</t>
  </si>
  <si>
    <t>065-22040</t>
  </si>
  <si>
    <t>123-66076</t>
  </si>
  <si>
    <t>123-51361</t>
  </si>
  <si>
    <t>2026-02-09 17:10:12</t>
  </si>
  <si>
    <t>2026-02-28 15:36:00</t>
  </si>
  <si>
    <t>2026-02-09 16:10:46</t>
  </si>
  <si>
    <t> 064-8371</t>
  </si>
  <si>
    <t> 700</t>
  </si>
  <si>
    <t>OFICINA NOROCCIDENTAL NORTE</t>
  </si>
  <si>
    <t>901761751 - CONSTRUCCIONES SOLANA SAS</t>
  </si>
  <si>
    <t>CIR 77# 38- 78 torre solana(COLOMBIA - Antioquia-Medellín</t>
  </si>
  <si>
    <t>PELIKANO RH MILAN S/P 2.15X2.44X0.015</t>
  </si>
  <si>
    <t xml:space="preserve">CANTO PVC ORANGE DIS. MILAN 19MM </t>
  </si>
  <si>
    <t>14/Feb. 15:08</t>
  </si>
  <si>
    <t>MG4038</t>
  </si>
  <si>
    <t> 064-8372</t>
  </si>
  <si>
    <t> 064-8373</t>
  </si>
  <si>
    <t/>
  </si>
  <si>
    <t> 064-8374</t>
  </si>
  <si>
    <t>PELIKANO MILAN PO 2.15X2.44X0.036</t>
  </si>
  <si>
    <t>CANTO RIGIDO ORANGE MILAN 41MM</t>
  </si>
  <si>
    <t>Enchapar*4L</t>
  </si>
  <si>
    <t>Enchapar*1L/600</t>
  </si>
  <si>
    <t>R45</t>
  </si>
  <si>
    <t>R42.8</t>
  </si>
  <si>
    <t>Enchapar*1L/1055</t>
  </si>
  <si>
    <t>r45</t>
  </si>
  <si>
    <t>r46.5</t>
  </si>
  <si>
    <t>Enchapar*1L/770</t>
  </si>
  <si>
    <t>r71.3</t>
  </si>
  <si>
    <t>r126</t>
  </si>
  <si>
    <t>r47</t>
  </si>
  <si>
    <t>Enchapar*2L/2420</t>
  </si>
  <si>
    <t>Enchapar*1L/795</t>
  </si>
  <si>
    <t>Enchapar*1L/930</t>
  </si>
  <si>
    <t>RENGRUECE</t>
  </si>
  <si>
    <t>COMPLEMENTO</t>
  </si>
  <si>
    <t>R87.3</t>
  </si>
  <si>
    <t>2 PB</t>
  </si>
  <si>
    <t>rengruece</t>
  </si>
  <si>
    <t>complemento</t>
  </si>
  <si>
    <t>Enchapar*1L/750</t>
  </si>
  <si>
    <t>r69.3</t>
  </si>
  <si>
    <t>Enchapar*2L/1000</t>
  </si>
  <si>
    <t>Enchapar*1L/670</t>
  </si>
  <si>
    <t>Enchapar*1L/570</t>
  </si>
  <si>
    <t>Enchapar*1L/520</t>
  </si>
  <si>
    <t>r55.2</t>
  </si>
  <si>
    <t>r25</t>
  </si>
  <si>
    <t>R74.3</t>
  </si>
  <si>
    <t>2 PB*670</t>
  </si>
  <si>
    <t>2PB*900</t>
  </si>
  <si>
    <t>[P1:1] [P2:1] [P3:1] [P4:1] [P5:1] [P6:1]</t>
  </si>
  <si>
    <t>[P7:1] [P8:1]</t>
  </si>
  <si>
    <t>[P9:19] [P10:6]</t>
  </si>
  <si>
    <t>[P11:19] [P12:11]</t>
  </si>
  <si>
    <t>[P14:1] [P15:1]</t>
  </si>
  <si>
    <t>[P17:1] [P18:1]</t>
  </si>
  <si>
    <t>[P20:2] [P21:2]</t>
  </si>
  <si>
    <t>[P23:2] [P24:2]</t>
  </si>
  <si>
    <t>[P5:3] [P6:3]</t>
  </si>
  <si>
    <t>[P1:1]</t>
  </si>
  <si>
    <t>[P2:1]</t>
  </si>
  <si>
    <t>[P3:1]</t>
  </si>
  <si>
    <t>[P4:1]</t>
  </si>
  <si>
    <t>[P5:1]</t>
  </si>
  <si>
    <t>[P6:1]</t>
  </si>
  <si>
    <t>[P7:1]</t>
  </si>
  <si>
    <t>[P8:1]</t>
  </si>
  <si>
    <t>[P9:19]</t>
  </si>
  <si>
    <t>[P10:6]</t>
  </si>
  <si>
    <t>[P11:19]</t>
  </si>
  <si>
    <t>[P12:11]</t>
  </si>
  <si>
    <t>[P14:1]</t>
  </si>
  <si>
    <t>[P15:1]</t>
  </si>
  <si>
    <t>[P17:1]</t>
  </si>
  <si>
    <t>[P18:1]</t>
  </si>
  <si>
    <t>[P20:2]</t>
  </si>
  <si>
    <t>[P21:2]</t>
  </si>
  <si>
    <t>[P23:2]</t>
  </si>
  <si>
    <t>[P24:2]</t>
  </si>
  <si>
    <t>[P5:3]</t>
  </si>
  <si>
    <t>[P6:3]</t>
  </si>
  <si>
    <t>LISTA DE EMPAQUE - REPORTE PARA OPERARIO (064-8371)</t>
  </si>
  <si>
    <t>1 | 6</t>
  </si>
  <si>
    <t>6 x 1und</t>
  </si>
  <si>
    <t>7 | 8</t>
  </si>
  <si>
    <t>9 | 10</t>
  </si>
  <si>
    <t>1 x 19und y 1 x 6und</t>
  </si>
  <si>
    <t>11 | 12</t>
  </si>
  <si>
    <t>1 x 19und y 1 x 11und</t>
  </si>
  <si>
    <t>17 | 18</t>
  </si>
  <si>
    <t>20 | 21</t>
  </si>
  <si>
    <t>23 | 24</t>
  </si>
  <si>
    <t>TOTAL PIEZAS EMPACADAS: 364</t>
  </si>
  <si>
    <t>TOTAL PAQUETES: 47</t>
  </si>
  <si>
    <t>LISTA DE EMPAQUE - REPORTE PARA OPERARIO (064-8372)</t>
  </si>
  <si>
    <t>5 | 6</t>
  </si>
  <si>
    <t>2 x 3und</t>
  </si>
  <si>
    <t>TOTAL PIEZAS EMPACADAS: 68</t>
  </si>
  <si>
    <t>TOTAL PAQUETES: 9</t>
  </si>
  <si>
    <t>LISTA DE EMPAQUE - REPORTE PARA OPERARIO (064-8373)</t>
  </si>
  <si>
    <t>TOTAL PIEZAS EMPACADAS: 7</t>
  </si>
  <si>
    <t>TOTAL PAQUETES: 1</t>
  </si>
  <si>
    <t>LISTA DE EMPAQUE - REPORTE PARA OPERARIO (064-8374)</t>
  </si>
  <si>
    <t>TOTAL PIEZAS EMPACADAS: 9</t>
  </si>
  <si>
    <t>2420 * 265</t>
  </si>
  <si>
    <t>RH MILAN</t>
  </si>
  <si>
    <t>2.15X2.44X0.015</t>
  </si>
  <si>
    <t>905 * 925</t>
  </si>
  <si>
    <t>RH TAUPE</t>
  </si>
  <si>
    <t>1175 * 260</t>
  </si>
  <si>
    <t>865 * 449</t>
  </si>
  <si>
    <t>1115 * 1771</t>
  </si>
  <si>
    <t>2.15X2.44X0.006</t>
  </si>
  <si>
    <t>2420 * 320</t>
  </si>
  <si>
    <t>2420 * 420</t>
  </si>
  <si>
    <t>2420 * 535</t>
  </si>
  <si>
    <t>2350 * 165</t>
  </si>
  <si>
    <t xml:space="preserve">MILAN </t>
  </si>
  <si>
    <t xml:space="preserve"> 2.15X2.44X0.036</t>
  </si>
  <si>
    <t>SANTIAGO ARBOLEDA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</si>
</sst>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 Nova Cond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b/>
      <sz val="8"/>
      <color theme="1"/>
      <name val="Calibri"/>
      <family val="2"/>
    </font>
    <font>
      <sz val="10"/>
      <color theme="1"/>
      <name val="Calibri"/>
      <family val="2"/>
    </font>
    <font>
      <sz val="8"/>
      <name val="Arial"/>
      <family val="2"/>
    </font>
    <font>
      <sz val="8"/>
      <color theme="1"/>
      <name val="Arial"/>
      <family val="2"/>
    </font>
    <font>
      <sz val="8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  <font>
      <b/>
      <sz val="7.2"/>
      <name val="Arial"/>
      <family val="2"/>
    </font>
    <font>
      <b/>
      <sz val="13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6AA84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9">
    <xf numFmtId="0" fontId="0" fillId="0" borderId="0"/>
    <xf numFmtId="0" fontId="2" fillId="0" borderId="0"/>
    <xf numFmtId="0" fontId="12" fillId="0" borderId="0"/>
    <xf numFmtId="0" fontId="18" fillId="0" borderId="0"/>
    <xf numFmtId="0" fontId="26" fillId="0" borderId="0"/>
    <xf numFmtId="0" fontId="12" fillId="0" borderId="0"/>
    <xf numFmtId="0" fontId="12" fillId="0" borderId="0"/>
    <xf numFmtId="0" fontId="2" fillId="0" borderId="0"/>
    <xf numFmtId="0" fontId="18" fillId="0" borderId="0"/>
  </cellStyleXfs>
  <cellXfs count="175">
    <xf numFmtId="0" fontId="0" fillId="0" borderId="0" xfId="0"/>
    <xf numFmtId="0" fontId="4" fillId="3" borderId="0" xfId="1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2" fillId="0" borderId="0" xfId="1"/>
    <xf numFmtId="0" fontId="5" fillId="5" borderId="4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7" fillId="3" borderId="0" xfId="1" applyFont="1" applyFill="1"/>
    <xf numFmtId="0" fontId="6" fillId="6" borderId="1" xfId="1" applyFont="1" applyFill="1" applyBorder="1" applyAlignment="1">
      <alignment horizontal="center" vertical="center"/>
    </xf>
    <xf numFmtId="0" fontId="6" fillId="6" borderId="7" xfId="1" applyFont="1" applyFill="1" applyBorder="1" applyAlignment="1">
      <alignment horizontal="center" vertical="center"/>
    </xf>
    <xf numFmtId="0" fontId="6" fillId="6" borderId="3" xfId="1" applyFont="1" applyFill="1" applyBorder="1" applyAlignment="1">
      <alignment horizontal="center" vertical="center"/>
    </xf>
    <xf numFmtId="3" fontId="4" fillId="0" borderId="0" xfId="1" applyNumberFormat="1" applyFont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3" borderId="0" xfId="1" applyFont="1" applyFill="1" applyAlignment="1">
      <alignment vertical="center"/>
    </xf>
    <xf numFmtId="10" fontId="4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4" fillId="0" borderId="9" xfId="1" applyFont="1" applyBorder="1" applyAlignment="1">
      <alignment vertical="center"/>
    </xf>
    <xf numFmtId="0" fontId="9" fillId="0" borderId="9" xfId="1" applyFont="1" applyBorder="1" applyAlignment="1">
      <alignment horizontal="center" vertical="center"/>
    </xf>
    <xf numFmtId="0" fontId="9" fillId="3" borderId="0" xfId="1" applyFont="1" applyFill="1" applyAlignment="1">
      <alignment horizontal="center" vertical="center"/>
    </xf>
    <xf numFmtId="0" fontId="2" fillId="3" borderId="0" xfId="1" applyFill="1"/>
    <xf numFmtId="0" fontId="7" fillId="0" borderId="0" xfId="1" applyFont="1"/>
    <xf numFmtId="0" fontId="10" fillId="0" borderId="9" xfId="1" applyFont="1" applyBorder="1" applyAlignment="1">
      <alignment horizontal="center" vertical="center"/>
    </xf>
    <xf numFmtId="0" fontId="7" fillId="0" borderId="9" xfId="1" applyFont="1" applyBorder="1" applyAlignment="1">
      <alignment horizontal="center"/>
    </xf>
    <xf numFmtId="0" fontId="4" fillId="3" borderId="0" xfId="1" applyFont="1" applyFill="1"/>
    <xf numFmtId="0" fontId="4" fillId="0" borderId="9" xfId="1" applyFont="1" applyBorder="1" applyAlignment="1">
      <alignment horizontal="center" vertical="center" wrapText="1"/>
    </xf>
    <xf numFmtId="0" fontId="7" fillId="0" borderId="9" xfId="1" applyFont="1" applyBorder="1"/>
    <xf numFmtId="0" fontId="10" fillId="3" borderId="0" xfId="1" applyFont="1" applyFill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2" fillId="0" borderId="0" xfId="1" applyAlignment="1">
      <alignment horizontal="center"/>
    </xf>
    <xf numFmtId="2" fontId="0" fillId="0" borderId="0" xfId="0" applyNumberFormat="1"/>
    <xf numFmtId="0" fontId="1" fillId="7" borderId="0" xfId="0" applyFont="1" applyFill="1"/>
    <xf numFmtId="0" fontId="1" fillId="8" borderId="0" xfId="0" applyFont="1" applyFill="1"/>
    <xf numFmtId="0" fontId="14" fillId="0" borderId="0" xfId="1" applyFont="1"/>
    <xf numFmtId="0" fontId="15" fillId="0" borderId="0" xfId="1" applyFont="1"/>
    <xf numFmtId="0" fontId="16" fillId="0" borderId="0" xfId="1" applyFont="1"/>
    <xf numFmtId="0" fontId="15" fillId="0" borderId="0" xfId="1" applyFont="1" applyAlignment="1">
      <alignment horizontal="center"/>
    </xf>
    <xf numFmtId="0" fontId="15" fillId="0" borderId="0" xfId="1" applyFont="1" applyAlignment="1">
      <alignment vertical="center"/>
    </xf>
    <xf numFmtId="0" fontId="13" fillId="0" borderId="0" xfId="1" applyFont="1" applyAlignment="1">
      <alignment horizontal="center" vertical="center"/>
    </xf>
    <xf numFmtId="0" fontId="12" fillId="0" borderId="0" xfId="2"/>
    <xf numFmtId="0" fontId="21" fillId="9" borderId="20" xfId="3" applyFont="1" applyFill="1" applyBorder="1" applyAlignment="1">
      <alignment horizontal="center" vertical="center"/>
    </xf>
    <xf numFmtId="0" fontId="22" fillId="3" borderId="20" xfId="3" applyFont="1" applyFill="1" applyBorder="1" applyAlignment="1">
      <alignment horizontal="center" vertical="center"/>
    </xf>
    <xf numFmtId="0" fontId="19" fillId="3" borderId="20" xfId="3" applyFont="1" applyFill="1" applyBorder="1" applyAlignment="1">
      <alignment horizontal="center" vertical="center"/>
    </xf>
    <xf numFmtId="0" fontId="19" fillId="3" borderId="20" xfId="3" applyFont="1" applyFill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1" fontId="23" fillId="0" borderId="20" xfId="2" applyNumberFormat="1" applyFont="1" applyBorder="1" applyAlignment="1">
      <alignment horizontal="center" vertical="center" wrapText="1"/>
    </xf>
    <xf numFmtId="0" fontId="25" fillId="0" borderId="0" xfId="2" applyFont="1"/>
    <xf numFmtId="0" fontId="1" fillId="0" borderId="0" xfId="0" applyFont="1"/>
    <xf numFmtId="0" fontId="1" fillId="10" borderId="20" xfId="0" applyFont="1" applyFill="1" applyBorder="1"/>
    <xf numFmtId="0" fontId="26" fillId="0" borderId="0" xfId="4"/>
    <xf numFmtId="0" fontId="16" fillId="0" borderId="0" xfId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20" xfId="1" applyFont="1" applyBorder="1" applyAlignment="1">
      <alignment horizontal="center" vertical="center"/>
    </xf>
    <xf numFmtId="0" fontId="13" fillId="0" borderId="20" xfId="1" applyFont="1" applyBorder="1" applyAlignment="1">
      <alignment horizontal="center"/>
    </xf>
    <xf numFmtId="0" fontId="27" fillId="0" borderId="12" xfId="1" applyFont="1" applyBorder="1" applyAlignment="1">
      <alignment vertical="center"/>
    </xf>
    <xf numFmtId="0" fontId="27" fillId="0" borderId="13" xfId="1" applyFont="1" applyBorder="1" applyAlignment="1">
      <alignment vertical="center"/>
    </xf>
    <xf numFmtId="0" fontId="27" fillId="0" borderId="14" xfId="1" applyFont="1" applyBorder="1" applyAlignment="1">
      <alignment vertical="center"/>
    </xf>
    <xf numFmtId="0" fontId="27" fillId="0" borderId="0" xfId="1" applyFont="1" applyAlignment="1">
      <alignment vertical="center"/>
    </xf>
    <xf numFmtId="0" fontId="27" fillId="0" borderId="15" xfId="1" applyFont="1" applyBorder="1" applyAlignment="1">
      <alignment vertical="center"/>
    </xf>
    <xf numFmtId="0" fontId="28" fillId="0" borderId="14" xfId="1" applyFont="1" applyBorder="1" applyAlignment="1">
      <alignment vertical="center"/>
    </xf>
    <xf numFmtId="0" fontId="13" fillId="0" borderId="20" xfId="1" applyFont="1" applyBorder="1" applyAlignment="1">
      <alignment horizontal="center" vertical="center"/>
    </xf>
    <xf numFmtId="0" fontId="29" fillId="0" borderId="11" xfId="1" applyFont="1" applyBorder="1" applyAlignment="1">
      <alignment vertical="center"/>
    </xf>
    <xf numFmtId="0" fontId="19" fillId="0" borderId="29" xfId="3" applyFont="1" applyBorder="1" applyAlignment="1">
      <alignment wrapText="1"/>
    </xf>
    <xf numFmtId="0" fontId="19" fillId="0" borderId="25" xfId="3" applyFont="1" applyBorder="1" applyAlignment="1">
      <alignment wrapText="1"/>
    </xf>
    <xf numFmtId="0" fontId="19" fillId="0" borderId="0" xfId="3" applyFont="1" applyAlignment="1">
      <alignment wrapText="1"/>
    </xf>
    <xf numFmtId="0" fontId="19" fillId="0" borderId="32" xfId="3" applyFont="1" applyBorder="1" applyAlignment="1">
      <alignment wrapText="1"/>
    </xf>
    <xf numFmtId="0" fontId="19" fillId="0" borderId="30" xfId="3" applyFont="1" applyBorder="1" applyAlignment="1">
      <alignment wrapText="1"/>
    </xf>
    <xf numFmtId="0" fontId="19" fillId="0" borderId="28" xfId="3" applyFont="1" applyBorder="1" applyAlignment="1">
      <alignment wrapText="1"/>
    </xf>
    <xf numFmtId="0" fontId="1" fillId="11" borderId="0" xfId="0" applyFont="1" applyFill="1"/>
    <xf numFmtId="0" fontId="23" fillId="0" borderId="22" xfId="2" applyFont="1" applyBorder="1" applyAlignment="1">
      <alignment vertical="center"/>
    </xf>
    <xf numFmtId="0" fontId="19" fillId="0" borderId="20" xfId="3" applyFont="1" applyBorder="1" applyAlignment="1">
      <alignment horizontal="left" vertical="center"/>
    </xf>
    <xf numFmtId="0" fontId="30" fillId="12" borderId="33" xfId="0" applyFont="1" applyFill="1" applyBorder="1" applyAlignment="1">
      <alignment horizontal="center" vertical="center" wrapText="1"/>
    </xf>
    <xf numFmtId="0" fontId="30" fillId="12" borderId="34" xfId="0" applyFont="1" applyFill="1" applyBorder="1" applyAlignment="1">
      <alignment horizontal="center" vertical="center" wrapText="1"/>
    </xf>
    <xf numFmtId="0" fontId="31" fillId="12" borderId="34" xfId="0" applyFont="1" applyFill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33" fillId="0" borderId="36" xfId="0" applyFont="1" applyBorder="1" applyAlignment="1">
      <alignment vertical="center" wrapText="1"/>
    </xf>
    <xf numFmtId="0" fontId="34" fillId="0" borderId="36" xfId="0" applyFont="1" applyBorder="1" applyAlignment="1">
      <alignment vertical="center" wrapText="1"/>
    </xf>
    <xf numFmtId="0" fontId="34" fillId="0" borderId="36" xfId="0" applyFont="1" applyBorder="1" applyAlignment="1">
      <alignment horizontal="right" vertical="center" wrapText="1"/>
    </xf>
    <xf numFmtId="0" fontId="33" fillId="0" borderId="36" xfId="0" applyFont="1" applyBorder="1" applyAlignment="1">
      <alignment horizontal="right" vertical="center" wrapText="1"/>
    </xf>
    <xf numFmtId="14" fontId="33" fillId="0" borderId="36" xfId="0" applyNumberFormat="1" applyFont="1" applyBorder="1" applyAlignment="1">
      <alignment horizontal="right" vertical="center" wrapText="1"/>
    </xf>
    <xf numFmtId="14" fontId="33" fillId="0" borderId="36" xfId="0" applyNumberFormat="1" applyFont="1" applyBorder="1" applyAlignment="1">
      <alignment vertical="center" wrapText="1"/>
    </xf>
    <xf numFmtId="0" fontId="21" fillId="0" borderId="20" xfId="2" applyFont="1" applyBorder="1" applyAlignment="1">
      <alignment horizontal="center" vertical="center"/>
    </xf>
    <xf numFmtId="0" fontId="20" fillId="0" borderId="20" xfId="2" applyFont="1" applyBorder="1" applyAlignment="1">
      <alignment vertical="center"/>
    </xf>
    <xf numFmtId="0" fontId="1" fillId="13" borderId="20" xfId="1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9" fillId="0" borderId="21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/>
    </xf>
    <xf numFmtId="0" fontId="19" fillId="0" borderId="23" xfId="3" applyFont="1" applyBorder="1" applyAlignment="1">
      <alignment horizontal="center" vertical="center"/>
    </xf>
    <xf numFmtId="0" fontId="12" fillId="0" borderId="0" xfId="2" applyAlignment="1">
      <alignment horizontal="center"/>
    </xf>
    <xf numFmtId="0" fontId="19" fillId="0" borderId="2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5" borderId="0" xfId="0" applyFill="1"/>
    <xf numFmtId="0" fontId="0" fillId="6" borderId="0" xfId="0" applyFill="1"/>
    <xf numFmtId="0" fontId="0" fillId="16" borderId="0" xfId="0" applyFill="1"/>
    <xf numFmtId="0" fontId="0" fillId="17" borderId="0" xfId="0" applyFill="1"/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1" fillId="0" borderId="20" xfId="0" applyFont="1" applyBorder="1" applyAlignment="1">
      <alignment horizontal="left" vertical="center"/>
    </xf>
    <xf numFmtId="0" fontId="0" fillId="0" borderId="20" xfId="0" applyBorder="1"/>
    <xf numFmtId="22" fontId="0" fillId="0" borderId="20" xfId="0" applyNumberFormat="1" applyBorder="1" applyAlignment="1">
      <alignment horizontal="left" vertical="center"/>
    </xf>
    <xf numFmtId="0" fontId="1" fillId="7" borderId="20" xfId="0" applyFont="1" applyFill="1" applyBorder="1" applyAlignment="1">
      <alignment horizontal="center"/>
    </xf>
    <xf numFmtId="0" fontId="13" fillId="0" borderId="14" xfId="1" applyFont="1" applyBorder="1" applyAlignment="1">
      <alignment vertical="center"/>
    </xf>
    <xf numFmtId="0" fontId="13" fillId="0" borderId="0" xfId="1" applyFont="1" applyAlignment="1">
      <alignment vertical="center"/>
    </xf>
    <xf numFmtId="0" fontId="13" fillId="0" borderId="18" xfId="1" applyFont="1" applyBorder="1" applyAlignment="1">
      <alignment horizontal="center" vertical="center"/>
    </xf>
    <xf numFmtId="0" fontId="13" fillId="0" borderId="19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3" fillId="0" borderId="5" xfId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17" fillId="0" borderId="16" xfId="1" applyFont="1" applyBorder="1" applyAlignment="1">
      <alignment horizontal="center" vertical="center" wrapText="1"/>
    </xf>
    <xf numFmtId="0" fontId="17" fillId="0" borderId="17" xfId="1" applyFont="1" applyBorder="1" applyAlignment="1">
      <alignment horizontal="center" vertical="center" wrapText="1"/>
    </xf>
    <xf numFmtId="0" fontId="13" fillId="0" borderId="14" xfId="1" applyFont="1" applyBorder="1" applyAlignment="1">
      <alignment horizontal="left"/>
    </xf>
    <xf numFmtId="0" fontId="13" fillId="0" borderId="0" xfId="1" applyFont="1" applyAlignment="1">
      <alignment horizontal="left"/>
    </xf>
    <xf numFmtId="49" fontId="13" fillId="0" borderId="18" xfId="1" applyNumberFormat="1" applyFont="1" applyBorder="1" applyAlignment="1">
      <alignment horizontal="center" vertical="center"/>
    </xf>
    <xf numFmtId="49" fontId="13" fillId="0" borderId="19" xfId="1" applyNumberFormat="1" applyFont="1" applyBorder="1" applyAlignment="1">
      <alignment horizontal="center" vertical="center"/>
    </xf>
    <xf numFmtId="2" fontId="13" fillId="0" borderId="18" xfId="1" applyNumberFormat="1" applyFont="1" applyBorder="1" applyAlignment="1">
      <alignment horizontal="center" vertical="center"/>
    </xf>
    <xf numFmtId="2" fontId="13" fillId="0" borderId="19" xfId="1" applyNumberFormat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36" fillId="0" borderId="21" xfId="2" applyFont="1" applyBorder="1" applyAlignment="1">
      <alignment horizontal="center"/>
    </xf>
    <xf numFmtId="0" fontId="36" fillId="0" borderId="22" xfId="2" applyFont="1" applyBorder="1" applyAlignment="1">
      <alignment horizontal="center"/>
    </xf>
    <xf numFmtId="0" fontId="36" fillId="0" borderId="31" xfId="2" applyFont="1" applyBorder="1" applyAlignment="1">
      <alignment horizontal="center"/>
    </xf>
    <xf numFmtId="0" fontId="21" fillId="0" borderId="20" xfId="2" applyFont="1" applyBorder="1" applyAlignment="1">
      <alignment horizontal="center" vertical="center"/>
    </xf>
    <xf numFmtId="0" fontId="19" fillId="0" borderId="21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/>
    </xf>
    <xf numFmtId="0" fontId="20" fillId="0" borderId="24" xfId="2" applyFont="1" applyBorder="1" applyAlignment="1">
      <alignment horizontal="center" vertical="center" wrapText="1"/>
    </xf>
    <xf numFmtId="0" fontId="20" fillId="0" borderId="29" xfId="2" applyFont="1" applyBorder="1" applyAlignment="1">
      <alignment horizontal="center" vertical="center" wrapText="1"/>
    </xf>
    <xf numFmtId="0" fontId="20" fillId="0" borderId="27" xfId="2" applyFont="1" applyBorder="1" applyAlignment="1">
      <alignment horizontal="center" vertical="center" wrapText="1"/>
    </xf>
    <xf numFmtId="0" fontId="20" fillId="0" borderId="30" xfId="2" applyFont="1" applyBorder="1" applyAlignment="1">
      <alignment horizontal="center" vertical="center" wrapText="1"/>
    </xf>
    <xf numFmtId="0" fontId="19" fillId="0" borderId="23" xfId="3" applyFont="1" applyBorder="1" applyAlignment="1">
      <alignment horizontal="center" vertical="center"/>
    </xf>
    <xf numFmtId="0" fontId="19" fillId="0" borderId="26" xfId="3" applyFont="1" applyBorder="1" applyAlignment="1">
      <alignment horizontal="center" vertical="center"/>
    </xf>
    <xf numFmtId="14" fontId="20" fillId="0" borderId="31" xfId="2" applyNumberFormat="1" applyFont="1" applyBorder="1" applyAlignment="1">
      <alignment horizontal="center" vertical="center"/>
    </xf>
    <xf numFmtId="0" fontId="20" fillId="0" borderId="22" xfId="2" applyFont="1" applyBorder="1" applyAlignment="1">
      <alignment horizontal="center" vertical="center"/>
    </xf>
    <xf numFmtId="0" fontId="23" fillId="0" borderId="21" xfId="2" applyFont="1" applyBorder="1" applyAlignment="1">
      <alignment horizontal="center" vertical="center" wrapText="1"/>
    </xf>
    <xf numFmtId="0" fontId="23" fillId="0" borderId="22" xfId="2" applyFont="1" applyBorder="1" applyAlignment="1">
      <alignment horizontal="center" vertical="center" wrapText="1"/>
    </xf>
    <xf numFmtId="0" fontId="23" fillId="0" borderId="21" xfId="2" applyFont="1" applyBorder="1" applyAlignment="1">
      <alignment horizontal="left" vertical="center" wrapText="1"/>
    </xf>
    <xf numFmtId="0" fontId="23" fillId="0" borderId="22" xfId="2" applyFont="1" applyBorder="1" applyAlignment="1">
      <alignment horizontal="left" vertical="center" wrapText="1"/>
    </xf>
    <xf numFmtId="0" fontId="19" fillId="0" borderId="20" xfId="3" applyFont="1" applyBorder="1" applyAlignment="1">
      <alignment horizontal="center" vertical="top" wrapText="1"/>
    </xf>
    <xf numFmtId="0" fontId="35" fillId="0" borderId="20" xfId="2" applyFont="1" applyBorder="1" applyAlignment="1">
      <alignment horizontal="center" vertical="center"/>
    </xf>
    <xf numFmtId="0" fontId="21" fillId="0" borderId="21" xfId="3" applyFont="1" applyBorder="1" applyAlignment="1">
      <alignment horizontal="left" vertical="center" wrapText="1"/>
    </xf>
    <xf numFmtId="0" fontId="21" fillId="0" borderId="22" xfId="3" applyFont="1" applyBorder="1" applyAlignment="1">
      <alignment horizontal="left" vertical="center" wrapText="1"/>
    </xf>
    <xf numFmtId="0" fontId="19" fillId="3" borderId="23" xfId="3" applyFont="1" applyFill="1" applyBorder="1" applyAlignment="1">
      <alignment horizontal="center" vertical="center"/>
    </xf>
    <xf numFmtId="0" fontId="19" fillId="3" borderId="26" xfId="3" applyFont="1" applyFill="1" applyBorder="1" applyAlignment="1">
      <alignment horizontal="center" vertical="center"/>
    </xf>
    <xf numFmtId="2" fontId="21" fillId="3" borderId="24" xfId="3" applyNumberFormat="1" applyFont="1" applyFill="1" applyBorder="1" applyAlignment="1">
      <alignment horizontal="center" vertical="center" wrapText="1"/>
    </xf>
    <xf numFmtId="0" fontId="21" fillId="3" borderId="25" xfId="3" applyFont="1" applyFill="1" applyBorder="1" applyAlignment="1">
      <alignment horizontal="center" vertical="center" wrapText="1"/>
    </xf>
    <xf numFmtId="0" fontId="21" fillId="3" borderId="27" xfId="3" applyFont="1" applyFill="1" applyBorder="1" applyAlignment="1">
      <alignment horizontal="center" vertical="center" wrapText="1"/>
    </xf>
    <xf numFmtId="0" fontId="21" fillId="3" borderId="28" xfId="3" applyFont="1" applyFill="1" applyBorder="1" applyAlignment="1">
      <alignment horizontal="center" vertical="center" wrapText="1"/>
    </xf>
    <xf numFmtId="0" fontId="19" fillId="3" borderId="20" xfId="3" applyFont="1" applyFill="1" applyBorder="1" applyAlignment="1">
      <alignment horizontal="center" vertical="center"/>
    </xf>
    <xf numFmtId="0" fontId="21" fillId="0" borderId="21" xfId="3" applyFont="1" applyBorder="1" applyAlignment="1">
      <alignment horizontal="center" vertical="center" wrapText="1"/>
    </xf>
    <xf numFmtId="0" fontId="21" fillId="0" borderId="22" xfId="3" applyFont="1" applyBorder="1" applyAlignment="1">
      <alignment horizontal="center" vertical="center" wrapText="1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1" fillId="0" borderId="31" xfId="2" applyFont="1" applyBorder="1" applyAlignment="1">
      <alignment horizontal="center" vertical="center"/>
    </xf>
    <xf numFmtId="0" fontId="21" fillId="0" borderId="22" xfId="2" applyFont="1" applyBorder="1" applyAlignment="1">
      <alignment horizontal="center" vertical="center"/>
    </xf>
    <xf numFmtId="0" fontId="23" fillId="0" borderId="21" xfId="2" applyFont="1" applyBorder="1" applyAlignment="1">
      <alignment horizontal="center" vertical="center"/>
    </xf>
    <xf numFmtId="0" fontId="23" fillId="0" borderId="31" xfId="2" applyFont="1" applyBorder="1" applyAlignment="1">
      <alignment horizontal="center" vertical="center"/>
    </xf>
    <xf numFmtId="0" fontId="23" fillId="0" borderId="22" xfId="2" applyFont="1" applyBorder="1" applyAlignment="1">
      <alignment horizontal="center" vertical="center"/>
    </xf>
    <xf numFmtId="0" fontId="28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8" fillId="14" borderId="20" xfId="0" applyFont="1" applyFill="1" applyBorder="1" applyAlignment="1">
      <alignment horizontal="center"/>
    </xf>
  </cellXfs>
  <cellStyles count="9">
    <cellStyle name="Normal" xfId="0" builtinId="0"/>
    <cellStyle name="Normal 2" xfId="1" xr:uid="{00000000-0005-0000-0000-000001000000}"/>
    <cellStyle name="Normal 2 2" xfId="3" xr:uid="{00000000-0005-0000-0000-000002000000}"/>
    <cellStyle name="Normal 2 2 2" xfId="7" xr:uid="{00000000-0005-0000-0000-000003000000}"/>
    <cellStyle name="Normal 2 2 2 2" xfId="8" xr:uid="{00000000-0005-0000-0000-000004000000}"/>
    <cellStyle name="Normal 3" xfId="2" xr:uid="{00000000-0005-0000-0000-000005000000}"/>
    <cellStyle name="Normal 3 3" xfId="6" xr:uid="{00000000-0005-0000-0000-000006000000}"/>
    <cellStyle name="Normal 4" xfId="4" xr:uid="{00000000-0005-0000-0000-000007000000}"/>
    <cellStyle name="Normal 6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api.qrserver.com/v1/create-qr-code/?size=60x60&amp;data=QR-065-20778%20%7C%20P%208%20%2F%208" TargetMode="External"/><Relationship Id="rId3" Type="http://schemas.openxmlformats.org/officeDocument/2006/relationships/image" Target="https://api.qrserver.com/v1/create-qr-code/?size=60x60&amp;data=QR-065-20778%20%7C%20P%203%20%2F%208" TargetMode="External"/><Relationship Id="rId7" Type="http://schemas.openxmlformats.org/officeDocument/2006/relationships/image" Target="https://api.qrserver.com/v1/create-qr-code/?size=60x60&amp;data=QR-065-20778%20%7C%20P%207%20%2F%208" TargetMode="External"/><Relationship Id="rId2" Type="http://schemas.openxmlformats.org/officeDocument/2006/relationships/image" Target="https://api.qrserver.com/v1/create-qr-code/?size=60x60&amp;data=QR-065-20778%20%7C%20P%202%20%2F%208" TargetMode="External"/><Relationship Id="rId1" Type="http://schemas.openxmlformats.org/officeDocument/2006/relationships/image" Target="https://api.qrserver.com/v1/create-qr-code/?size=60x60&amp;data=QR-065-20778%20%7C%20P%201%20%2F%208" TargetMode="External"/><Relationship Id="rId6" Type="http://schemas.openxmlformats.org/officeDocument/2006/relationships/image" Target="https://api.qrserver.com/v1/create-qr-code/?size=60x60&amp;data=QR-065-20778%20%7C%20P%206%20%2F%208" TargetMode="External"/><Relationship Id="rId5" Type="http://schemas.openxmlformats.org/officeDocument/2006/relationships/image" Target="https://api.qrserver.com/v1/create-qr-code/?size=60x60&amp;data=QR-065-20778%20%7C%20P%205%20%2F%208" TargetMode="External"/><Relationship Id="rId4" Type="http://schemas.openxmlformats.org/officeDocument/2006/relationships/image" Target="https://api.qrserver.com/v1/create-qr-code/?size=60x60&amp;data=QR-065-20778%20%7C%20P%204%20%2F%208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631031</xdr:colOff>
      <xdr:row>0</xdr:row>
      <xdr:rowOff>285748</xdr:rowOff>
    </xdr:from>
    <xdr:to>
      <xdr:col>17</xdr:col>
      <xdr:colOff>178594</xdr:colOff>
      <xdr:row>0</xdr:row>
      <xdr:rowOff>1631155</xdr:rowOff>
    </xdr:to>
    <xdr:sp macro="[0]!Empaquetado_Final_MayorMedida_RangoIncluido_PesoDistribucion_Valid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E37EFAC-7F6A-05A5-EEB9-CF047683F9D2}"/>
            </a:ext>
          </a:extLst>
        </xdr:cNvPr>
        <xdr:cNvSpPr/>
      </xdr:nvSpPr>
      <xdr:spPr>
        <a:xfrm>
          <a:off x="10227469" y="285748"/>
          <a:ext cx="3178969" cy="134540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400" b="1"/>
            <a:t>EJECUTAR EMPAQUE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6</xdr:row>
      <xdr:rowOff>133350</xdr:rowOff>
    </xdr:from>
    <xdr:to>
      <xdr:col>9</xdr:col>
      <xdr:colOff>628650</xdr:colOff>
      <xdr:row>10</xdr:row>
      <xdr:rowOff>47625</xdr:rowOff>
    </xdr:to>
    <xdr:sp macro="[0]!Generar_Sticker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FA728B9-3D56-980D-434D-A3643CC8E1B9}"/>
            </a:ext>
          </a:extLst>
        </xdr:cNvPr>
        <xdr:cNvSpPr/>
      </xdr:nvSpPr>
      <xdr:spPr>
        <a:xfrm>
          <a:off x="3057525" y="1190625"/>
          <a:ext cx="1876425" cy="6000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EJECUTAR STICKERS</a:t>
          </a:r>
        </a:p>
      </xdr:txBody>
    </xdr:sp>
    <xdr:clientData/>
  </xdr:twoCellAnchor>
  <xdr:twoCellAnchor>
    <xdr:from>
      <xdr:col>9</xdr:col>
      <xdr:colOff>866775</xdr:colOff>
      <xdr:row>6</xdr:row>
      <xdr:rowOff>152400</xdr:rowOff>
    </xdr:from>
    <xdr:to>
      <xdr:col>11</xdr:col>
      <xdr:colOff>219075</xdr:colOff>
      <xdr:row>10</xdr:row>
      <xdr:rowOff>66675</xdr:rowOff>
    </xdr:to>
    <xdr:sp macro="[0]!Generar_Lista_Empaque_V20" textlink="">
      <xdr:nvSpPr>
        <xdr:cNvPr id="255" name="Rectángulo: esquinas redondeadas 254">
          <a:extLst>
            <a:ext uri="{FF2B5EF4-FFF2-40B4-BE49-F238E27FC236}">
              <a16:creationId xmlns:a16="http://schemas.microsoft.com/office/drawing/2014/main" id="{FB243F91-3353-4173-A139-470349E2F1E5}"/>
            </a:ext>
          </a:extLst>
        </xdr:cNvPr>
        <xdr:cNvSpPr/>
      </xdr:nvSpPr>
      <xdr:spPr>
        <a:xfrm>
          <a:off x="5172075" y="1209675"/>
          <a:ext cx="1876425" cy="60007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GENERAR REMISION EMPAQUE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4</xdr:row>
      <xdr:rowOff>47625</xdr:rowOff>
    </xdr:to>
    <xdr:pic>
      <xdr:nvPicPr>
        <xdr:cNvPr id="3" name="QR_B1">
          <a:extLst>
            <a:ext uri="{FF2B5EF4-FFF2-40B4-BE49-F238E27FC236}">
              <a16:creationId xmlns:a16="http://schemas.microsoft.com/office/drawing/2014/main" id="{872514D9-A4A1-B5CE-8555-01E8947A5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150" y="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3</xdr:col>
      <xdr:colOff>0</xdr:colOff>
      <xdr:row>17</xdr:row>
      <xdr:rowOff>28575</xdr:rowOff>
    </xdr:to>
    <xdr:pic>
      <xdr:nvPicPr>
        <xdr:cNvPr id="5" name="QR_B14">
          <a:extLst>
            <a:ext uri="{FF2B5EF4-FFF2-40B4-BE49-F238E27FC236}">
              <a16:creationId xmlns:a16="http://schemas.microsoft.com/office/drawing/2014/main" id="{6A89BB8C-6CCC-B890-518E-C348262FF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150" y="2219325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24</xdr:row>
      <xdr:rowOff>0</xdr:rowOff>
    </xdr:from>
    <xdr:to>
      <xdr:col>3</xdr:col>
      <xdr:colOff>0</xdr:colOff>
      <xdr:row>28</xdr:row>
      <xdr:rowOff>47625</xdr:rowOff>
    </xdr:to>
    <xdr:pic>
      <xdr:nvPicPr>
        <xdr:cNvPr id="8" name="QR_B25">
          <a:extLst>
            <a:ext uri="{FF2B5EF4-FFF2-40B4-BE49-F238E27FC236}">
              <a16:creationId xmlns:a16="http://schemas.microsoft.com/office/drawing/2014/main" id="{9BDE3AB0-815F-E9AD-F31B-3C7DCE79F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150" y="413385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37</xdr:row>
      <xdr:rowOff>0</xdr:rowOff>
    </xdr:from>
    <xdr:to>
      <xdr:col>3</xdr:col>
      <xdr:colOff>0</xdr:colOff>
      <xdr:row>41</xdr:row>
      <xdr:rowOff>28575</xdr:rowOff>
    </xdr:to>
    <xdr:pic>
      <xdr:nvPicPr>
        <xdr:cNvPr id="10" name="QR_B38">
          <a:extLst>
            <a:ext uri="{FF2B5EF4-FFF2-40B4-BE49-F238E27FC236}">
              <a16:creationId xmlns:a16="http://schemas.microsoft.com/office/drawing/2014/main" id="{B03CE547-B68A-55D2-9EFE-24E3DF478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150" y="6353175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48</xdr:row>
      <xdr:rowOff>0</xdr:rowOff>
    </xdr:from>
    <xdr:to>
      <xdr:col>3</xdr:col>
      <xdr:colOff>0</xdr:colOff>
      <xdr:row>52</xdr:row>
      <xdr:rowOff>47625</xdr:rowOff>
    </xdr:to>
    <xdr:pic>
      <xdr:nvPicPr>
        <xdr:cNvPr id="12" name="QR_B49">
          <a:extLst>
            <a:ext uri="{FF2B5EF4-FFF2-40B4-BE49-F238E27FC236}">
              <a16:creationId xmlns:a16="http://schemas.microsoft.com/office/drawing/2014/main" id="{7153FBAE-CB9C-869A-AEC7-8F97E66E0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7150" y="826770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61</xdr:row>
      <xdr:rowOff>0</xdr:rowOff>
    </xdr:from>
    <xdr:to>
      <xdr:col>3</xdr:col>
      <xdr:colOff>0</xdr:colOff>
      <xdr:row>65</xdr:row>
      <xdr:rowOff>28575</xdr:rowOff>
    </xdr:to>
    <xdr:pic>
      <xdr:nvPicPr>
        <xdr:cNvPr id="14" name="QR_B62">
          <a:extLst>
            <a:ext uri="{FF2B5EF4-FFF2-40B4-BE49-F238E27FC236}">
              <a16:creationId xmlns:a16="http://schemas.microsoft.com/office/drawing/2014/main" id="{8E83DA23-EFBD-CECD-3A93-AC675F468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7150" y="10487025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72</xdr:row>
      <xdr:rowOff>0</xdr:rowOff>
    </xdr:from>
    <xdr:to>
      <xdr:col>3</xdr:col>
      <xdr:colOff>0</xdr:colOff>
      <xdr:row>76</xdr:row>
      <xdr:rowOff>47625</xdr:rowOff>
    </xdr:to>
    <xdr:pic>
      <xdr:nvPicPr>
        <xdr:cNvPr id="16" name="QR_B73">
          <a:extLst>
            <a:ext uri="{FF2B5EF4-FFF2-40B4-BE49-F238E27FC236}">
              <a16:creationId xmlns:a16="http://schemas.microsoft.com/office/drawing/2014/main" id="{526DBF66-DC03-96B5-E6E9-28FBD264B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150" y="12401550"/>
          <a:ext cx="762000" cy="76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85</xdr:row>
      <xdr:rowOff>0</xdr:rowOff>
    </xdr:from>
    <xdr:to>
      <xdr:col>3</xdr:col>
      <xdr:colOff>0</xdr:colOff>
      <xdr:row>89</xdr:row>
      <xdr:rowOff>28575</xdr:rowOff>
    </xdr:to>
    <xdr:pic>
      <xdr:nvPicPr>
        <xdr:cNvPr id="18" name="QR_B86">
          <a:extLst>
            <a:ext uri="{FF2B5EF4-FFF2-40B4-BE49-F238E27FC236}">
              <a16:creationId xmlns:a16="http://schemas.microsoft.com/office/drawing/2014/main" id="{8F05D4CE-46ED-BA3D-AC66-A5D3CAA64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7150" y="14620875"/>
          <a:ext cx="762000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30</xdr:row>
      <xdr:rowOff>76199</xdr:rowOff>
    </xdr:from>
    <xdr:to>
      <xdr:col>6</xdr:col>
      <xdr:colOff>850446</xdr:colOff>
      <xdr:row>43</xdr:row>
      <xdr:rowOff>193158</xdr:rowOff>
    </xdr:to>
    <xdr:sp macro="" textlink="">
      <xdr:nvSpPr>
        <xdr:cNvPr id="2" name="4 CuadroTexto">
          <a:extLst>
            <a:ext uri="{FF2B5EF4-FFF2-40B4-BE49-F238E27FC236}">
              <a16:creationId xmlns:a16="http://schemas.microsoft.com/office/drawing/2014/main" id="{B886A600-AC1F-4AE1-82A8-DE2625497AC6}"/>
            </a:ext>
          </a:extLst>
        </xdr:cNvPr>
        <xdr:cNvSpPr txBox="1"/>
      </xdr:nvSpPr>
      <xdr:spPr>
        <a:xfrm>
          <a:off x="3609975" y="9429749"/>
          <a:ext cx="3812721" cy="2993509"/>
        </a:xfrm>
        <a:prstGeom prst="rect">
          <a:avLst/>
        </a:prstGeom>
        <a:noFill/>
        <a:ln w="9525" cap="rnd">
          <a:solidFill>
            <a:schemeClr val="tx1"/>
          </a:solidFill>
          <a:prstDash val="sysDot"/>
          <a:miter lim="800000"/>
        </a:ln>
      </xdr:spPr>
      <xdr:txBody>
        <a:bodyPr wrap="square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CO" sz="1200">
              <a:effectLst/>
            </a:rPr>
            <a:t>Declaro que he recibido las cantidades y medidas aquí relacionadas, completas y en perfecto estado. </a:t>
          </a:r>
        </a:p>
        <a:p>
          <a:r>
            <a:rPr lang="es-CO" sz="1200">
              <a:effectLst/>
            </a:rPr>
            <a:t>  </a:t>
          </a:r>
        </a:p>
        <a:p>
          <a:r>
            <a:rPr lang="es-CO" sz="1200">
              <a:effectLst/>
            </a:rPr>
            <a:t>FIRMA QUIEN RECIBE :______________________________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C.C. No.  ___________________________________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FECHA ____________________________________</a:t>
          </a:r>
        </a:p>
        <a:p>
          <a:r>
            <a:rPr lang="es-CO" sz="1200">
              <a:effectLst/>
            </a:rPr>
            <a:t> HORA DE ENTREGA:_________________________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FIRMA QUIEN ENTREGA:_________________________</a:t>
          </a:r>
        </a:p>
        <a:p>
          <a:endParaRPr lang="es-CO" sz="1200">
            <a:effectLst/>
          </a:endParaRPr>
        </a:p>
        <a:p>
          <a:r>
            <a:rPr lang="es-CO" sz="1200">
              <a:effectLst/>
            </a:rPr>
            <a:t>Nota: Después de recibida la mercancía no se aceptan reclamos.</a:t>
          </a:r>
        </a:p>
        <a:p>
          <a:endParaRPr lang="es-CO" sz="1200">
            <a:effectLst/>
          </a:endParaRPr>
        </a:p>
      </xdr:txBody>
    </xdr:sp>
    <xdr:clientData/>
  </xdr:twoCellAnchor>
  <xdr:oneCellAnchor>
    <xdr:from>
      <xdr:col>1</xdr:col>
      <xdr:colOff>66675</xdr:colOff>
      <xdr:row>0</xdr:row>
      <xdr:rowOff>171450</xdr:rowOff>
    </xdr:from>
    <xdr:ext cx="1876425" cy="719976"/>
    <xdr:pic>
      <xdr:nvPicPr>
        <xdr:cNvPr id="3" name="Imagen 1_0" title="fffff">
          <a:extLst>
            <a:ext uri="{FF2B5EF4-FFF2-40B4-BE49-F238E27FC236}">
              <a16:creationId xmlns:a16="http://schemas.microsoft.com/office/drawing/2014/main" id="{9D3A68FF-6B9C-487B-AB7C-7535F9334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266700" y="171450"/>
          <a:ext cx="1876425" cy="719976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5</xdr:col>
      <xdr:colOff>152400</xdr:colOff>
      <xdr:row>1</xdr:row>
      <xdr:rowOff>9525</xdr:rowOff>
    </xdr:from>
    <xdr:ext cx="1876425" cy="719976"/>
    <xdr:pic>
      <xdr:nvPicPr>
        <xdr:cNvPr id="4" name="Imagen 1_0" title="fffff">
          <a:extLst>
            <a:ext uri="{FF2B5EF4-FFF2-40B4-BE49-F238E27FC236}">
              <a16:creationId xmlns:a16="http://schemas.microsoft.com/office/drawing/2014/main" id="{8C7DD0C5-CCAF-4CA6-A74E-3DFE9ECD0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6724650" y="200025"/>
          <a:ext cx="1876425" cy="719976"/>
        </a:xfrm>
        <a:prstGeom prst="rect">
          <a:avLst/>
        </a:prstGeom>
        <a:noFill/>
        <a:ln cap="flat">
          <a:noFill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055%20-%20Admin\Desktop\REMISIONES%20NUEVO%20FORMATO\Formato%20empaque%20y%20rotulos%20V%201.4.2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TULO"/>
      <sheetName val="QR"/>
      <sheetName val="Material 15mm"/>
      <sheetName val="Info Stickers"/>
    </sheetNames>
    <sheetDataSet>
      <sheetData sheetId="0"/>
      <sheetData sheetId="1"/>
      <sheetData sheetId="2">
        <row r="4">
          <cell r="B4" t="str">
            <v>REF</v>
          </cell>
          <cell r="C4" t="str">
            <v>CANT</v>
          </cell>
          <cell r="D4" t="str">
            <v>LARGO</v>
          </cell>
          <cell r="E4" t="str">
            <v>ANCHO</v>
          </cell>
          <cell r="F4" t="str">
            <v>PESO X PIEZA</v>
          </cell>
          <cell r="G4" t="str">
            <v>PESO TOTAL DE PIEZAS REF</v>
          </cell>
          <cell r="H4" t="str">
            <v>MIN DE PAQ. X PZ</v>
          </cell>
          <cell r="I4" t="str">
            <v>MAX PZ X PAQ.</v>
          </cell>
          <cell r="J4" t="str">
            <v>PESO X PAQ.</v>
          </cell>
          <cell r="K4" t="str">
            <v>TOTAL PQ X PZ IGUALES</v>
          </cell>
          <cell r="L4" t="str">
            <v>TOTAL PIEZAS EMPACADAS EN PAQUETES IGUALES</v>
          </cell>
          <cell r="M4" t="str">
            <v>PIEZAS RESTANTES X EMPACAR</v>
          </cell>
          <cell r="N4" t="str">
            <v>PAQUETE INICIAL</v>
          </cell>
          <cell r="O4" t="str">
            <v>PAQUETE FINAL</v>
          </cell>
          <cell r="P4" t="str">
            <v>FORMATO DE EMPAQUE</v>
          </cell>
          <cell r="Q4" t="str">
            <v>NÚMERACIÓN DE PAQUETES</v>
          </cell>
          <cell r="R4">
            <v>74</v>
          </cell>
        </row>
        <row r="5">
          <cell r="B5">
            <v>1</v>
          </cell>
          <cell r="C5">
            <v>50</v>
          </cell>
          <cell r="D5">
            <v>200</v>
          </cell>
          <cell r="E5">
            <v>700</v>
          </cell>
          <cell r="F5">
            <v>1.4677849790316431</v>
          </cell>
          <cell r="G5">
            <v>73.389248951582147</v>
          </cell>
          <cell r="H5">
            <v>3</v>
          </cell>
          <cell r="I5">
            <v>16</v>
          </cell>
          <cell r="J5">
            <v>23.484559664506289</v>
          </cell>
          <cell r="K5">
            <v>3</v>
          </cell>
          <cell r="L5">
            <v>48</v>
          </cell>
          <cell r="M5">
            <v>2</v>
          </cell>
          <cell r="N5">
            <v>1</v>
          </cell>
          <cell r="O5">
            <v>4</v>
          </cell>
          <cell r="P5" t="str">
            <v>3 X 16 / 1 X 2</v>
          </cell>
          <cell r="Q5" t="str">
            <v>1 - 4</v>
          </cell>
          <cell r="R5">
            <v>4</v>
          </cell>
        </row>
        <row r="6">
          <cell r="B6">
            <v>2</v>
          </cell>
          <cell r="C6">
            <v>170</v>
          </cell>
          <cell r="D6">
            <v>200</v>
          </cell>
          <cell r="E6">
            <v>600</v>
          </cell>
          <cell r="F6">
            <v>1.2581014105985513</v>
          </cell>
          <cell r="G6">
            <v>213.87723980175372</v>
          </cell>
          <cell r="H6">
            <v>9</v>
          </cell>
          <cell r="I6">
            <v>18</v>
          </cell>
          <cell r="J6">
            <v>22.645825390773922</v>
          </cell>
          <cell r="K6">
            <v>9</v>
          </cell>
          <cell r="L6">
            <v>162</v>
          </cell>
          <cell r="M6">
            <v>8</v>
          </cell>
          <cell r="N6">
            <v>5</v>
          </cell>
          <cell r="O6">
            <v>14</v>
          </cell>
          <cell r="P6" t="str">
            <v>9 X 18 / 1 X 8</v>
          </cell>
          <cell r="Q6" t="str">
            <v>5 - 14</v>
          </cell>
          <cell r="R6">
            <v>10</v>
          </cell>
        </row>
        <row r="7">
          <cell r="B7">
            <v>3</v>
          </cell>
          <cell r="C7">
            <v>30</v>
          </cell>
          <cell r="D7">
            <v>1500</v>
          </cell>
          <cell r="E7">
            <v>140</v>
          </cell>
          <cell r="F7">
            <v>2.2016774685474649</v>
          </cell>
          <cell r="G7">
            <v>66.050324056423946</v>
          </cell>
          <cell r="H7">
            <v>3</v>
          </cell>
          <cell r="I7">
            <v>10</v>
          </cell>
          <cell r="J7">
            <v>22.016774685474651</v>
          </cell>
          <cell r="K7">
            <v>3</v>
          </cell>
          <cell r="L7">
            <v>30</v>
          </cell>
          <cell r="M7">
            <v>0</v>
          </cell>
          <cell r="N7">
            <v>15</v>
          </cell>
          <cell r="O7">
            <v>17</v>
          </cell>
          <cell r="P7" t="str">
            <v>3 X 10</v>
          </cell>
          <cell r="Q7" t="str">
            <v>15 - 17</v>
          </cell>
          <cell r="R7">
            <v>3</v>
          </cell>
        </row>
        <row r="8">
          <cell r="B8">
            <v>4</v>
          </cell>
          <cell r="C8">
            <v>10</v>
          </cell>
          <cell r="D8">
            <v>1500</v>
          </cell>
          <cell r="E8">
            <v>120</v>
          </cell>
          <cell r="F8">
            <v>1.8871521158978268</v>
          </cell>
          <cell r="G8">
            <v>18.871521158978268</v>
          </cell>
          <cell r="H8">
            <v>1</v>
          </cell>
          <cell r="I8">
            <v>10</v>
          </cell>
          <cell r="J8">
            <v>18.871521158978268</v>
          </cell>
          <cell r="K8">
            <v>1</v>
          </cell>
          <cell r="L8">
            <v>10</v>
          </cell>
          <cell r="M8">
            <v>0</v>
          </cell>
          <cell r="N8">
            <v>18</v>
          </cell>
          <cell r="O8">
            <v>18</v>
          </cell>
          <cell r="P8" t="str">
            <v>1 X 10</v>
          </cell>
          <cell r="Q8">
            <v>18</v>
          </cell>
          <cell r="R8">
            <v>1</v>
          </cell>
        </row>
        <row r="9">
          <cell r="B9">
            <v>5</v>
          </cell>
          <cell r="C9">
            <v>50</v>
          </cell>
          <cell r="D9">
            <v>490</v>
          </cell>
          <cell r="E9">
            <v>1830</v>
          </cell>
          <cell r="F9">
            <v>9.4011627906976738</v>
          </cell>
          <cell r="G9">
            <v>470.05813953488371</v>
          </cell>
          <cell r="H9">
            <v>19</v>
          </cell>
          <cell r="I9">
            <v>2</v>
          </cell>
          <cell r="J9">
            <v>18.802325581395348</v>
          </cell>
          <cell r="K9">
            <v>25</v>
          </cell>
          <cell r="L9">
            <v>50</v>
          </cell>
          <cell r="M9">
            <v>0</v>
          </cell>
          <cell r="N9">
            <v>19</v>
          </cell>
          <cell r="O9">
            <v>43</v>
          </cell>
          <cell r="P9" t="str">
            <v>25 X 2</v>
          </cell>
          <cell r="Q9" t="str">
            <v>19 - 43</v>
          </cell>
          <cell r="R9">
            <v>25</v>
          </cell>
        </row>
        <row r="10">
          <cell r="B10">
            <v>6</v>
          </cell>
          <cell r="C10">
            <v>50</v>
          </cell>
          <cell r="D10">
            <v>240</v>
          </cell>
          <cell r="E10">
            <v>700</v>
          </cell>
          <cell r="F10">
            <v>1.7613419748379717</v>
          </cell>
          <cell r="G10">
            <v>88.06709874189859</v>
          </cell>
          <cell r="H10">
            <v>4</v>
          </cell>
          <cell r="I10">
            <v>12</v>
          </cell>
          <cell r="J10">
            <v>21.13610369805566</v>
          </cell>
          <cell r="K10">
            <v>4</v>
          </cell>
          <cell r="L10">
            <v>48</v>
          </cell>
          <cell r="M10">
            <v>2</v>
          </cell>
          <cell r="N10">
            <v>44</v>
          </cell>
          <cell r="O10">
            <v>48</v>
          </cell>
          <cell r="P10" t="str">
            <v>4 X 12 / 1 X 2</v>
          </cell>
          <cell r="Q10" t="str">
            <v>44 - 48</v>
          </cell>
          <cell r="R10">
            <v>5</v>
          </cell>
        </row>
        <row r="11">
          <cell r="B11">
            <v>7</v>
          </cell>
          <cell r="C11">
            <v>170</v>
          </cell>
          <cell r="D11">
            <v>240</v>
          </cell>
          <cell r="E11">
            <v>600</v>
          </cell>
          <cell r="F11">
            <v>1.5097216927182615</v>
          </cell>
          <cell r="G11">
            <v>256.65268776210445</v>
          </cell>
          <cell r="H11">
            <v>11</v>
          </cell>
          <cell r="I11">
            <v>15</v>
          </cell>
          <cell r="J11">
            <v>22.645825390773922</v>
          </cell>
          <cell r="K11">
            <v>11</v>
          </cell>
          <cell r="L11">
            <v>165</v>
          </cell>
          <cell r="M11">
            <v>5</v>
          </cell>
          <cell r="N11">
            <v>49</v>
          </cell>
          <cell r="O11">
            <v>60</v>
          </cell>
          <cell r="P11" t="str">
            <v>11 X 15 / 1 X 5</v>
          </cell>
          <cell r="Q11" t="str">
            <v>49 - 60</v>
          </cell>
          <cell r="R11">
            <v>12</v>
          </cell>
        </row>
        <row r="12">
          <cell r="B12">
            <v>8</v>
          </cell>
          <cell r="C12">
            <v>50</v>
          </cell>
          <cell r="D12">
            <v>200</v>
          </cell>
          <cell r="E12">
            <v>700</v>
          </cell>
          <cell r="F12">
            <v>1.4677849790316431</v>
          </cell>
          <cell r="G12">
            <v>73.389248951582147</v>
          </cell>
          <cell r="H12">
            <v>3</v>
          </cell>
          <cell r="I12">
            <v>16</v>
          </cell>
          <cell r="J12">
            <v>23.484559664506289</v>
          </cell>
          <cell r="K12">
            <v>3</v>
          </cell>
          <cell r="L12">
            <v>48</v>
          </cell>
          <cell r="M12">
            <v>2</v>
          </cell>
          <cell r="N12">
            <v>61</v>
          </cell>
          <cell r="O12">
            <v>64</v>
          </cell>
          <cell r="P12" t="str">
            <v>3 X 16 / 1 X 2</v>
          </cell>
          <cell r="Q12" t="str">
            <v>61 - 64</v>
          </cell>
          <cell r="R12">
            <v>4</v>
          </cell>
        </row>
        <row r="13">
          <cell r="B13">
            <v>9</v>
          </cell>
          <cell r="C13">
            <v>170</v>
          </cell>
          <cell r="D13">
            <v>200</v>
          </cell>
          <cell r="E13">
            <v>600</v>
          </cell>
          <cell r="F13">
            <v>1.2581014105985513</v>
          </cell>
          <cell r="G13">
            <v>213.87723980175372</v>
          </cell>
          <cell r="H13">
            <v>9</v>
          </cell>
          <cell r="I13">
            <v>18</v>
          </cell>
          <cell r="J13">
            <v>22.645825390773922</v>
          </cell>
          <cell r="K13">
            <v>9</v>
          </cell>
          <cell r="L13">
            <v>162</v>
          </cell>
          <cell r="M13">
            <v>8</v>
          </cell>
          <cell r="N13">
            <v>65</v>
          </cell>
          <cell r="O13">
            <v>74</v>
          </cell>
          <cell r="P13" t="str">
            <v>9 X 18 / 1 X 8</v>
          </cell>
          <cell r="Q13" t="str">
            <v>65 - 74</v>
          </cell>
          <cell r="R13">
            <v>10</v>
          </cell>
        </row>
        <row r="14">
          <cell r="B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75</v>
          </cell>
          <cell r="O14">
            <v>74</v>
          </cell>
          <cell r="P14" t="str">
            <v>0 X 0</v>
          </cell>
          <cell r="Q14">
            <v>0</v>
          </cell>
          <cell r="R14">
            <v>0</v>
          </cell>
        </row>
        <row r="15">
          <cell r="B15">
            <v>11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75</v>
          </cell>
          <cell r="O15">
            <v>74</v>
          </cell>
          <cell r="P15" t="str">
            <v>0 X 0</v>
          </cell>
          <cell r="Q15">
            <v>0</v>
          </cell>
          <cell r="R15">
            <v>0</v>
          </cell>
        </row>
        <row r="16">
          <cell r="B16">
            <v>12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75</v>
          </cell>
          <cell r="O16">
            <v>74</v>
          </cell>
          <cell r="P16" t="str">
            <v>0 X 0</v>
          </cell>
          <cell r="Q16">
            <v>0</v>
          </cell>
          <cell r="R16">
            <v>0</v>
          </cell>
        </row>
        <row r="17">
          <cell r="B17">
            <v>13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75</v>
          </cell>
          <cell r="O17">
            <v>74</v>
          </cell>
          <cell r="P17" t="str">
            <v>0 X 0</v>
          </cell>
          <cell r="Q17">
            <v>0</v>
          </cell>
          <cell r="R17">
            <v>0</v>
          </cell>
        </row>
        <row r="18">
          <cell r="B18">
            <v>14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75</v>
          </cell>
          <cell r="O18">
            <v>74</v>
          </cell>
          <cell r="P18" t="str">
            <v>0 X 0</v>
          </cell>
          <cell r="Q18">
            <v>0</v>
          </cell>
          <cell r="R18">
            <v>0</v>
          </cell>
        </row>
        <row r="19">
          <cell r="B19">
            <v>15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75</v>
          </cell>
          <cell r="O19">
            <v>74</v>
          </cell>
          <cell r="P19" t="str">
            <v>0 X 0</v>
          </cell>
          <cell r="Q19">
            <v>0</v>
          </cell>
          <cell r="R19">
            <v>0</v>
          </cell>
        </row>
        <row r="20">
          <cell r="B20">
            <v>16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75</v>
          </cell>
          <cell r="O20">
            <v>74</v>
          </cell>
          <cell r="P20" t="str">
            <v>0 X 0</v>
          </cell>
          <cell r="Q20">
            <v>0</v>
          </cell>
          <cell r="R20">
            <v>0</v>
          </cell>
        </row>
        <row r="21">
          <cell r="B21">
            <v>17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75</v>
          </cell>
          <cell r="O21">
            <v>74</v>
          </cell>
          <cell r="P21" t="str">
            <v>0 X 0</v>
          </cell>
          <cell r="Q21">
            <v>0</v>
          </cell>
          <cell r="R21">
            <v>0</v>
          </cell>
        </row>
        <row r="22">
          <cell r="B22">
            <v>18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75</v>
          </cell>
          <cell r="O22">
            <v>74</v>
          </cell>
          <cell r="P22" t="str">
            <v>0 X 0</v>
          </cell>
          <cell r="Q22">
            <v>0</v>
          </cell>
          <cell r="R22">
            <v>0</v>
          </cell>
        </row>
        <row r="23">
          <cell r="B23">
            <v>19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75</v>
          </cell>
          <cell r="O23">
            <v>74</v>
          </cell>
          <cell r="P23" t="str">
            <v>0 X 0</v>
          </cell>
          <cell r="Q23">
            <v>0</v>
          </cell>
          <cell r="R23">
            <v>0</v>
          </cell>
        </row>
        <row r="24">
          <cell r="B24">
            <v>20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75</v>
          </cell>
          <cell r="O24">
            <v>74</v>
          </cell>
          <cell r="P24" t="str">
            <v>0 X 0</v>
          </cell>
          <cell r="Q24">
            <v>0</v>
          </cell>
          <cell r="R24">
            <v>0</v>
          </cell>
        </row>
        <row r="25">
          <cell r="B25">
            <v>21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75</v>
          </cell>
          <cell r="O25">
            <v>74</v>
          </cell>
          <cell r="P25" t="str">
            <v>0 X 0</v>
          </cell>
          <cell r="Q25">
            <v>0</v>
          </cell>
          <cell r="R25">
            <v>0</v>
          </cell>
        </row>
        <row r="26">
          <cell r="B26">
            <v>22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75</v>
          </cell>
          <cell r="O26">
            <v>74</v>
          </cell>
          <cell r="P26" t="str">
            <v>0 X 0</v>
          </cell>
          <cell r="Q26">
            <v>0</v>
          </cell>
          <cell r="R26">
            <v>0</v>
          </cell>
        </row>
        <row r="27">
          <cell r="B27">
            <v>23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75</v>
          </cell>
          <cell r="O27">
            <v>74</v>
          </cell>
          <cell r="P27" t="str">
            <v>0 X 0</v>
          </cell>
          <cell r="Q27">
            <v>0</v>
          </cell>
          <cell r="R27">
            <v>0</v>
          </cell>
        </row>
        <row r="28">
          <cell r="B28">
            <v>24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75</v>
          </cell>
          <cell r="O28">
            <v>74</v>
          </cell>
          <cell r="P28" t="str">
            <v>0 X 0</v>
          </cell>
          <cell r="Q28">
            <v>0</v>
          </cell>
          <cell r="R28">
            <v>0</v>
          </cell>
        </row>
        <row r="29">
          <cell r="B29">
            <v>25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75</v>
          </cell>
          <cell r="O29">
            <v>74</v>
          </cell>
          <cell r="P29" t="str">
            <v>0 X 0</v>
          </cell>
          <cell r="Q29">
            <v>0</v>
          </cell>
          <cell r="R29">
            <v>0</v>
          </cell>
        </row>
        <row r="30">
          <cell r="B30">
            <v>26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75</v>
          </cell>
          <cell r="O30">
            <v>74</v>
          </cell>
          <cell r="P30" t="str">
            <v>0 X 0</v>
          </cell>
          <cell r="Q30">
            <v>0</v>
          </cell>
          <cell r="R30">
            <v>0</v>
          </cell>
        </row>
        <row r="31">
          <cell r="B31">
            <v>27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75</v>
          </cell>
          <cell r="O31">
            <v>74</v>
          </cell>
          <cell r="P31" t="str">
            <v>0 X 0</v>
          </cell>
          <cell r="Q31">
            <v>0</v>
          </cell>
          <cell r="R31">
            <v>0</v>
          </cell>
        </row>
        <row r="32">
          <cell r="B32">
            <v>28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75</v>
          </cell>
          <cell r="O32">
            <v>74</v>
          </cell>
          <cell r="P32" t="str">
            <v>0 X 0</v>
          </cell>
          <cell r="Q32">
            <v>0</v>
          </cell>
          <cell r="R32">
            <v>0</v>
          </cell>
        </row>
        <row r="33">
          <cell r="B33">
            <v>29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75</v>
          </cell>
          <cell r="O33">
            <v>74</v>
          </cell>
          <cell r="P33" t="str">
            <v>0 X 0</v>
          </cell>
          <cell r="Q33">
            <v>0</v>
          </cell>
          <cell r="R33">
            <v>0</v>
          </cell>
        </row>
        <row r="34">
          <cell r="B34">
            <v>30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75</v>
          </cell>
          <cell r="O34">
            <v>74</v>
          </cell>
          <cell r="P34" t="str">
            <v>0 X 0</v>
          </cell>
          <cell r="Q34">
            <v>0</v>
          </cell>
          <cell r="R34">
            <v>0</v>
          </cell>
        </row>
        <row r="35">
          <cell r="B35">
            <v>31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75</v>
          </cell>
          <cell r="O35">
            <v>74</v>
          </cell>
          <cell r="P35" t="str">
            <v>0 X 0</v>
          </cell>
          <cell r="Q35">
            <v>0</v>
          </cell>
          <cell r="R35">
            <v>0</v>
          </cell>
        </row>
        <row r="36">
          <cell r="B36">
            <v>32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75</v>
          </cell>
          <cell r="O36">
            <v>74</v>
          </cell>
          <cell r="P36" t="str">
            <v>0 X 0</v>
          </cell>
          <cell r="Q36">
            <v>0</v>
          </cell>
          <cell r="R36">
            <v>0</v>
          </cell>
        </row>
        <row r="37">
          <cell r="B37">
            <v>33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75</v>
          </cell>
          <cell r="O37">
            <v>74</v>
          </cell>
          <cell r="P37" t="str">
            <v>0 X 0</v>
          </cell>
          <cell r="Q37">
            <v>0</v>
          </cell>
          <cell r="R37">
            <v>0</v>
          </cell>
        </row>
        <row r="38">
          <cell r="B38">
            <v>34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75</v>
          </cell>
          <cell r="O38">
            <v>74</v>
          </cell>
          <cell r="P38" t="str">
            <v>0 X 0</v>
          </cell>
          <cell r="Q38">
            <v>0</v>
          </cell>
          <cell r="R38">
            <v>0</v>
          </cell>
        </row>
        <row r="39">
          <cell r="B39">
            <v>35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75</v>
          </cell>
          <cell r="O39">
            <v>74</v>
          </cell>
          <cell r="P39" t="str">
            <v>0 X 0</v>
          </cell>
          <cell r="Q39">
            <v>0</v>
          </cell>
          <cell r="R39">
            <v>0</v>
          </cell>
        </row>
        <row r="40">
          <cell r="B40">
            <v>36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75</v>
          </cell>
          <cell r="O40">
            <v>74</v>
          </cell>
          <cell r="P40" t="str">
            <v>0 X 0</v>
          </cell>
          <cell r="Q40">
            <v>0</v>
          </cell>
          <cell r="R40">
            <v>0</v>
          </cell>
        </row>
        <row r="41">
          <cell r="B41">
            <v>37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75</v>
          </cell>
          <cell r="O41">
            <v>74</v>
          </cell>
          <cell r="P41" t="str">
            <v>0 X 0</v>
          </cell>
          <cell r="Q41">
            <v>0</v>
          </cell>
          <cell r="R41">
            <v>0</v>
          </cell>
        </row>
        <row r="42">
          <cell r="B42">
            <v>38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75</v>
          </cell>
          <cell r="O42">
            <v>74</v>
          </cell>
          <cell r="P42" t="str">
            <v>0 X 0</v>
          </cell>
          <cell r="Q42">
            <v>0</v>
          </cell>
          <cell r="R42">
            <v>0</v>
          </cell>
        </row>
        <row r="43">
          <cell r="B43">
            <v>39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75</v>
          </cell>
          <cell r="O43">
            <v>74</v>
          </cell>
          <cell r="P43" t="str">
            <v>0 X 0</v>
          </cell>
          <cell r="Q43">
            <v>0</v>
          </cell>
          <cell r="R43">
            <v>0</v>
          </cell>
        </row>
        <row r="44">
          <cell r="B44">
            <v>40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75</v>
          </cell>
          <cell r="O44">
            <v>74</v>
          </cell>
          <cell r="P44" t="str">
            <v>0 X 0</v>
          </cell>
          <cell r="Q44">
            <v>0</v>
          </cell>
          <cell r="R44">
            <v>0</v>
          </cell>
        </row>
        <row r="45">
          <cell r="B45">
            <v>41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75</v>
          </cell>
          <cell r="O45">
            <v>74</v>
          </cell>
          <cell r="P45" t="str">
            <v>0 X 0</v>
          </cell>
          <cell r="Q45">
            <v>0</v>
          </cell>
          <cell r="R45">
            <v>0</v>
          </cell>
        </row>
        <row r="46">
          <cell r="B46">
            <v>42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75</v>
          </cell>
          <cell r="O46">
            <v>74</v>
          </cell>
          <cell r="P46" t="str">
            <v>0 X 0</v>
          </cell>
          <cell r="Q46">
            <v>0</v>
          </cell>
          <cell r="R46">
            <v>0</v>
          </cell>
        </row>
        <row r="47">
          <cell r="B47">
            <v>43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75</v>
          </cell>
          <cell r="O47">
            <v>74</v>
          </cell>
          <cell r="P47" t="str">
            <v>0 X 0</v>
          </cell>
          <cell r="Q47">
            <v>0</v>
          </cell>
          <cell r="R47">
            <v>0</v>
          </cell>
        </row>
        <row r="48">
          <cell r="B48">
            <v>44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75</v>
          </cell>
          <cell r="O48">
            <v>74</v>
          </cell>
          <cell r="P48" t="str">
            <v>0 X 0</v>
          </cell>
          <cell r="Q48">
            <v>0</v>
          </cell>
          <cell r="R48">
            <v>0</v>
          </cell>
        </row>
        <row r="49">
          <cell r="B49">
            <v>45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75</v>
          </cell>
          <cell r="O49">
            <v>74</v>
          </cell>
          <cell r="P49" t="str">
            <v>0 X 0</v>
          </cell>
          <cell r="Q49">
            <v>0</v>
          </cell>
          <cell r="R49">
            <v>0</v>
          </cell>
        </row>
        <row r="50">
          <cell r="B50">
            <v>46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75</v>
          </cell>
          <cell r="O50">
            <v>74</v>
          </cell>
          <cell r="P50" t="str">
            <v>0 X 0</v>
          </cell>
          <cell r="Q50">
            <v>0</v>
          </cell>
          <cell r="R50">
            <v>0</v>
          </cell>
        </row>
        <row r="51">
          <cell r="B51">
            <v>47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75</v>
          </cell>
          <cell r="O51">
            <v>74</v>
          </cell>
          <cell r="P51" t="str">
            <v>0 X 0</v>
          </cell>
          <cell r="Q51">
            <v>0</v>
          </cell>
          <cell r="R51">
            <v>0</v>
          </cell>
        </row>
        <row r="52">
          <cell r="B52">
            <v>48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75</v>
          </cell>
          <cell r="O52">
            <v>74</v>
          </cell>
          <cell r="P52" t="str">
            <v>0 X 0</v>
          </cell>
          <cell r="Q52">
            <v>0</v>
          </cell>
          <cell r="R52">
            <v>0</v>
          </cell>
        </row>
        <row r="53">
          <cell r="B53">
            <v>49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75</v>
          </cell>
          <cell r="O53">
            <v>74</v>
          </cell>
          <cell r="P53" t="str">
            <v>0 X 0</v>
          </cell>
          <cell r="Q53">
            <v>0</v>
          </cell>
          <cell r="R53">
            <v>0</v>
          </cell>
        </row>
        <row r="54">
          <cell r="B54">
            <v>50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75</v>
          </cell>
          <cell r="O54">
            <v>74</v>
          </cell>
          <cell r="P54" t="str">
            <v>0 X 0</v>
          </cell>
          <cell r="Q54">
            <v>0</v>
          </cell>
          <cell r="R54">
            <v>0</v>
          </cell>
        </row>
        <row r="55">
          <cell r="B55">
            <v>51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75</v>
          </cell>
          <cell r="O55">
            <v>74</v>
          </cell>
          <cell r="P55" t="str">
            <v>0 X 0</v>
          </cell>
          <cell r="Q55">
            <v>0</v>
          </cell>
          <cell r="R55">
            <v>0</v>
          </cell>
        </row>
        <row r="56">
          <cell r="B56">
            <v>52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75</v>
          </cell>
          <cell r="O56">
            <v>74</v>
          </cell>
          <cell r="P56" t="str">
            <v>0 X 0</v>
          </cell>
          <cell r="Q56">
            <v>0</v>
          </cell>
          <cell r="R56">
            <v>0</v>
          </cell>
        </row>
        <row r="57">
          <cell r="B57">
            <v>53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75</v>
          </cell>
          <cell r="O57">
            <v>74</v>
          </cell>
          <cell r="P57" t="str">
            <v>0 X 0</v>
          </cell>
          <cell r="Q57">
            <v>0</v>
          </cell>
          <cell r="R57">
            <v>0</v>
          </cell>
        </row>
        <row r="58">
          <cell r="B58">
            <v>54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75</v>
          </cell>
          <cell r="O58">
            <v>74</v>
          </cell>
          <cell r="P58" t="str">
            <v>0 X 0</v>
          </cell>
          <cell r="Q58">
            <v>0</v>
          </cell>
          <cell r="R58">
            <v>0</v>
          </cell>
        </row>
        <row r="59">
          <cell r="B59">
            <v>55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75</v>
          </cell>
          <cell r="O59">
            <v>74</v>
          </cell>
          <cell r="P59" t="str">
            <v>0 X 0</v>
          </cell>
          <cell r="Q59">
            <v>0</v>
          </cell>
          <cell r="R59">
            <v>0</v>
          </cell>
        </row>
        <row r="60">
          <cell r="B60">
            <v>56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75</v>
          </cell>
          <cell r="O60">
            <v>74</v>
          </cell>
          <cell r="P60" t="str">
            <v>0 X 0</v>
          </cell>
          <cell r="Q60">
            <v>0</v>
          </cell>
          <cell r="R60">
            <v>0</v>
          </cell>
        </row>
        <row r="61">
          <cell r="B61">
            <v>57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75</v>
          </cell>
          <cell r="O61">
            <v>74</v>
          </cell>
          <cell r="P61" t="str">
            <v>0 X 0</v>
          </cell>
          <cell r="Q61">
            <v>0</v>
          </cell>
          <cell r="R61">
            <v>0</v>
          </cell>
        </row>
        <row r="62">
          <cell r="B62">
            <v>58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75</v>
          </cell>
          <cell r="O62">
            <v>74</v>
          </cell>
          <cell r="P62" t="str">
            <v>0 X 0</v>
          </cell>
          <cell r="Q62">
            <v>0</v>
          </cell>
          <cell r="R62">
            <v>0</v>
          </cell>
        </row>
        <row r="63">
          <cell r="B63">
            <v>59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75</v>
          </cell>
          <cell r="O63">
            <v>74</v>
          </cell>
          <cell r="P63" t="str">
            <v>0 X 0</v>
          </cell>
          <cell r="Q63">
            <v>0</v>
          </cell>
          <cell r="R63">
            <v>0</v>
          </cell>
        </row>
        <row r="64">
          <cell r="B64">
            <v>60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75</v>
          </cell>
          <cell r="O64">
            <v>74</v>
          </cell>
          <cell r="P64" t="str">
            <v>0 X 0</v>
          </cell>
          <cell r="Q64">
            <v>0</v>
          </cell>
          <cell r="R64">
            <v>0</v>
          </cell>
        </row>
        <row r="65">
          <cell r="B65">
            <v>61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75</v>
          </cell>
          <cell r="O65">
            <v>74</v>
          </cell>
          <cell r="P65" t="str">
            <v>0 X 0</v>
          </cell>
          <cell r="Q65">
            <v>0</v>
          </cell>
          <cell r="R65">
            <v>0</v>
          </cell>
        </row>
        <row r="66">
          <cell r="B66">
            <v>62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75</v>
          </cell>
          <cell r="O66">
            <v>74</v>
          </cell>
          <cell r="P66" t="str">
            <v>0 X 0</v>
          </cell>
          <cell r="Q66">
            <v>0</v>
          </cell>
          <cell r="R66">
            <v>0</v>
          </cell>
        </row>
        <row r="67">
          <cell r="B67">
            <v>63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75</v>
          </cell>
          <cell r="O67">
            <v>74</v>
          </cell>
          <cell r="P67" t="str">
            <v>0 X 0</v>
          </cell>
          <cell r="Q67">
            <v>0</v>
          </cell>
          <cell r="R67">
            <v>0</v>
          </cell>
        </row>
        <row r="68">
          <cell r="B68">
            <v>64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75</v>
          </cell>
          <cell r="O68">
            <v>74</v>
          </cell>
          <cell r="P68" t="str">
            <v>0 X 0</v>
          </cell>
          <cell r="Q68">
            <v>0</v>
          </cell>
          <cell r="R68">
            <v>0</v>
          </cell>
        </row>
        <row r="69">
          <cell r="B69">
            <v>65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75</v>
          </cell>
          <cell r="O69">
            <v>74</v>
          </cell>
          <cell r="P69" t="str">
            <v>0 X 0</v>
          </cell>
          <cell r="Q69">
            <v>0</v>
          </cell>
          <cell r="R69">
            <v>0</v>
          </cell>
        </row>
        <row r="70">
          <cell r="B70">
            <v>66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75</v>
          </cell>
          <cell r="O70">
            <v>74</v>
          </cell>
          <cell r="P70" t="str">
            <v>0 X 0</v>
          </cell>
          <cell r="Q70">
            <v>0</v>
          </cell>
          <cell r="R70">
            <v>0</v>
          </cell>
        </row>
        <row r="71">
          <cell r="B71">
            <v>67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75</v>
          </cell>
          <cell r="O71">
            <v>74</v>
          </cell>
          <cell r="P71" t="str">
            <v>0 X 0</v>
          </cell>
          <cell r="Q71">
            <v>0</v>
          </cell>
          <cell r="R71">
            <v>0</v>
          </cell>
        </row>
        <row r="72">
          <cell r="B72">
            <v>68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75</v>
          </cell>
          <cell r="O72">
            <v>74</v>
          </cell>
          <cell r="P72" t="str">
            <v>0 X 0</v>
          </cell>
          <cell r="Q72">
            <v>0</v>
          </cell>
          <cell r="R72">
            <v>0</v>
          </cell>
        </row>
        <row r="73">
          <cell r="B73">
            <v>69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75</v>
          </cell>
          <cell r="O73">
            <v>74</v>
          </cell>
          <cell r="P73" t="str">
            <v>0 X 0</v>
          </cell>
          <cell r="Q73">
            <v>0</v>
          </cell>
          <cell r="R73">
            <v>0</v>
          </cell>
        </row>
        <row r="74">
          <cell r="B74">
            <v>70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75</v>
          </cell>
          <cell r="O74">
            <v>74</v>
          </cell>
          <cell r="P74" t="str">
            <v>0 X 0</v>
          </cell>
          <cell r="Q74">
            <v>0</v>
          </cell>
          <cell r="R74">
            <v>0</v>
          </cell>
        </row>
        <row r="75">
          <cell r="B75">
            <v>71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75</v>
          </cell>
          <cell r="O75">
            <v>74</v>
          </cell>
          <cell r="P75" t="str">
            <v>0 X 0</v>
          </cell>
          <cell r="Q75">
            <v>0</v>
          </cell>
          <cell r="R75">
            <v>0</v>
          </cell>
        </row>
        <row r="76">
          <cell r="B76">
            <v>72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75</v>
          </cell>
          <cell r="O76">
            <v>74</v>
          </cell>
          <cell r="P76" t="str">
            <v>0 X 0</v>
          </cell>
          <cell r="Q76">
            <v>0</v>
          </cell>
          <cell r="R76">
            <v>0</v>
          </cell>
        </row>
        <row r="77">
          <cell r="B77">
            <v>73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75</v>
          </cell>
          <cell r="O77">
            <v>74</v>
          </cell>
          <cell r="P77" t="str">
            <v>0 X 0</v>
          </cell>
          <cell r="Q77">
            <v>0</v>
          </cell>
          <cell r="R77">
            <v>0</v>
          </cell>
        </row>
        <row r="78">
          <cell r="B78">
            <v>74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75</v>
          </cell>
          <cell r="O78">
            <v>74</v>
          </cell>
          <cell r="P78" t="str">
            <v>0 X 0</v>
          </cell>
          <cell r="Q78">
            <v>0</v>
          </cell>
          <cell r="R78">
            <v>0</v>
          </cell>
        </row>
        <row r="79">
          <cell r="B79">
            <v>75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75</v>
          </cell>
          <cell r="O79">
            <v>74</v>
          </cell>
          <cell r="P79" t="str">
            <v>0 X 0</v>
          </cell>
          <cell r="Q79">
            <v>0</v>
          </cell>
          <cell r="R79">
            <v>0</v>
          </cell>
        </row>
        <row r="80">
          <cell r="B80">
            <v>76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75</v>
          </cell>
          <cell r="O80">
            <v>74</v>
          </cell>
          <cell r="P80" t="str">
            <v>0 X 0</v>
          </cell>
          <cell r="Q80">
            <v>0</v>
          </cell>
          <cell r="R80">
            <v>0</v>
          </cell>
        </row>
        <row r="81">
          <cell r="B81">
            <v>77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75</v>
          </cell>
          <cell r="O81">
            <v>74</v>
          </cell>
          <cell r="P81" t="str">
            <v>0 X 0</v>
          </cell>
          <cell r="Q81">
            <v>0</v>
          </cell>
          <cell r="R81">
            <v>0</v>
          </cell>
        </row>
        <row r="82">
          <cell r="B82">
            <v>78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75</v>
          </cell>
          <cell r="O82">
            <v>74</v>
          </cell>
          <cell r="P82" t="str">
            <v>0 X 0</v>
          </cell>
          <cell r="Q82">
            <v>0</v>
          </cell>
          <cell r="R82">
            <v>0</v>
          </cell>
        </row>
        <row r="83">
          <cell r="B83">
            <v>79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75</v>
          </cell>
          <cell r="O83">
            <v>74</v>
          </cell>
          <cell r="P83" t="str">
            <v>0 X 0</v>
          </cell>
          <cell r="Q83">
            <v>0</v>
          </cell>
          <cell r="R83">
            <v>0</v>
          </cell>
        </row>
        <row r="84">
          <cell r="B84">
            <v>80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75</v>
          </cell>
          <cell r="O84">
            <v>74</v>
          </cell>
          <cell r="P84" t="str">
            <v>0 X 0</v>
          </cell>
          <cell r="Q84">
            <v>0</v>
          </cell>
          <cell r="R84">
            <v>0</v>
          </cell>
        </row>
        <row r="85">
          <cell r="B85">
            <v>81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75</v>
          </cell>
          <cell r="O85">
            <v>74</v>
          </cell>
          <cell r="P85" t="str">
            <v>0 X 0</v>
          </cell>
          <cell r="Q85">
            <v>0</v>
          </cell>
          <cell r="R85">
            <v>0</v>
          </cell>
        </row>
        <row r="86">
          <cell r="B86">
            <v>82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75</v>
          </cell>
          <cell r="O86">
            <v>74</v>
          </cell>
          <cell r="P86" t="str">
            <v>0 X 0</v>
          </cell>
          <cell r="Q86">
            <v>0</v>
          </cell>
          <cell r="R86">
            <v>0</v>
          </cell>
        </row>
        <row r="87">
          <cell r="B87">
            <v>83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75</v>
          </cell>
          <cell r="O87">
            <v>74</v>
          </cell>
          <cell r="P87" t="str">
            <v>0 X 0</v>
          </cell>
          <cell r="Q87">
            <v>0</v>
          </cell>
          <cell r="R87">
            <v>0</v>
          </cell>
        </row>
        <row r="88">
          <cell r="B88">
            <v>84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75</v>
          </cell>
          <cell r="O88">
            <v>74</v>
          </cell>
          <cell r="P88" t="str">
            <v>0 X 0</v>
          </cell>
          <cell r="Q88">
            <v>0</v>
          </cell>
          <cell r="R88">
            <v>0</v>
          </cell>
        </row>
        <row r="89">
          <cell r="B89">
            <v>85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75</v>
          </cell>
          <cell r="O89">
            <v>74</v>
          </cell>
          <cell r="P89" t="str">
            <v>0 X 0</v>
          </cell>
          <cell r="Q89">
            <v>0</v>
          </cell>
          <cell r="R89">
            <v>0</v>
          </cell>
        </row>
        <row r="90">
          <cell r="B90">
            <v>86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75</v>
          </cell>
          <cell r="O90">
            <v>74</v>
          </cell>
          <cell r="P90" t="str">
            <v>0 X 0</v>
          </cell>
          <cell r="Q90">
            <v>0</v>
          </cell>
          <cell r="R90">
            <v>0</v>
          </cell>
        </row>
        <row r="91">
          <cell r="B91">
            <v>87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75</v>
          </cell>
          <cell r="O91">
            <v>74</v>
          </cell>
          <cell r="P91" t="str">
            <v>0 X 0</v>
          </cell>
          <cell r="Q91">
            <v>0</v>
          </cell>
          <cell r="R91">
            <v>0</v>
          </cell>
        </row>
        <row r="92">
          <cell r="B92">
            <v>88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75</v>
          </cell>
          <cell r="O92">
            <v>74</v>
          </cell>
          <cell r="P92" t="str">
            <v>0 X 0</v>
          </cell>
          <cell r="Q92">
            <v>0</v>
          </cell>
          <cell r="R92">
            <v>0</v>
          </cell>
        </row>
        <row r="93">
          <cell r="B93">
            <v>89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75</v>
          </cell>
          <cell r="O93">
            <v>74</v>
          </cell>
          <cell r="P93" t="str">
            <v>0 X 0</v>
          </cell>
          <cell r="Q93">
            <v>0</v>
          </cell>
          <cell r="R93">
            <v>0</v>
          </cell>
        </row>
        <row r="94">
          <cell r="B94">
            <v>90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75</v>
          </cell>
          <cell r="O94">
            <v>74</v>
          </cell>
          <cell r="P94" t="str">
            <v>0 X 0</v>
          </cell>
          <cell r="Q94">
            <v>0</v>
          </cell>
          <cell r="R94">
            <v>0</v>
          </cell>
        </row>
        <row r="95">
          <cell r="B95">
            <v>91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75</v>
          </cell>
          <cell r="O95">
            <v>74</v>
          </cell>
          <cell r="P95" t="str">
            <v>0 X 0</v>
          </cell>
          <cell r="Q95">
            <v>0</v>
          </cell>
          <cell r="R95">
            <v>0</v>
          </cell>
        </row>
        <row r="96">
          <cell r="B96">
            <v>92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75</v>
          </cell>
          <cell r="O96">
            <v>74</v>
          </cell>
          <cell r="P96" t="str">
            <v>0 X 0</v>
          </cell>
          <cell r="Q96">
            <v>0</v>
          </cell>
          <cell r="R96">
            <v>0</v>
          </cell>
        </row>
        <row r="97">
          <cell r="B97">
            <v>93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75</v>
          </cell>
          <cell r="O97">
            <v>74</v>
          </cell>
          <cell r="P97" t="str">
            <v>0 X 0</v>
          </cell>
          <cell r="Q97">
            <v>0</v>
          </cell>
          <cell r="R97">
            <v>0</v>
          </cell>
        </row>
        <row r="98">
          <cell r="B98">
            <v>94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75</v>
          </cell>
          <cell r="O98">
            <v>74</v>
          </cell>
          <cell r="P98" t="str">
            <v>0 X 0</v>
          </cell>
          <cell r="Q98">
            <v>0</v>
          </cell>
          <cell r="R98">
            <v>0</v>
          </cell>
        </row>
        <row r="99">
          <cell r="B99">
            <v>95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75</v>
          </cell>
          <cell r="O99">
            <v>74</v>
          </cell>
          <cell r="P99" t="str">
            <v>0 X 0</v>
          </cell>
          <cell r="Q99">
            <v>0</v>
          </cell>
          <cell r="R99">
            <v>0</v>
          </cell>
        </row>
        <row r="100">
          <cell r="B100">
            <v>96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75</v>
          </cell>
          <cell r="O100">
            <v>74</v>
          </cell>
          <cell r="P100" t="str">
            <v>0 X 0</v>
          </cell>
          <cell r="Q100">
            <v>0</v>
          </cell>
          <cell r="R100">
            <v>0</v>
          </cell>
        </row>
        <row r="101">
          <cell r="B101">
            <v>97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75</v>
          </cell>
          <cell r="O101">
            <v>74</v>
          </cell>
          <cell r="P101" t="str">
            <v>0 X 0</v>
          </cell>
          <cell r="Q101">
            <v>0</v>
          </cell>
          <cell r="R101">
            <v>0</v>
          </cell>
        </row>
        <row r="102">
          <cell r="B102">
            <v>98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75</v>
          </cell>
          <cell r="O102">
            <v>74</v>
          </cell>
          <cell r="P102" t="str">
            <v>0 X 0</v>
          </cell>
          <cell r="Q102">
            <v>0</v>
          </cell>
          <cell r="R102">
            <v>0</v>
          </cell>
        </row>
        <row r="103">
          <cell r="B103">
            <v>99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75</v>
          </cell>
          <cell r="O103">
            <v>74</v>
          </cell>
          <cell r="P103" t="str">
            <v>0 X 0</v>
          </cell>
          <cell r="Q103">
            <v>0</v>
          </cell>
          <cell r="R103">
            <v>0</v>
          </cell>
        </row>
        <row r="104">
          <cell r="B104">
            <v>100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75</v>
          </cell>
          <cell r="O104">
            <v>74</v>
          </cell>
          <cell r="P104" t="str">
            <v>0 X 0</v>
          </cell>
          <cell r="Q104">
            <v>0</v>
          </cell>
          <cell r="R104">
            <v>0</v>
          </cell>
        </row>
        <row r="105">
          <cell r="B105">
            <v>101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75</v>
          </cell>
          <cell r="O105">
            <v>74</v>
          </cell>
          <cell r="P105" t="str">
            <v>0 X 0</v>
          </cell>
          <cell r="Q105">
            <v>0</v>
          </cell>
          <cell r="R105">
            <v>0</v>
          </cell>
        </row>
        <row r="106">
          <cell r="B106">
            <v>102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75</v>
          </cell>
          <cell r="O106">
            <v>74</v>
          </cell>
          <cell r="P106" t="str">
            <v>0 X 0</v>
          </cell>
          <cell r="Q106">
            <v>0</v>
          </cell>
          <cell r="R106">
            <v>0</v>
          </cell>
        </row>
        <row r="107">
          <cell r="B107">
            <v>103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75</v>
          </cell>
          <cell r="O107">
            <v>74</v>
          </cell>
          <cell r="P107" t="str">
            <v>0 X 0</v>
          </cell>
          <cell r="Q107">
            <v>0</v>
          </cell>
          <cell r="R107">
            <v>0</v>
          </cell>
        </row>
        <row r="108">
          <cell r="B108">
            <v>104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75</v>
          </cell>
          <cell r="O108">
            <v>74</v>
          </cell>
          <cell r="P108" t="str">
            <v>0 X 0</v>
          </cell>
          <cell r="Q108">
            <v>0</v>
          </cell>
          <cell r="R108">
            <v>0</v>
          </cell>
        </row>
        <row r="109">
          <cell r="B109">
            <v>105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75</v>
          </cell>
          <cell r="O109">
            <v>74</v>
          </cell>
          <cell r="P109" t="str">
            <v>0 X 0</v>
          </cell>
          <cell r="Q109">
            <v>0</v>
          </cell>
          <cell r="R109">
            <v>0</v>
          </cell>
        </row>
        <row r="110">
          <cell r="B110">
            <v>106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75</v>
          </cell>
          <cell r="O110">
            <v>74</v>
          </cell>
          <cell r="P110" t="str">
            <v>0 X 0</v>
          </cell>
          <cell r="Q110">
            <v>0</v>
          </cell>
          <cell r="R110">
            <v>0</v>
          </cell>
        </row>
        <row r="111">
          <cell r="B111">
            <v>107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75</v>
          </cell>
          <cell r="O111">
            <v>74</v>
          </cell>
          <cell r="P111" t="str">
            <v>0 X 0</v>
          </cell>
          <cell r="Q111">
            <v>0</v>
          </cell>
          <cell r="R111">
            <v>0</v>
          </cell>
        </row>
        <row r="112">
          <cell r="B112">
            <v>108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75</v>
          </cell>
          <cell r="O112">
            <v>74</v>
          </cell>
          <cell r="P112" t="str">
            <v>0 X 0</v>
          </cell>
          <cell r="Q112">
            <v>0</v>
          </cell>
          <cell r="R112">
            <v>0</v>
          </cell>
        </row>
        <row r="113">
          <cell r="B113">
            <v>109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75</v>
          </cell>
          <cell r="O113">
            <v>74</v>
          </cell>
          <cell r="P113" t="str">
            <v>0 X 0</v>
          </cell>
          <cell r="Q113">
            <v>0</v>
          </cell>
          <cell r="R113">
            <v>0</v>
          </cell>
        </row>
        <row r="114">
          <cell r="B114">
            <v>110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75</v>
          </cell>
          <cell r="O114">
            <v>74</v>
          </cell>
          <cell r="P114" t="str">
            <v>0 X 0</v>
          </cell>
          <cell r="Q114">
            <v>0</v>
          </cell>
          <cell r="R114">
            <v>0</v>
          </cell>
        </row>
        <row r="115">
          <cell r="B115">
            <v>111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75</v>
          </cell>
          <cell r="O115">
            <v>74</v>
          </cell>
          <cell r="P115" t="str">
            <v>0 X 0</v>
          </cell>
          <cell r="Q115">
            <v>0</v>
          </cell>
          <cell r="R115">
            <v>0</v>
          </cell>
        </row>
        <row r="116">
          <cell r="B116">
            <v>112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75</v>
          </cell>
          <cell r="O116">
            <v>74</v>
          </cell>
          <cell r="P116" t="str">
            <v>0 X 0</v>
          </cell>
          <cell r="Q116">
            <v>0</v>
          </cell>
          <cell r="R116">
            <v>0</v>
          </cell>
        </row>
        <row r="117">
          <cell r="B117">
            <v>113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75</v>
          </cell>
          <cell r="O117">
            <v>74</v>
          </cell>
          <cell r="P117" t="str">
            <v>0 X 0</v>
          </cell>
          <cell r="Q117">
            <v>0</v>
          </cell>
          <cell r="R117">
            <v>0</v>
          </cell>
        </row>
        <row r="118">
          <cell r="B118">
            <v>114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75</v>
          </cell>
          <cell r="O118">
            <v>74</v>
          </cell>
          <cell r="P118" t="str">
            <v>0 X 0</v>
          </cell>
          <cell r="Q118">
            <v>0</v>
          </cell>
          <cell r="R118">
            <v>0</v>
          </cell>
        </row>
        <row r="119">
          <cell r="B119">
            <v>115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75</v>
          </cell>
          <cell r="O119">
            <v>74</v>
          </cell>
          <cell r="P119" t="str">
            <v>0 X 0</v>
          </cell>
          <cell r="Q119">
            <v>0</v>
          </cell>
          <cell r="R119">
            <v>0</v>
          </cell>
        </row>
        <row r="120">
          <cell r="B120">
            <v>116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75</v>
          </cell>
          <cell r="O120">
            <v>74</v>
          </cell>
          <cell r="P120" t="str">
            <v>0 X 0</v>
          </cell>
          <cell r="Q120">
            <v>0</v>
          </cell>
          <cell r="R120">
            <v>0</v>
          </cell>
        </row>
        <row r="121">
          <cell r="B121">
            <v>117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75</v>
          </cell>
          <cell r="O121">
            <v>74</v>
          </cell>
          <cell r="P121" t="str">
            <v>0 X 0</v>
          </cell>
          <cell r="Q121">
            <v>0</v>
          </cell>
          <cell r="R121">
            <v>0</v>
          </cell>
        </row>
        <row r="122">
          <cell r="B122">
            <v>118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75</v>
          </cell>
          <cell r="O122">
            <v>74</v>
          </cell>
          <cell r="P122" t="str">
            <v>0 X 0</v>
          </cell>
          <cell r="Q122">
            <v>0</v>
          </cell>
          <cell r="R122">
            <v>0</v>
          </cell>
        </row>
        <row r="123">
          <cell r="B123">
            <v>119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75</v>
          </cell>
          <cell r="O123">
            <v>74</v>
          </cell>
          <cell r="P123" t="str">
            <v>0 X 0</v>
          </cell>
          <cell r="Q123">
            <v>0</v>
          </cell>
          <cell r="R123">
            <v>0</v>
          </cell>
        </row>
        <row r="124">
          <cell r="B124">
            <v>120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75</v>
          </cell>
          <cell r="O124">
            <v>74</v>
          </cell>
          <cell r="P124" t="str">
            <v>0 X 0</v>
          </cell>
          <cell r="Q124">
            <v>0</v>
          </cell>
          <cell r="R124">
            <v>0</v>
          </cell>
        </row>
        <row r="125">
          <cell r="B125">
            <v>121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75</v>
          </cell>
          <cell r="O125">
            <v>74</v>
          </cell>
          <cell r="P125" t="str">
            <v>0 X 0</v>
          </cell>
          <cell r="Q125">
            <v>0</v>
          </cell>
          <cell r="R125">
            <v>0</v>
          </cell>
        </row>
        <row r="126">
          <cell r="B126">
            <v>122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75</v>
          </cell>
          <cell r="O126">
            <v>74</v>
          </cell>
          <cell r="P126" t="str">
            <v>0 X 0</v>
          </cell>
          <cell r="Q126">
            <v>0</v>
          </cell>
          <cell r="R126">
            <v>0</v>
          </cell>
        </row>
        <row r="127">
          <cell r="B127">
            <v>123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75</v>
          </cell>
          <cell r="O127">
            <v>74</v>
          </cell>
          <cell r="P127" t="str">
            <v>0 X 0</v>
          </cell>
          <cell r="Q127">
            <v>0</v>
          </cell>
          <cell r="R127">
            <v>0</v>
          </cell>
        </row>
        <row r="128">
          <cell r="B128">
            <v>124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75</v>
          </cell>
          <cell r="O128">
            <v>74</v>
          </cell>
          <cell r="P128" t="str">
            <v>0 X 0</v>
          </cell>
          <cell r="Q128">
            <v>0</v>
          </cell>
          <cell r="R128">
            <v>0</v>
          </cell>
        </row>
        <row r="129">
          <cell r="B129">
            <v>125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75</v>
          </cell>
          <cell r="O129">
            <v>74</v>
          </cell>
          <cell r="P129" t="str">
            <v>0 X 0</v>
          </cell>
          <cell r="Q129">
            <v>0</v>
          </cell>
          <cell r="R129">
            <v>0</v>
          </cell>
        </row>
        <row r="130">
          <cell r="B130">
            <v>126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75</v>
          </cell>
          <cell r="O130">
            <v>74</v>
          </cell>
          <cell r="P130" t="str">
            <v>0 X 0</v>
          </cell>
          <cell r="Q130">
            <v>0</v>
          </cell>
          <cell r="R130">
            <v>0</v>
          </cell>
        </row>
        <row r="131">
          <cell r="B131">
            <v>127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75</v>
          </cell>
          <cell r="O131">
            <v>74</v>
          </cell>
          <cell r="P131" t="str">
            <v>0 X 0</v>
          </cell>
          <cell r="Q131">
            <v>0</v>
          </cell>
          <cell r="R131">
            <v>0</v>
          </cell>
        </row>
        <row r="132">
          <cell r="B132">
            <v>128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75</v>
          </cell>
          <cell r="O132">
            <v>74</v>
          </cell>
          <cell r="P132" t="str">
            <v>0 X 0</v>
          </cell>
          <cell r="Q132">
            <v>0</v>
          </cell>
          <cell r="R132">
            <v>0</v>
          </cell>
        </row>
        <row r="133">
          <cell r="B133">
            <v>129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75</v>
          </cell>
          <cell r="O133">
            <v>74</v>
          </cell>
          <cell r="P133" t="str">
            <v>0 X 0</v>
          </cell>
          <cell r="Q133">
            <v>0</v>
          </cell>
          <cell r="R133">
            <v>0</v>
          </cell>
        </row>
        <row r="134">
          <cell r="B134">
            <v>130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75</v>
          </cell>
          <cell r="O134">
            <v>74</v>
          </cell>
          <cell r="P134" t="str">
            <v>0 X 0</v>
          </cell>
          <cell r="Q134">
            <v>0</v>
          </cell>
          <cell r="R134">
            <v>0</v>
          </cell>
        </row>
        <row r="135">
          <cell r="B135">
            <v>131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75</v>
          </cell>
          <cell r="O135">
            <v>74</v>
          </cell>
          <cell r="P135" t="str">
            <v>0 X 0</v>
          </cell>
          <cell r="Q135">
            <v>0</v>
          </cell>
          <cell r="R135">
            <v>0</v>
          </cell>
        </row>
        <row r="136">
          <cell r="B136">
            <v>132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75</v>
          </cell>
          <cell r="O136">
            <v>74</v>
          </cell>
          <cell r="P136" t="str">
            <v>0 X 0</v>
          </cell>
          <cell r="Q136">
            <v>0</v>
          </cell>
          <cell r="R136">
            <v>0</v>
          </cell>
        </row>
        <row r="137">
          <cell r="B137">
            <v>133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75</v>
          </cell>
          <cell r="O137">
            <v>74</v>
          </cell>
          <cell r="P137" t="str">
            <v>0 X 0</v>
          </cell>
          <cell r="Q137">
            <v>0</v>
          </cell>
          <cell r="R137">
            <v>0</v>
          </cell>
        </row>
        <row r="138">
          <cell r="B138">
            <v>134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75</v>
          </cell>
          <cell r="O138">
            <v>74</v>
          </cell>
          <cell r="P138" t="str">
            <v>0 X 0</v>
          </cell>
          <cell r="Q138">
            <v>0</v>
          </cell>
          <cell r="R138">
            <v>0</v>
          </cell>
        </row>
        <row r="139">
          <cell r="B139">
            <v>135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75</v>
          </cell>
          <cell r="O139">
            <v>74</v>
          </cell>
          <cell r="P139" t="str">
            <v>0 X 0</v>
          </cell>
          <cell r="Q139">
            <v>0</v>
          </cell>
          <cell r="R139">
            <v>0</v>
          </cell>
        </row>
        <row r="140">
          <cell r="B140">
            <v>136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75</v>
          </cell>
          <cell r="O140">
            <v>74</v>
          </cell>
          <cell r="P140" t="str">
            <v>0 X 0</v>
          </cell>
          <cell r="Q140">
            <v>0</v>
          </cell>
          <cell r="R140">
            <v>0</v>
          </cell>
        </row>
        <row r="141">
          <cell r="B141">
            <v>137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75</v>
          </cell>
          <cell r="O141">
            <v>74</v>
          </cell>
          <cell r="P141" t="str">
            <v>0 X 0</v>
          </cell>
          <cell r="Q141">
            <v>0</v>
          </cell>
          <cell r="R141">
            <v>0</v>
          </cell>
        </row>
        <row r="142">
          <cell r="B142">
            <v>138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75</v>
          </cell>
          <cell r="O142">
            <v>74</v>
          </cell>
          <cell r="P142" t="str">
            <v>0 X 0</v>
          </cell>
          <cell r="Q142">
            <v>0</v>
          </cell>
          <cell r="R142">
            <v>0</v>
          </cell>
        </row>
        <row r="143">
          <cell r="B143">
            <v>139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75</v>
          </cell>
          <cell r="O143">
            <v>74</v>
          </cell>
          <cell r="P143" t="str">
            <v>0 X 0</v>
          </cell>
          <cell r="Q143">
            <v>0</v>
          </cell>
          <cell r="R143">
            <v>0</v>
          </cell>
        </row>
        <row r="144">
          <cell r="B144">
            <v>140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75</v>
          </cell>
          <cell r="O144">
            <v>74</v>
          </cell>
          <cell r="P144" t="str">
            <v>0 X 0</v>
          </cell>
          <cell r="Q144">
            <v>0</v>
          </cell>
          <cell r="R144">
            <v>0</v>
          </cell>
        </row>
        <row r="145">
          <cell r="B145">
            <v>141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75</v>
          </cell>
          <cell r="O145">
            <v>74</v>
          </cell>
          <cell r="P145" t="str">
            <v>0 X 0</v>
          </cell>
          <cell r="Q145">
            <v>0</v>
          </cell>
          <cell r="R145">
            <v>0</v>
          </cell>
        </row>
        <row r="146">
          <cell r="B146">
            <v>142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75</v>
          </cell>
          <cell r="O146">
            <v>74</v>
          </cell>
          <cell r="P146" t="str">
            <v>0 X 0</v>
          </cell>
          <cell r="Q146">
            <v>0</v>
          </cell>
          <cell r="R146">
            <v>0</v>
          </cell>
        </row>
        <row r="147">
          <cell r="B147">
            <v>143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75</v>
          </cell>
          <cell r="O147">
            <v>74</v>
          </cell>
          <cell r="P147" t="str">
            <v>0 X 0</v>
          </cell>
          <cell r="Q147">
            <v>0</v>
          </cell>
          <cell r="R147">
            <v>0</v>
          </cell>
        </row>
        <row r="148">
          <cell r="B148">
            <v>144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75</v>
          </cell>
          <cell r="O148">
            <v>74</v>
          </cell>
          <cell r="P148" t="str">
            <v>0 X 0</v>
          </cell>
          <cell r="Q148">
            <v>0</v>
          </cell>
          <cell r="R148">
            <v>0</v>
          </cell>
        </row>
        <row r="149">
          <cell r="B149">
            <v>145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75</v>
          </cell>
          <cell r="O149">
            <v>74</v>
          </cell>
          <cell r="P149" t="str">
            <v>0 X 0</v>
          </cell>
          <cell r="Q149">
            <v>0</v>
          </cell>
          <cell r="R149">
            <v>0</v>
          </cell>
        </row>
        <row r="150">
          <cell r="B150">
            <v>146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75</v>
          </cell>
          <cell r="O150">
            <v>74</v>
          </cell>
          <cell r="P150" t="str">
            <v>0 X 0</v>
          </cell>
          <cell r="Q150">
            <v>0</v>
          </cell>
          <cell r="R150">
            <v>0</v>
          </cell>
        </row>
        <row r="151">
          <cell r="B151">
            <v>147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75</v>
          </cell>
          <cell r="O151">
            <v>74</v>
          </cell>
          <cell r="P151" t="str">
            <v>0 X 0</v>
          </cell>
          <cell r="Q151">
            <v>0</v>
          </cell>
          <cell r="R151">
            <v>0</v>
          </cell>
        </row>
        <row r="152">
          <cell r="B152">
            <v>148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75</v>
          </cell>
          <cell r="O152">
            <v>74</v>
          </cell>
          <cell r="P152" t="str">
            <v>0 X 0</v>
          </cell>
          <cell r="Q152">
            <v>0</v>
          </cell>
          <cell r="R152">
            <v>0</v>
          </cell>
        </row>
        <row r="153">
          <cell r="B153">
            <v>149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75</v>
          </cell>
          <cell r="O153">
            <v>74</v>
          </cell>
          <cell r="P153" t="str">
            <v>0 X 0</v>
          </cell>
          <cell r="Q153">
            <v>0</v>
          </cell>
          <cell r="R153">
            <v>0</v>
          </cell>
        </row>
        <row r="154">
          <cell r="B154">
            <v>150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75</v>
          </cell>
          <cell r="O154">
            <v>74</v>
          </cell>
          <cell r="P154" t="str">
            <v>0 X 0</v>
          </cell>
          <cell r="Q154">
            <v>0</v>
          </cell>
          <cell r="R154">
            <v>0</v>
          </cell>
        </row>
        <row r="155">
          <cell r="B155">
            <v>151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75</v>
          </cell>
          <cell r="O155">
            <v>74</v>
          </cell>
          <cell r="P155" t="str">
            <v>0 X 0</v>
          </cell>
          <cell r="Q155">
            <v>0</v>
          </cell>
          <cell r="R155">
            <v>0</v>
          </cell>
        </row>
        <row r="156">
          <cell r="B156">
            <v>152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75</v>
          </cell>
          <cell r="O156">
            <v>74</v>
          </cell>
          <cell r="P156" t="str">
            <v>0 X 0</v>
          </cell>
          <cell r="Q156">
            <v>0</v>
          </cell>
          <cell r="R156">
            <v>0</v>
          </cell>
        </row>
        <row r="157">
          <cell r="B157">
            <v>153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75</v>
          </cell>
          <cell r="O157">
            <v>74</v>
          </cell>
          <cell r="P157" t="str">
            <v>0 X 0</v>
          </cell>
          <cell r="Q157">
            <v>0</v>
          </cell>
          <cell r="R157">
            <v>0</v>
          </cell>
        </row>
        <row r="158">
          <cell r="B158">
            <v>154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75</v>
          </cell>
          <cell r="O158">
            <v>74</v>
          </cell>
          <cell r="P158" t="str">
            <v>0 X 0</v>
          </cell>
          <cell r="Q158">
            <v>0</v>
          </cell>
          <cell r="R158">
            <v>0</v>
          </cell>
        </row>
        <row r="159">
          <cell r="B159">
            <v>155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75</v>
          </cell>
          <cell r="O159">
            <v>74</v>
          </cell>
          <cell r="P159" t="str">
            <v>0 X 0</v>
          </cell>
          <cell r="Q159">
            <v>0</v>
          </cell>
          <cell r="R159">
            <v>0</v>
          </cell>
        </row>
        <row r="160">
          <cell r="B160">
            <v>156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75</v>
          </cell>
          <cell r="O160">
            <v>74</v>
          </cell>
          <cell r="P160" t="str">
            <v>0 X 0</v>
          </cell>
          <cell r="Q160">
            <v>0</v>
          </cell>
          <cell r="R160">
            <v>0</v>
          </cell>
        </row>
        <row r="161">
          <cell r="B161">
            <v>157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75</v>
          </cell>
          <cell r="O161">
            <v>74</v>
          </cell>
          <cell r="P161" t="str">
            <v>0 X 0</v>
          </cell>
          <cell r="Q161">
            <v>0</v>
          </cell>
          <cell r="R161">
            <v>0</v>
          </cell>
        </row>
        <row r="162">
          <cell r="B162">
            <v>158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75</v>
          </cell>
          <cell r="O162">
            <v>74</v>
          </cell>
          <cell r="P162" t="str">
            <v>0 X 0</v>
          </cell>
          <cell r="Q162">
            <v>0</v>
          </cell>
          <cell r="R162">
            <v>0</v>
          </cell>
        </row>
        <row r="163">
          <cell r="B163">
            <v>159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75</v>
          </cell>
          <cell r="O163">
            <v>74</v>
          </cell>
          <cell r="P163" t="str">
            <v>0 X 0</v>
          </cell>
          <cell r="Q163">
            <v>0</v>
          </cell>
          <cell r="R163">
            <v>0</v>
          </cell>
        </row>
        <row r="164">
          <cell r="B164">
            <v>160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75</v>
          </cell>
          <cell r="O164">
            <v>74</v>
          </cell>
          <cell r="P164" t="str">
            <v>0 X 0</v>
          </cell>
          <cell r="Q164">
            <v>0</v>
          </cell>
          <cell r="R164">
            <v>0</v>
          </cell>
        </row>
        <row r="165">
          <cell r="B165">
            <v>161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75</v>
          </cell>
          <cell r="O165">
            <v>74</v>
          </cell>
          <cell r="P165" t="str">
            <v>0 X 0</v>
          </cell>
          <cell r="Q165">
            <v>0</v>
          </cell>
          <cell r="R165">
            <v>0</v>
          </cell>
        </row>
        <row r="166">
          <cell r="B166">
            <v>162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75</v>
          </cell>
          <cell r="O166">
            <v>74</v>
          </cell>
          <cell r="P166" t="str">
            <v>0 X 0</v>
          </cell>
          <cell r="Q166">
            <v>0</v>
          </cell>
          <cell r="R166">
            <v>0</v>
          </cell>
        </row>
        <row r="167">
          <cell r="B167">
            <v>163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75</v>
          </cell>
          <cell r="O167">
            <v>74</v>
          </cell>
          <cell r="P167" t="str">
            <v>0 X 0</v>
          </cell>
          <cell r="Q167">
            <v>0</v>
          </cell>
          <cell r="R167">
            <v>0</v>
          </cell>
        </row>
        <row r="168">
          <cell r="B168">
            <v>164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75</v>
          </cell>
          <cell r="O168">
            <v>74</v>
          </cell>
          <cell r="P168" t="str">
            <v>0 X 0</v>
          </cell>
          <cell r="Q168">
            <v>0</v>
          </cell>
          <cell r="R168">
            <v>0</v>
          </cell>
        </row>
        <row r="169">
          <cell r="B169">
            <v>165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75</v>
          </cell>
          <cell r="O169">
            <v>74</v>
          </cell>
          <cell r="P169" t="str">
            <v>0 X 0</v>
          </cell>
          <cell r="Q169">
            <v>0</v>
          </cell>
          <cell r="R169">
            <v>0</v>
          </cell>
        </row>
        <row r="170">
          <cell r="B170">
            <v>166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75</v>
          </cell>
          <cell r="O170">
            <v>74</v>
          </cell>
          <cell r="P170" t="str">
            <v>0 X 0</v>
          </cell>
          <cell r="Q170">
            <v>0</v>
          </cell>
          <cell r="R170">
            <v>0</v>
          </cell>
        </row>
        <row r="171">
          <cell r="B171">
            <v>167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75</v>
          </cell>
          <cell r="O171">
            <v>74</v>
          </cell>
          <cell r="P171" t="str">
            <v>0 X 0</v>
          </cell>
          <cell r="Q171">
            <v>0</v>
          </cell>
          <cell r="R171">
            <v>0</v>
          </cell>
        </row>
        <row r="172">
          <cell r="B172">
            <v>168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75</v>
          </cell>
          <cell r="O172">
            <v>74</v>
          </cell>
          <cell r="P172" t="str">
            <v>0 X 0</v>
          </cell>
          <cell r="Q172">
            <v>0</v>
          </cell>
          <cell r="R172">
            <v>0</v>
          </cell>
        </row>
        <row r="173">
          <cell r="B173">
            <v>169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75</v>
          </cell>
          <cell r="O173">
            <v>74</v>
          </cell>
          <cell r="P173" t="str">
            <v>0 X 0</v>
          </cell>
          <cell r="Q173">
            <v>0</v>
          </cell>
          <cell r="R173">
            <v>0</v>
          </cell>
        </row>
        <row r="174">
          <cell r="B174">
            <v>170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75</v>
          </cell>
          <cell r="O174">
            <v>74</v>
          </cell>
          <cell r="P174" t="str">
            <v>0 X 0</v>
          </cell>
          <cell r="Q174">
            <v>0</v>
          </cell>
          <cell r="R174">
            <v>0</v>
          </cell>
        </row>
        <row r="175">
          <cell r="B175">
            <v>171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75</v>
          </cell>
          <cell r="O175">
            <v>74</v>
          </cell>
          <cell r="P175" t="str">
            <v>0 X 0</v>
          </cell>
          <cell r="Q175">
            <v>0</v>
          </cell>
          <cell r="R175">
            <v>0</v>
          </cell>
        </row>
        <row r="176">
          <cell r="B176">
            <v>172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75</v>
          </cell>
          <cell r="O176">
            <v>74</v>
          </cell>
          <cell r="P176" t="str">
            <v>0 X 0</v>
          </cell>
          <cell r="Q176">
            <v>0</v>
          </cell>
          <cell r="R176">
            <v>0</v>
          </cell>
        </row>
        <row r="177">
          <cell r="B177">
            <v>173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75</v>
          </cell>
          <cell r="O177">
            <v>74</v>
          </cell>
          <cell r="P177" t="str">
            <v>0 X 0</v>
          </cell>
          <cell r="Q177">
            <v>0</v>
          </cell>
          <cell r="R177">
            <v>0</v>
          </cell>
        </row>
        <row r="178">
          <cell r="B178">
            <v>174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75</v>
          </cell>
          <cell r="O178">
            <v>74</v>
          </cell>
          <cell r="P178" t="str">
            <v>0 X 0</v>
          </cell>
          <cell r="Q178">
            <v>0</v>
          </cell>
          <cell r="R178">
            <v>0</v>
          </cell>
        </row>
        <row r="179">
          <cell r="B179">
            <v>175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75</v>
          </cell>
          <cell r="O179">
            <v>74</v>
          </cell>
          <cell r="P179" t="str">
            <v>0 X 0</v>
          </cell>
          <cell r="Q179">
            <v>0</v>
          </cell>
          <cell r="R179">
            <v>0</v>
          </cell>
        </row>
        <row r="180">
          <cell r="B180">
            <v>176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75</v>
          </cell>
          <cell r="O180">
            <v>74</v>
          </cell>
          <cell r="P180" t="str">
            <v>0 X 0</v>
          </cell>
          <cell r="Q180">
            <v>0</v>
          </cell>
          <cell r="R180">
            <v>0</v>
          </cell>
        </row>
        <row r="181">
          <cell r="B181">
            <v>177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75</v>
          </cell>
          <cell r="O181">
            <v>74</v>
          </cell>
          <cell r="P181" t="str">
            <v>0 X 0</v>
          </cell>
          <cell r="Q181">
            <v>0</v>
          </cell>
          <cell r="R181">
            <v>0</v>
          </cell>
        </row>
        <row r="182">
          <cell r="B182">
            <v>178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75</v>
          </cell>
          <cell r="O182">
            <v>74</v>
          </cell>
          <cell r="P182" t="str">
            <v>0 X 0</v>
          </cell>
          <cell r="Q182">
            <v>0</v>
          </cell>
          <cell r="R182">
            <v>0</v>
          </cell>
        </row>
        <row r="183">
          <cell r="B183">
            <v>179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75</v>
          </cell>
          <cell r="O183">
            <v>74</v>
          </cell>
          <cell r="P183" t="str">
            <v>0 X 0</v>
          </cell>
          <cell r="Q183">
            <v>0</v>
          </cell>
          <cell r="R183">
            <v>0</v>
          </cell>
        </row>
        <row r="184">
          <cell r="B184">
            <v>180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75</v>
          </cell>
          <cell r="O184">
            <v>74</v>
          </cell>
          <cell r="P184" t="str">
            <v>0 X 0</v>
          </cell>
          <cell r="Q184">
            <v>0</v>
          </cell>
          <cell r="R184">
            <v>0</v>
          </cell>
        </row>
        <row r="185">
          <cell r="B185">
            <v>181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75</v>
          </cell>
          <cell r="O185">
            <v>74</v>
          </cell>
          <cell r="P185" t="str">
            <v>0 X 0</v>
          </cell>
          <cell r="Q185">
            <v>0</v>
          </cell>
          <cell r="R185">
            <v>0</v>
          </cell>
        </row>
        <row r="186">
          <cell r="B186">
            <v>182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75</v>
          </cell>
          <cell r="O186">
            <v>74</v>
          </cell>
          <cell r="P186" t="str">
            <v>0 X 0</v>
          </cell>
          <cell r="Q186">
            <v>0</v>
          </cell>
          <cell r="R186">
            <v>0</v>
          </cell>
        </row>
        <row r="187">
          <cell r="B187">
            <v>183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75</v>
          </cell>
          <cell r="O187">
            <v>74</v>
          </cell>
          <cell r="P187" t="str">
            <v>0 X 0</v>
          </cell>
          <cell r="Q187">
            <v>0</v>
          </cell>
          <cell r="R187">
            <v>0</v>
          </cell>
        </row>
        <row r="188">
          <cell r="B188">
            <v>184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75</v>
          </cell>
          <cell r="O188">
            <v>74</v>
          </cell>
          <cell r="P188" t="str">
            <v>0 X 0</v>
          </cell>
          <cell r="Q188">
            <v>0</v>
          </cell>
          <cell r="R188">
            <v>0</v>
          </cell>
        </row>
        <row r="189">
          <cell r="B189">
            <v>185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75</v>
          </cell>
          <cell r="O189">
            <v>74</v>
          </cell>
          <cell r="P189" t="str">
            <v>0 X 0</v>
          </cell>
          <cell r="Q189">
            <v>0</v>
          </cell>
          <cell r="R189">
            <v>0</v>
          </cell>
        </row>
        <row r="190">
          <cell r="B190">
            <v>186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75</v>
          </cell>
          <cell r="O190">
            <v>74</v>
          </cell>
          <cell r="P190" t="str">
            <v>0 X 0</v>
          </cell>
          <cell r="Q190">
            <v>0</v>
          </cell>
          <cell r="R190">
            <v>0</v>
          </cell>
        </row>
        <row r="191">
          <cell r="B191">
            <v>187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75</v>
          </cell>
          <cell r="O191">
            <v>74</v>
          </cell>
          <cell r="P191" t="str">
            <v>0 X 0</v>
          </cell>
          <cell r="Q191">
            <v>0</v>
          </cell>
          <cell r="R191">
            <v>0</v>
          </cell>
        </row>
        <row r="192">
          <cell r="B192">
            <v>188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75</v>
          </cell>
          <cell r="O192">
            <v>74</v>
          </cell>
          <cell r="P192" t="str">
            <v>0 X 0</v>
          </cell>
          <cell r="Q192">
            <v>0</v>
          </cell>
          <cell r="R192">
            <v>0</v>
          </cell>
        </row>
        <row r="193">
          <cell r="B193">
            <v>189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75</v>
          </cell>
          <cell r="O193">
            <v>74</v>
          </cell>
          <cell r="P193" t="str">
            <v>0 X 0</v>
          </cell>
          <cell r="Q193">
            <v>0</v>
          </cell>
          <cell r="R193">
            <v>0</v>
          </cell>
        </row>
        <row r="194">
          <cell r="B194">
            <v>190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75</v>
          </cell>
          <cell r="O194">
            <v>74</v>
          </cell>
          <cell r="P194" t="str">
            <v>0 X 0</v>
          </cell>
          <cell r="Q194">
            <v>0</v>
          </cell>
          <cell r="R194">
            <v>0</v>
          </cell>
        </row>
        <row r="195">
          <cell r="B195">
            <v>191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75</v>
          </cell>
          <cell r="O195">
            <v>74</v>
          </cell>
          <cell r="P195" t="str">
            <v>0 X 0</v>
          </cell>
          <cell r="Q195">
            <v>0</v>
          </cell>
          <cell r="R195">
            <v>0</v>
          </cell>
        </row>
        <row r="196">
          <cell r="B196">
            <v>192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75</v>
          </cell>
          <cell r="O196">
            <v>74</v>
          </cell>
          <cell r="P196" t="str">
            <v>0 X 0</v>
          </cell>
          <cell r="Q196">
            <v>0</v>
          </cell>
          <cell r="R196">
            <v>0</v>
          </cell>
        </row>
        <row r="197">
          <cell r="B197">
            <v>193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75</v>
          </cell>
          <cell r="O197">
            <v>74</v>
          </cell>
          <cell r="P197" t="str">
            <v>0 X 0</v>
          </cell>
          <cell r="Q197">
            <v>0</v>
          </cell>
          <cell r="R197">
            <v>0</v>
          </cell>
        </row>
        <row r="198">
          <cell r="B198">
            <v>194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75</v>
          </cell>
          <cell r="O198">
            <v>74</v>
          </cell>
          <cell r="P198" t="str">
            <v>0 X 0</v>
          </cell>
          <cell r="Q198">
            <v>0</v>
          </cell>
          <cell r="R198">
            <v>0</v>
          </cell>
        </row>
        <row r="199">
          <cell r="B199">
            <v>195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75</v>
          </cell>
          <cell r="O199">
            <v>74</v>
          </cell>
          <cell r="P199" t="str">
            <v>0 X 0</v>
          </cell>
          <cell r="Q199">
            <v>0</v>
          </cell>
          <cell r="R199">
            <v>0</v>
          </cell>
        </row>
        <row r="200">
          <cell r="B200">
            <v>196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75</v>
          </cell>
          <cell r="O200">
            <v>74</v>
          </cell>
          <cell r="P200" t="str">
            <v>0 X 0</v>
          </cell>
          <cell r="Q200">
            <v>0</v>
          </cell>
          <cell r="R200">
            <v>0</v>
          </cell>
        </row>
        <row r="201">
          <cell r="B201">
            <v>197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75</v>
          </cell>
          <cell r="O201">
            <v>74</v>
          </cell>
          <cell r="P201" t="str">
            <v>0 X 0</v>
          </cell>
          <cell r="Q201">
            <v>0</v>
          </cell>
          <cell r="R201">
            <v>0</v>
          </cell>
        </row>
        <row r="202">
          <cell r="B202">
            <v>198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75</v>
          </cell>
          <cell r="O202">
            <v>74</v>
          </cell>
          <cell r="P202" t="str">
            <v>0 X 0</v>
          </cell>
          <cell r="Q202">
            <v>0</v>
          </cell>
          <cell r="R202">
            <v>0</v>
          </cell>
        </row>
        <row r="203">
          <cell r="B203">
            <v>199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75</v>
          </cell>
          <cell r="O203">
            <v>74</v>
          </cell>
          <cell r="P203" t="str">
            <v>0 X 0</v>
          </cell>
          <cell r="Q203">
            <v>0</v>
          </cell>
          <cell r="R203">
            <v>0</v>
          </cell>
        </row>
        <row r="204">
          <cell r="B204">
            <v>200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75</v>
          </cell>
          <cell r="O204">
            <v>74</v>
          </cell>
          <cell r="P204" t="str">
            <v>0 X 0</v>
          </cell>
          <cell r="Q204">
            <v>0</v>
          </cell>
          <cell r="R204">
            <v>0</v>
          </cell>
        </row>
        <row r="205">
          <cell r="B205">
            <v>201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75</v>
          </cell>
          <cell r="O205">
            <v>74</v>
          </cell>
          <cell r="P205" t="str">
            <v>0 X 0</v>
          </cell>
          <cell r="Q205">
            <v>0</v>
          </cell>
          <cell r="R205">
            <v>0</v>
          </cell>
        </row>
        <row r="206">
          <cell r="B206">
            <v>202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75</v>
          </cell>
          <cell r="O206">
            <v>74</v>
          </cell>
          <cell r="P206" t="str">
            <v>0 X 0</v>
          </cell>
          <cell r="Q206">
            <v>0</v>
          </cell>
          <cell r="R206">
            <v>0</v>
          </cell>
        </row>
        <row r="207">
          <cell r="B207">
            <v>203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75</v>
          </cell>
          <cell r="O207">
            <v>74</v>
          </cell>
          <cell r="P207" t="str">
            <v>0 X 0</v>
          </cell>
          <cell r="Q207">
            <v>0</v>
          </cell>
          <cell r="R207">
            <v>0</v>
          </cell>
        </row>
        <row r="208">
          <cell r="B208">
            <v>204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75</v>
          </cell>
          <cell r="O208">
            <v>74</v>
          </cell>
          <cell r="P208" t="str">
            <v>0 X 0</v>
          </cell>
          <cell r="Q208">
            <v>0</v>
          </cell>
          <cell r="R208">
            <v>0</v>
          </cell>
        </row>
        <row r="209">
          <cell r="B209">
            <v>205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75</v>
          </cell>
          <cell r="O209">
            <v>74</v>
          </cell>
          <cell r="P209" t="str">
            <v>0 X 0</v>
          </cell>
          <cell r="Q209">
            <v>0</v>
          </cell>
          <cell r="R209">
            <v>0</v>
          </cell>
        </row>
        <row r="210">
          <cell r="B210">
            <v>206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75</v>
          </cell>
          <cell r="O210">
            <v>74</v>
          </cell>
          <cell r="P210" t="str">
            <v>0 X 0</v>
          </cell>
          <cell r="Q210">
            <v>0</v>
          </cell>
          <cell r="R210">
            <v>0</v>
          </cell>
        </row>
        <row r="211">
          <cell r="B211">
            <v>207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75</v>
          </cell>
          <cell r="O211">
            <v>74</v>
          </cell>
          <cell r="P211" t="str">
            <v>0 X 0</v>
          </cell>
          <cell r="Q211">
            <v>0</v>
          </cell>
          <cell r="R211">
            <v>0</v>
          </cell>
        </row>
        <row r="212">
          <cell r="B212">
            <v>208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75</v>
          </cell>
          <cell r="O212">
            <v>74</v>
          </cell>
          <cell r="P212" t="str">
            <v>0 X 0</v>
          </cell>
          <cell r="Q212">
            <v>0</v>
          </cell>
          <cell r="R212">
            <v>0</v>
          </cell>
        </row>
        <row r="213">
          <cell r="B213">
            <v>209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75</v>
          </cell>
          <cell r="O213">
            <v>74</v>
          </cell>
          <cell r="P213" t="str">
            <v>0 X 0</v>
          </cell>
          <cell r="Q213">
            <v>0</v>
          </cell>
          <cell r="R213">
            <v>0</v>
          </cell>
        </row>
        <row r="214">
          <cell r="B214">
            <v>210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75</v>
          </cell>
          <cell r="O214">
            <v>74</v>
          </cell>
          <cell r="P214" t="str">
            <v>0 X 0</v>
          </cell>
          <cell r="Q214">
            <v>0</v>
          </cell>
          <cell r="R214">
            <v>0</v>
          </cell>
        </row>
        <row r="215">
          <cell r="B215">
            <v>211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75</v>
          </cell>
          <cell r="O215">
            <v>74</v>
          </cell>
          <cell r="P215" t="str">
            <v>0 X 0</v>
          </cell>
          <cell r="Q215">
            <v>0</v>
          </cell>
          <cell r="R215">
            <v>0</v>
          </cell>
        </row>
        <row r="216">
          <cell r="B216">
            <v>212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75</v>
          </cell>
          <cell r="O216">
            <v>74</v>
          </cell>
          <cell r="P216" t="str">
            <v>0 X 0</v>
          </cell>
          <cell r="Q216">
            <v>0</v>
          </cell>
          <cell r="R216">
            <v>0</v>
          </cell>
        </row>
        <row r="217">
          <cell r="B217">
            <v>213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75</v>
          </cell>
          <cell r="O217">
            <v>74</v>
          </cell>
          <cell r="P217" t="str">
            <v>0 X 0</v>
          </cell>
          <cell r="Q217">
            <v>0</v>
          </cell>
          <cell r="R217">
            <v>0</v>
          </cell>
        </row>
        <row r="218">
          <cell r="B218">
            <v>214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75</v>
          </cell>
          <cell r="O218">
            <v>74</v>
          </cell>
          <cell r="P218" t="str">
            <v>0 X 0</v>
          </cell>
          <cell r="Q218">
            <v>0</v>
          </cell>
          <cell r="R218">
            <v>0</v>
          </cell>
        </row>
        <row r="219">
          <cell r="B219">
            <v>215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75</v>
          </cell>
          <cell r="O219">
            <v>74</v>
          </cell>
          <cell r="P219" t="str">
            <v>0 X 0</v>
          </cell>
          <cell r="Q219">
            <v>0</v>
          </cell>
          <cell r="R219">
            <v>0</v>
          </cell>
        </row>
        <row r="220">
          <cell r="B220">
            <v>216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75</v>
          </cell>
          <cell r="O220">
            <v>74</v>
          </cell>
          <cell r="P220" t="str">
            <v>0 X 0</v>
          </cell>
          <cell r="Q220">
            <v>0</v>
          </cell>
          <cell r="R220">
            <v>0</v>
          </cell>
        </row>
        <row r="221">
          <cell r="B221">
            <v>217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75</v>
          </cell>
          <cell r="O221">
            <v>74</v>
          </cell>
          <cell r="P221" t="str">
            <v>0 X 0</v>
          </cell>
          <cell r="Q221">
            <v>0</v>
          </cell>
          <cell r="R221">
            <v>0</v>
          </cell>
        </row>
        <row r="222">
          <cell r="B222">
            <v>218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75</v>
          </cell>
          <cell r="O222">
            <v>74</v>
          </cell>
          <cell r="P222" t="str">
            <v>0 X 0</v>
          </cell>
          <cell r="Q222">
            <v>0</v>
          </cell>
          <cell r="R222">
            <v>0</v>
          </cell>
        </row>
        <row r="223">
          <cell r="B223">
            <v>219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75</v>
          </cell>
          <cell r="O223">
            <v>74</v>
          </cell>
          <cell r="P223" t="str">
            <v>0 X 0</v>
          </cell>
          <cell r="Q223">
            <v>0</v>
          </cell>
          <cell r="R223">
            <v>0</v>
          </cell>
        </row>
        <row r="224">
          <cell r="B224">
            <v>220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75</v>
          </cell>
          <cell r="O224">
            <v>74</v>
          </cell>
          <cell r="P224" t="str">
            <v>0 X 0</v>
          </cell>
          <cell r="Q224">
            <v>0</v>
          </cell>
          <cell r="R224">
            <v>0</v>
          </cell>
        </row>
        <row r="225">
          <cell r="B225">
            <v>221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75</v>
          </cell>
          <cell r="O225">
            <v>74</v>
          </cell>
          <cell r="P225" t="str">
            <v>0 X 0</v>
          </cell>
          <cell r="Q225">
            <v>0</v>
          </cell>
          <cell r="R225">
            <v>0</v>
          </cell>
        </row>
        <row r="226">
          <cell r="B226">
            <v>222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75</v>
          </cell>
          <cell r="O226">
            <v>74</v>
          </cell>
          <cell r="P226" t="str">
            <v>0 X 0</v>
          </cell>
          <cell r="Q226">
            <v>0</v>
          </cell>
          <cell r="R226">
            <v>0</v>
          </cell>
        </row>
        <row r="227">
          <cell r="B227">
            <v>223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75</v>
          </cell>
          <cell r="O227">
            <v>74</v>
          </cell>
          <cell r="P227" t="str">
            <v>0 X 0</v>
          </cell>
          <cell r="Q227">
            <v>0</v>
          </cell>
          <cell r="R227">
            <v>0</v>
          </cell>
        </row>
        <row r="228">
          <cell r="B228">
            <v>224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75</v>
          </cell>
          <cell r="O228">
            <v>74</v>
          </cell>
          <cell r="P228" t="str">
            <v>0 X 0</v>
          </cell>
          <cell r="Q228">
            <v>0</v>
          </cell>
          <cell r="R228">
            <v>0</v>
          </cell>
        </row>
        <row r="229">
          <cell r="B229">
            <v>225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75</v>
          </cell>
          <cell r="O229">
            <v>74</v>
          </cell>
          <cell r="P229" t="str">
            <v>0 X 0</v>
          </cell>
          <cell r="Q229">
            <v>0</v>
          </cell>
          <cell r="R229">
            <v>0</v>
          </cell>
        </row>
        <row r="230">
          <cell r="B230">
            <v>226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75</v>
          </cell>
          <cell r="O230">
            <v>74</v>
          </cell>
          <cell r="P230" t="str">
            <v>0 X 0</v>
          </cell>
          <cell r="Q230">
            <v>0</v>
          </cell>
          <cell r="R230">
            <v>0</v>
          </cell>
        </row>
        <row r="231">
          <cell r="B231">
            <v>227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75</v>
          </cell>
          <cell r="O231">
            <v>74</v>
          </cell>
          <cell r="P231" t="str">
            <v>0 X 0</v>
          </cell>
          <cell r="Q231">
            <v>0</v>
          </cell>
          <cell r="R231">
            <v>0</v>
          </cell>
        </row>
        <row r="232">
          <cell r="B232">
            <v>228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75</v>
          </cell>
          <cell r="O232">
            <v>74</v>
          </cell>
          <cell r="P232" t="str">
            <v>0 X 0</v>
          </cell>
          <cell r="Q232">
            <v>0</v>
          </cell>
          <cell r="R232">
            <v>0</v>
          </cell>
        </row>
        <row r="233">
          <cell r="B233">
            <v>229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75</v>
          </cell>
          <cell r="O233">
            <v>74</v>
          </cell>
          <cell r="P233" t="str">
            <v>0 X 0</v>
          </cell>
          <cell r="Q233">
            <v>0</v>
          </cell>
          <cell r="R233">
            <v>0</v>
          </cell>
        </row>
        <row r="234">
          <cell r="B234">
            <v>230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75</v>
          </cell>
          <cell r="O234">
            <v>74</v>
          </cell>
          <cell r="P234" t="str">
            <v>0 X 0</v>
          </cell>
          <cell r="Q234">
            <v>0</v>
          </cell>
          <cell r="R234">
            <v>0</v>
          </cell>
        </row>
        <row r="235">
          <cell r="B235">
            <v>231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75</v>
          </cell>
          <cell r="O235">
            <v>74</v>
          </cell>
          <cell r="P235" t="str">
            <v>0 X 0</v>
          </cell>
          <cell r="Q235">
            <v>0</v>
          </cell>
          <cell r="R235">
            <v>0</v>
          </cell>
        </row>
        <row r="236">
          <cell r="B236">
            <v>232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75</v>
          </cell>
          <cell r="O236">
            <v>74</v>
          </cell>
          <cell r="P236" t="str">
            <v>0 X 0</v>
          </cell>
          <cell r="Q236">
            <v>0</v>
          </cell>
          <cell r="R236">
            <v>0</v>
          </cell>
        </row>
        <row r="237">
          <cell r="B237">
            <v>233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75</v>
          </cell>
          <cell r="O237">
            <v>74</v>
          </cell>
          <cell r="P237" t="str">
            <v>0 X 0</v>
          </cell>
          <cell r="Q237">
            <v>0</v>
          </cell>
          <cell r="R237">
            <v>0</v>
          </cell>
        </row>
        <row r="238">
          <cell r="B238">
            <v>234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75</v>
          </cell>
          <cell r="O238">
            <v>74</v>
          </cell>
          <cell r="P238" t="str">
            <v>0 X 0</v>
          </cell>
          <cell r="Q238">
            <v>0</v>
          </cell>
          <cell r="R238">
            <v>0</v>
          </cell>
        </row>
        <row r="239">
          <cell r="B239">
            <v>235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75</v>
          </cell>
          <cell r="O239">
            <v>74</v>
          </cell>
          <cell r="P239" t="str">
            <v>0 X 0</v>
          </cell>
          <cell r="Q239">
            <v>0</v>
          </cell>
          <cell r="R239">
            <v>0</v>
          </cell>
        </row>
        <row r="240">
          <cell r="B240">
            <v>236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75</v>
          </cell>
          <cell r="O240">
            <v>74</v>
          </cell>
          <cell r="P240" t="str">
            <v>0 X 0</v>
          </cell>
          <cell r="Q240">
            <v>0</v>
          </cell>
          <cell r="R240">
            <v>0</v>
          </cell>
        </row>
        <row r="241">
          <cell r="B241">
            <v>237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75</v>
          </cell>
          <cell r="O241">
            <v>74</v>
          </cell>
          <cell r="P241" t="str">
            <v>0 X 0</v>
          </cell>
          <cell r="Q241">
            <v>0</v>
          </cell>
          <cell r="R241">
            <v>0</v>
          </cell>
        </row>
        <row r="242">
          <cell r="B242">
            <v>238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75</v>
          </cell>
          <cell r="O242">
            <v>74</v>
          </cell>
          <cell r="P242" t="str">
            <v>0 X 0</v>
          </cell>
          <cell r="Q242">
            <v>0</v>
          </cell>
          <cell r="R242">
            <v>0</v>
          </cell>
        </row>
        <row r="243">
          <cell r="B243">
            <v>239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75</v>
          </cell>
          <cell r="O243">
            <v>74</v>
          </cell>
          <cell r="P243" t="str">
            <v>0 X 0</v>
          </cell>
          <cell r="Q243">
            <v>0</v>
          </cell>
          <cell r="R243">
            <v>0</v>
          </cell>
        </row>
        <row r="244">
          <cell r="B244">
            <v>240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75</v>
          </cell>
          <cell r="O244">
            <v>74</v>
          </cell>
          <cell r="P244" t="str">
            <v>0 X 0</v>
          </cell>
          <cell r="Q244">
            <v>0</v>
          </cell>
          <cell r="R244">
            <v>0</v>
          </cell>
        </row>
        <row r="245">
          <cell r="B245">
            <v>241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75</v>
          </cell>
          <cell r="O245">
            <v>74</v>
          </cell>
          <cell r="P245" t="str">
            <v>0 X 0</v>
          </cell>
          <cell r="Q245">
            <v>0</v>
          </cell>
          <cell r="R245">
            <v>0</v>
          </cell>
        </row>
        <row r="246">
          <cell r="B246">
            <v>242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75</v>
          </cell>
          <cell r="O246">
            <v>74</v>
          </cell>
          <cell r="P246" t="str">
            <v>0 X 0</v>
          </cell>
          <cell r="Q246">
            <v>0</v>
          </cell>
          <cell r="R246">
            <v>0</v>
          </cell>
        </row>
        <row r="247">
          <cell r="B247">
            <v>243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75</v>
          </cell>
          <cell r="O247">
            <v>74</v>
          </cell>
          <cell r="P247" t="str">
            <v>0 X 0</v>
          </cell>
          <cell r="Q247">
            <v>0</v>
          </cell>
          <cell r="R247">
            <v>0</v>
          </cell>
        </row>
        <row r="248">
          <cell r="B248">
            <v>244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75</v>
          </cell>
          <cell r="O248">
            <v>74</v>
          </cell>
          <cell r="P248" t="str">
            <v>0 X 0</v>
          </cell>
          <cell r="Q248">
            <v>0</v>
          </cell>
          <cell r="R248">
            <v>0</v>
          </cell>
        </row>
        <row r="249">
          <cell r="B249">
            <v>245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75</v>
          </cell>
          <cell r="O249">
            <v>74</v>
          </cell>
          <cell r="P249" t="str">
            <v>0 X 0</v>
          </cell>
          <cell r="Q249">
            <v>0</v>
          </cell>
          <cell r="R249">
            <v>0</v>
          </cell>
        </row>
        <row r="250">
          <cell r="B250">
            <v>246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75</v>
          </cell>
          <cell r="O250">
            <v>74</v>
          </cell>
          <cell r="P250" t="str">
            <v>0 X 0</v>
          </cell>
          <cell r="Q250">
            <v>0</v>
          </cell>
          <cell r="R250">
            <v>0</v>
          </cell>
        </row>
        <row r="251">
          <cell r="B251">
            <v>247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75</v>
          </cell>
          <cell r="O251">
            <v>74</v>
          </cell>
          <cell r="P251" t="str">
            <v>0 X 0</v>
          </cell>
          <cell r="Q251">
            <v>0</v>
          </cell>
          <cell r="R251">
            <v>0</v>
          </cell>
        </row>
        <row r="252">
          <cell r="B252">
            <v>248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75</v>
          </cell>
          <cell r="O252">
            <v>74</v>
          </cell>
          <cell r="P252" t="str">
            <v>0 X 0</v>
          </cell>
          <cell r="Q252">
            <v>0</v>
          </cell>
          <cell r="R252">
            <v>0</v>
          </cell>
        </row>
        <row r="253">
          <cell r="B253">
            <v>249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75</v>
          </cell>
          <cell r="O253">
            <v>74</v>
          </cell>
          <cell r="P253" t="str">
            <v>0 X 0</v>
          </cell>
          <cell r="Q253">
            <v>0</v>
          </cell>
          <cell r="R253">
            <v>0</v>
          </cell>
        </row>
        <row r="254">
          <cell r="B254">
            <v>250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75</v>
          </cell>
          <cell r="O254">
            <v>74</v>
          </cell>
          <cell r="P254" t="str">
            <v>0 X 0</v>
          </cell>
          <cell r="Q254">
            <v>0</v>
          </cell>
          <cell r="R254">
            <v>0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065 - asisadmon" refreshedDate="46063.761620949073" createdVersion="8" refreshedVersion="5" minRefreshableVersion="3" recordCount="110" xr:uid="{00000000-000A-0000-FFFF-FFFF1C000000}">
  <cacheSource type="worksheet">
    <worksheetSource ref="A1:F1048576" sheet="Resumen Paquetes"/>
  </cacheSource>
  <cacheFields count="6">
    <cacheField name="NOMBRE MUEBLE" numFmtId="0">
      <sharedItems containsBlank="1" count="26">
        <s v="064-8371"/>
        <s v="064-8372"/>
        <s v="064-8373"/>
        <s v="064-8374"/>
        <m/>
        <s v="052-40192" u="1"/>
        <s v="064-7785" u="1"/>
        <s v="065-19982" u="1"/>
        <s v="065-19979" u="1"/>
        <s v="050-31959" u="1"/>
        <s v="064-7812" u="1"/>
        <s v="065-20626" u="1"/>
        <s v="052-40482" u="1"/>
        <s v="065-19981" u="1"/>
        <s v="065-19978" u="1"/>
        <s v="065-19962" u="1"/>
        <s v="065-19940" u="1"/>
        <s v="065-19959" u="1"/>
        <s v="064-7762" u="1"/>
        <s v="065-19943" u="1"/>
        <s v="065-19980" u="1"/>
        <s v="052-40484" u="1"/>
        <s v="065-20778" u="1"/>
        <s v="053-21920" u="1"/>
        <s v="065-19958" u="1"/>
        <s v="065-20646" u="1"/>
      </sharedItems>
    </cacheField>
    <cacheField name="REFERENCIA" numFmtId="0">
      <sharedItems containsBlank="1"/>
    </cacheField>
    <cacheField name="PAQUETE" numFmtId="0">
      <sharedItems containsString="0" containsBlank="1" containsNumber="1" containsInteger="1" minValue="1" maxValue="47"/>
    </cacheField>
    <cacheField name="TOTAL PIEZAS" numFmtId="0">
      <sharedItems containsString="0" containsBlank="1" containsNumber="1" containsInteger="1" minValue="1" maxValue="36"/>
    </cacheField>
    <cacheField name="PESO TOTAL (Kg)" numFmtId="0">
      <sharedItems containsString="0" containsBlank="1" containsNumber="1" minValue="5.13" maxValue="24.99"/>
    </cacheField>
    <cacheField name="DETALLE SUBPAQUE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">
  <r>
    <x v="0"/>
    <s v="AGNRMLY615"/>
    <n v="1"/>
    <n v="1"/>
    <n v="12.7"/>
    <s v="[P1:1]"/>
  </r>
  <r>
    <x v="0"/>
    <s v="AGNRMLY615"/>
    <n v="2"/>
    <n v="1"/>
    <n v="12.7"/>
    <s v="[P2:1]"/>
  </r>
  <r>
    <x v="0"/>
    <s v="AGNRMLY615"/>
    <n v="3"/>
    <n v="1"/>
    <n v="12.7"/>
    <s v="[P3:1]"/>
  </r>
  <r>
    <x v="0"/>
    <s v="AGNRMLY615"/>
    <n v="4"/>
    <n v="1"/>
    <n v="12.7"/>
    <s v="[P4:1]"/>
  </r>
  <r>
    <x v="0"/>
    <s v="AGNRMLY615"/>
    <n v="5"/>
    <n v="1"/>
    <n v="12.7"/>
    <s v="[P5:1]"/>
  </r>
  <r>
    <x v="0"/>
    <s v="AGNRMLY615"/>
    <n v="6"/>
    <n v="1"/>
    <n v="12.7"/>
    <s v="[P6:1]"/>
  </r>
  <r>
    <x v="0"/>
    <s v="AGNRMLY615"/>
    <n v="7"/>
    <n v="1"/>
    <n v="12.7"/>
    <s v="[P7:1]"/>
  </r>
  <r>
    <x v="0"/>
    <s v="AGNRMLY615"/>
    <n v="8"/>
    <n v="1"/>
    <n v="12.7"/>
    <s v="[P8:1]"/>
  </r>
  <r>
    <x v="0"/>
    <s v="AGNRMLY615"/>
    <n v="9"/>
    <n v="19"/>
    <n v="24.14"/>
    <s v="[P9:19]"/>
  </r>
  <r>
    <x v="0"/>
    <s v="AGNRMLY615"/>
    <n v="10"/>
    <n v="6"/>
    <n v="7.62"/>
    <s v="[P10:6]"/>
  </r>
  <r>
    <x v="0"/>
    <s v="AGNRMLY615"/>
    <n v="11"/>
    <n v="19"/>
    <n v="24.14"/>
    <s v="[P11:19]"/>
  </r>
  <r>
    <x v="0"/>
    <s v="AGNRMLY615"/>
    <n v="12"/>
    <n v="11"/>
    <n v="13.98"/>
    <s v="[P12:11]"/>
  </r>
  <r>
    <x v="0"/>
    <s v="AGNRMLY615"/>
    <n v="13"/>
    <n v="9"/>
    <n v="18.55"/>
    <m/>
  </r>
  <r>
    <x v="0"/>
    <s v="AGNRMLY615"/>
    <n v="14"/>
    <n v="1"/>
    <n v="15.18"/>
    <s v="[P14:1]"/>
  </r>
  <r>
    <x v="0"/>
    <s v="AGNRMLY615"/>
    <n v="15"/>
    <n v="1"/>
    <n v="15.18"/>
    <s v="[P15:1]"/>
  </r>
  <r>
    <x v="0"/>
    <s v="AGNRMLY615"/>
    <n v="16"/>
    <n v="2"/>
    <n v="13.17"/>
    <m/>
  </r>
  <r>
    <x v="0"/>
    <s v="AGNRMLY615"/>
    <n v="17"/>
    <n v="1"/>
    <n v="18.399999999999999"/>
    <s v="[P17:1]"/>
  </r>
  <r>
    <x v="0"/>
    <s v="AGNRMLY615"/>
    <n v="18"/>
    <n v="1"/>
    <n v="18.399999999999999"/>
    <s v="[P18:1]"/>
  </r>
  <r>
    <x v="0"/>
    <s v="AGNRMLY615"/>
    <n v="19"/>
    <n v="2"/>
    <n v="20.29"/>
    <m/>
  </r>
  <r>
    <x v="0"/>
    <s v="AGNRMLY615"/>
    <n v="20"/>
    <n v="2"/>
    <n v="20.91"/>
    <s v="[P20:2]"/>
  </r>
  <r>
    <x v="0"/>
    <s v="AGNRMLY615"/>
    <n v="21"/>
    <n v="2"/>
    <n v="20.91"/>
    <s v="[P21:2]"/>
  </r>
  <r>
    <x v="0"/>
    <s v="AGNRMLY615"/>
    <n v="22"/>
    <n v="5"/>
    <n v="7.56"/>
    <m/>
  </r>
  <r>
    <x v="0"/>
    <s v="AGNRMLY615"/>
    <n v="23"/>
    <n v="2"/>
    <n v="20.440000000000001"/>
    <s v="[P23:2]"/>
  </r>
  <r>
    <x v="0"/>
    <s v="AGNRMLY615"/>
    <n v="24"/>
    <n v="2"/>
    <n v="20.440000000000001"/>
    <s v="[P24:2]"/>
  </r>
  <r>
    <x v="0"/>
    <s v="AGNRMLY615"/>
    <n v="25"/>
    <n v="2"/>
    <n v="16.05"/>
    <m/>
  </r>
  <r>
    <x v="0"/>
    <s v="AGNRMLY615"/>
    <n v="26"/>
    <n v="4"/>
    <n v="23.64"/>
    <m/>
  </r>
  <r>
    <x v="0"/>
    <s v="AGNRMLY615"/>
    <n v="27"/>
    <n v="1"/>
    <n v="5.13"/>
    <m/>
  </r>
  <r>
    <x v="0"/>
    <s v="AGNRMLY615"/>
    <n v="28"/>
    <n v="4"/>
    <n v="24.83"/>
    <m/>
  </r>
  <r>
    <x v="0"/>
    <s v="AGNRMLY615"/>
    <n v="29"/>
    <n v="34"/>
    <n v="24.15"/>
    <m/>
  </r>
  <r>
    <x v="0"/>
    <s v="AGNRMLY615"/>
    <n v="30"/>
    <n v="5"/>
    <n v="20.329999999999998"/>
    <m/>
  </r>
  <r>
    <x v="0"/>
    <s v="AGNRMLY615"/>
    <n v="31"/>
    <n v="19"/>
    <n v="22.73"/>
    <m/>
  </r>
  <r>
    <x v="0"/>
    <s v="AGNRMLY615"/>
    <n v="32"/>
    <n v="24"/>
    <n v="23.87"/>
    <m/>
  </r>
  <r>
    <x v="0"/>
    <s v="AGNRMLY615"/>
    <n v="33"/>
    <n v="7"/>
    <n v="23.26"/>
    <m/>
  </r>
  <r>
    <x v="0"/>
    <s v="AGNRMLY615"/>
    <n v="34"/>
    <n v="18"/>
    <n v="23.69"/>
    <m/>
  </r>
  <r>
    <x v="0"/>
    <s v="AGNRMLY615"/>
    <n v="35"/>
    <n v="9"/>
    <n v="18.21"/>
    <m/>
  </r>
  <r>
    <x v="0"/>
    <s v="AGNRMLY615"/>
    <n v="36"/>
    <n v="8"/>
    <n v="22.7"/>
    <m/>
  </r>
  <r>
    <x v="0"/>
    <s v="AGNRMLY615"/>
    <n v="37"/>
    <n v="14"/>
    <n v="18.13"/>
    <m/>
  </r>
  <r>
    <x v="0"/>
    <s v="AGNRMLY615"/>
    <n v="38"/>
    <n v="21"/>
    <n v="24.59"/>
    <m/>
  </r>
  <r>
    <x v="0"/>
    <s v="AGNRMLY615"/>
    <n v="39"/>
    <n v="36"/>
    <n v="21.17"/>
    <m/>
  </r>
  <r>
    <x v="0"/>
    <s v="AGNRMLY615"/>
    <n v="40"/>
    <n v="7"/>
    <n v="14.65"/>
    <m/>
  </r>
  <r>
    <x v="0"/>
    <s v="AGNRMLY615"/>
    <n v="41"/>
    <n v="8"/>
    <m/>
    <m/>
  </r>
  <r>
    <x v="0"/>
    <s v="AGNRMLY615"/>
    <n v="42"/>
    <n v="8"/>
    <m/>
    <m/>
  </r>
  <r>
    <x v="0"/>
    <s v="AGNRMLY615"/>
    <n v="43"/>
    <n v="8"/>
    <m/>
    <m/>
  </r>
  <r>
    <x v="0"/>
    <s v="AGNRMLY615"/>
    <n v="44"/>
    <n v="8"/>
    <m/>
    <m/>
  </r>
  <r>
    <x v="0"/>
    <s v="AGNRMLY615"/>
    <n v="45"/>
    <n v="16"/>
    <m/>
    <m/>
  </r>
  <r>
    <x v="0"/>
    <s v="AGNRMLY615"/>
    <n v="46"/>
    <n v="6"/>
    <m/>
    <m/>
  </r>
  <r>
    <x v="0"/>
    <s v="AGNRMLY615"/>
    <n v="47"/>
    <n v="4"/>
    <m/>
    <m/>
  </r>
  <r>
    <x v="1"/>
    <s v="AGNRTAS215"/>
    <n v="1"/>
    <n v="6"/>
    <n v="7.62"/>
    <m/>
  </r>
  <r>
    <x v="1"/>
    <s v="AGNRTAS215"/>
    <n v="2"/>
    <n v="2"/>
    <n v="20.29"/>
    <m/>
  </r>
  <r>
    <x v="1"/>
    <s v="AGNRTAS215"/>
    <n v="3"/>
    <n v="3"/>
    <n v="20.22"/>
    <m/>
  </r>
  <r>
    <x v="1"/>
    <s v="AGNRTAS215"/>
    <n v="4"/>
    <n v="2"/>
    <n v="7.94"/>
    <m/>
  </r>
  <r>
    <x v="1"/>
    <s v="AGNRTAS215"/>
    <n v="5"/>
    <n v="3"/>
    <n v="22.42"/>
    <s v="[P5:3]"/>
  </r>
  <r>
    <x v="1"/>
    <s v="AGNRTAS215"/>
    <n v="6"/>
    <n v="3"/>
    <n v="22.42"/>
    <s v="[P6:3]"/>
  </r>
  <r>
    <x v="1"/>
    <s v="AGNRTAS215"/>
    <n v="7"/>
    <n v="9"/>
    <n v="23.43"/>
    <m/>
  </r>
  <r>
    <x v="1"/>
    <s v="AGNRTAS215"/>
    <n v="8"/>
    <n v="17"/>
    <n v="23.23"/>
    <m/>
  </r>
  <r>
    <x v="1"/>
    <s v="AGNRTAS215"/>
    <n v="9"/>
    <n v="23"/>
    <n v="17.78"/>
    <m/>
  </r>
  <r>
    <x v="2"/>
    <s v="AGNRTAS106"/>
    <n v="1"/>
    <n v="7"/>
    <n v="9.2799999999999994"/>
    <m/>
  </r>
  <r>
    <x v="3"/>
    <s v="AGNEMLP236"/>
    <n v="1"/>
    <n v="1"/>
    <n v="24.99"/>
    <m/>
  </r>
  <r>
    <x v="3"/>
    <s v="AGNEMLP236"/>
    <n v="2"/>
    <n v="1"/>
    <n v="24.99"/>
    <m/>
  </r>
  <r>
    <x v="3"/>
    <s v="AGNEMLP236"/>
    <n v="3"/>
    <n v="1"/>
    <n v="24.99"/>
    <m/>
  </r>
  <r>
    <x v="3"/>
    <s v="AGNEMLP236"/>
    <n v="4"/>
    <n v="1"/>
    <n v="24.99"/>
    <m/>
  </r>
  <r>
    <x v="3"/>
    <s v="AGNEMLP236"/>
    <n v="5"/>
    <n v="1"/>
    <n v="24.99"/>
    <m/>
  </r>
  <r>
    <x v="3"/>
    <s v="AGNEMLP236"/>
    <n v="6"/>
    <n v="1"/>
    <n v="24.99"/>
    <m/>
  </r>
  <r>
    <x v="3"/>
    <s v="AGNEMLP236"/>
    <n v="7"/>
    <n v="1"/>
    <n v="24.99"/>
    <m/>
  </r>
  <r>
    <x v="3"/>
    <s v="AGNEMLP236"/>
    <n v="8"/>
    <n v="1"/>
    <n v="24.99"/>
    <m/>
  </r>
  <r>
    <x v="3"/>
    <s v="AGNEMLP236"/>
    <n v="9"/>
    <n v="1"/>
    <n v="24.99"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  <r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9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8" indent="0" outline="1" outlineData="1" multipleFieldFilters="0">
  <location ref="A3:D9" firstHeaderRow="0" firstDataRow="1" firstDataCol="1"/>
  <pivotFields count="6">
    <pivotField axis="axisRow" showAll="0">
      <items count="27">
        <item x="4"/>
        <item m="1" x="16"/>
        <item m="1" x="9"/>
        <item m="1" x="24"/>
        <item m="1" x="17"/>
        <item m="1" x="14"/>
        <item m="1" x="8"/>
        <item m="1" x="20"/>
        <item m="1" x="13"/>
        <item m="1" x="7"/>
        <item m="1" x="15"/>
        <item m="1" x="19"/>
        <item m="1" x="23"/>
        <item m="1" x="5"/>
        <item m="1" x="11"/>
        <item m="1" x="22"/>
        <item m="1" x="25"/>
        <item m="1" x="12"/>
        <item m="1" x="21"/>
        <item m="1" x="18"/>
        <item m="1" x="6"/>
        <item m="1" x="10"/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showAll="0"/>
  </pivotFields>
  <rowFields count="1">
    <field x="0"/>
  </rowFields>
  <rowItems count="6">
    <i>
      <x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áx. de PAQUETE" fld="2" subtotal="max" baseField="0" baseItem="0"/>
    <dataField name="Suma de TOTAL PIEZAS" fld="3" baseField="0" baseItem="0"/>
    <dataField name="Suma de PESO TOTAL (Kg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92D050"/>
  </sheetPr>
  <dimension ref="A1:Q5"/>
  <sheetViews>
    <sheetView workbookViewId="0">
      <selection activeCell="H5" sqref="H5"/>
    </sheetView>
  </sheetViews>
  <sheetFormatPr baseColWidth="10" defaultRowHeight="15" x14ac:dyDescent="0.25"/>
  <sheetData>
    <row r="1" spans="1:17" ht="39" thickBot="1" x14ac:dyDescent="0.3">
      <c r="A1" s="79" t="s">
        <v>5299</v>
      </c>
      <c r="B1" s="78" t="s">
        <v>5286</v>
      </c>
      <c r="C1" s="79" t="s">
        <v>5287</v>
      </c>
      <c r="D1" s="80" t="s">
        <v>5288</v>
      </c>
      <c r="E1" s="79" t="s">
        <v>5289</v>
      </c>
      <c r="F1" s="79" t="s">
        <v>5290</v>
      </c>
      <c r="G1" s="79" t="s">
        <v>5291</v>
      </c>
      <c r="H1" s="79" t="s">
        <v>5292</v>
      </c>
      <c r="I1" s="79" t="s">
        <v>5293</v>
      </c>
      <c r="J1" s="79" t="s">
        <v>5294</v>
      </c>
      <c r="K1" s="79" t="s">
        <v>5295</v>
      </c>
      <c r="L1" s="79" t="s">
        <v>5296</v>
      </c>
      <c r="M1" s="79" t="s">
        <v>5293</v>
      </c>
      <c r="N1" s="79" t="s">
        <v>5297</v>
      </c>
      <c r="O1" s="79" t="s">
        <v>5298</v>
      </c>
      <c r="P1" s="79" t="s">
        <v>5299</v>
      </c>
      <c r="Q1" s="79"/>
    </row>
    <row r="2" spans="1:17" ht="77.25" thickBot="1" x14ac:dyDescent="0.3">
      <c r="A2" s="87" t="s">
        <v>7249</v>
      </c>
      <c r="B2" s="81" t="s">
        <v>8692</v>
      </c>
      <c r="C2" s="82" t="s">
        <v>8693</v>
      </c>
      <c r="D2" s="82" t="s">
        <v>6766</v>
      </c>
      <c r="E2" s="82" t="s">
        <v>8694</v>
      </c>
      <c r="F2" s="83" t="s">
        <v>8695</v>
      </c>
      <c r="G2" s="84">
        <v>3233985633</v>
      </c>
      <c r="H2" s="82" t="s">
        <v>4571</v>
      </c>
      <c r="I2" s="82" t="s">
        <v>8696</v>
      </c>
      <c r="J2" s="85">
        <v>17</v>
      </c>
      <c r="K2" s="85"/>
      <c r="L2" s="82" t="s">
        <v>3305</v>
      </c>
      <c r="M2" s="82" t="s">
        <v>8697</v>
      </c>
      <c r="N2" s="82">
        <v>314</v>
      </c>
      <c r="O2" s="86" t="s">
        <v>8698</v>
      </c>
      <c r="P2" s="87" t="s">
        <v>8691</v>
      </c>
      <c r="Q2" s="87" t="s">
        <v>8699</v>
      </c>
    </row>
    <row r="3" spans="1:17" ht="77.25" thickBot="1" x14ac:dyDescent="0.3">
      <c r="A3" s="87" t="s">
        <v>7250</v>
      </c>
      <c r="B3" s="81" t="s">
        <v>8692</v>
      </c>
      <c r="C3" s="82" t="s">
        <v>8693</v>
      </c>
      <c r="D3" s="82" t="s">
        <v>6766</v>
      </c>
      <c r="E3" s="82" t="s">
        <v>8694</v>
      </c>
      <c r="F3" s="83" t="s">
        <v>8695</v>
      </c>
      <c r="G3" s="84">
        <v>3233985633</v>
      </c>
      <c r="H3" s="82" t="s">
        <v>4503</v>
      </c>
      <c r="I3" s="82" t="s">
        <v>4504</v>
      </c>
      <c r="J3" s="85">
        <v>3.5</v>
      </c>
      <c r="K3" s="85"/>
      <c r="L3" s="82" t="s">
        <v>2807</v>
      </c>
      <c r="M3" s="82" t="s">
        <v>2808</v>
      </c>
      <c r="N3" s="82">
        <v>40</v>
      </c>
      <c r="O3" s="86" t="s">
        <v>8698</v>
      </c>
      <c r="P3" s="87" t="s">
        <v>8700</v>
      </c>
      <c r="Q3" s="87" t="s">
        <v>8699</v>
      </c>
    </row>
    <row r="4" spans="1:17" ht="77.25" thickBot="1" x14ac:dyDescent="0.3">
      <c r="A4" s="87" t="s">
        <v>6765</v>
      </c>
      <c r="B4" s="81" t="s">
        <v>8692</v>
      </c>
      <c r="C4" s="82" t="s">
        <v>8693</v>
      </c>
      <c r="D4" s="82" t="s">
        <v>6766</v>
      </c>
      <c r="E4" s="82" t="s">
        <v>8694</v>
      </c>
      <c r="F4" s="83" t="s">
        <v>8695</v>
      </c>
      <c r="G4" s="84">
        <v>3233985633</v>
      </c>
      <c r="H4" s="82" t="s">
        <v>5084</v>
      </c>
      <c r="I4" s="82" t="s">
        <v>5085</v>
      </c>
      <c r="J4" s="85">
        <v>1</v>
      </c>
      <c r="K4" s="85"/>
      <c r="L4" s="82">
        <v>0</v>
      </c>
      <c r="M4" s="82" t="s">
        <v>8702</v>
      </c>
      <c r="N4" s="82">
        <v>0</v>
      </c>
      <c r="O4" s="86" t="s">
        <v>8698</v>
      </c>
      <c r="P4" s="87" t="s">
        <v>8701</v>
      </c>
      <c r="Q4" s="87" t="s">
        <v>8699</v>
      </c>
    </row>
    <row r="5" spans="1:17" ht="77.25" thickBot="1" x14ac:dyDescent="0.3">
      <c r="A5" s="87" t="s">
        <v>7251</v>
      </c>
      <c r="B5" s="81" t="s">
        <v>8692</v>
      </c>
      <c r="C5" s="82" t="s">
        <v>8693</v>
      </c>
      <c r="D5" s="82" t="s">
        <v>6766</v>
      </c>
      <c r="E5" s="82" t="s">
        <v>8694</v>
      </c>
      <c r="F5" s="83" t="s">
        <v>8695</v>
      </c>
      <c r="G5" s="84">
        <v>3233985633</v>
      </c>
      <c r="H5" s="82" t="s">
        <v>4669</v>
      </c>
      <c r="I5" s="82" t="s">
        <v>8704</v>
      </c>
      <c r="J5" s="85">
        <v>4</v>
      </c>
      <c r="K5" s="85"/>
      <c r="L5" s="82" t="s">
        <v>3677</v>
      </c>
      <c r="M5" s="82" t="s">
        <v>8705</v>
      </c>
      <c r="N5" s="82">
        <v>59</v>
      </c>
      <c r="O5" s="86" t="s">
        <v>8698</v>
      </c>
      <c r="P5" s="87" t="s">
        <v>8703</v>
      </c>
      <c r="Q5" s="87" t="s">
        <v>8699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92D050"/>
  </sheetPr>
  <dimension ref="A1:O829"/>
  <sheetViews>
    <sheetView workbookViewId="0">
      <selection activeCell="B6" sqref="B6"/>
    </sheetView>
  </sheetViews>
  <sheetFormatPr baseColWidth="10" defaultRowHeight="15" x14ac:dyDescent="0.25"/>
  <cols>
    <col min="1" max="1" width="20" bestFit="1" customWidth="1"/>
    <col min="2" max="2" width="10.85546875" bestFit="1" customWidth="1"/>
    <col min="3" max="3" width="12" bestFit="1" customWidth="1"/>
    <col min="4" max="4" width="18.42578125" bestFit="1" customWidth="1"/>
    <col min="5" max="5" width="23" bestFit="1" customWidth="1"/>
    <col min="6" max="6" width="53.28515625" bestFit="1" customWidth="1"/>
    <col min="7" max="7" width="22.5703125" bestFit="1" customWidth="1"/>
    <col min="8" max="8" width="44.28515625" bestFit="1" customWidth="1"/>
    <col min="9" max="9" width="22.28515625" bestFit="1" customWidth="1"/>
    <col min="10" max="10" width="25" bestFit="1" customWidth="1"/>
    <col min="11" max="11" width="29.140625" bestFit="1" customWidth="1"/>
    <col min="12" max="12" width="22.42578125" bestFit="1" customWidth="1"/>
    <col min="13" max="13" width="18.140625" bestFit="1" customWidth="1"/>
    <col min="14" max="14" width="13.28515625" bestFit="1" customWidth="1"/>
    <col min="15" max="15" width="9.28515625" bestFit="1" customWidth="1"/>
  </cols>
  <sheetData>
    <row r="1" spans="1:15" ht="15.75" x14ac:dyDescent="0.25">
      <c r="A1" s="55" t="s">
        <v>5174</v>
      </c>
      <c r="B1" s="55" t="s">
        <v>5175</v>
      </c>
      <c r="C1" s="55" t="s">
        <v>5176</v>
      </c>
      <c r="D1" s="55" t="s">
        <v>5177</v>
      </c>
      <c r="E1" s="55" t="s">
        <v>5178</v>
      </c>
      <c r="F1" s="55" t="s">
        <v>5179</v>
      </c>
      <c r="G1" s="55" t="s">
        <v>5180</v>
      </c>
      <c r="H1" s="55" t="s">
        <v>5181</v>
      </c>
      <c r="I1" s="55" t="s">
        <v>5182</v>
      </c>
      <c r="J1" s="55" t="s">
        <v>5183</v>
      </c>
      <c r="K1" s="55" t="s">
        <v>5184</v>
      </c>
      <c r="L1" s="55" t="s">
        <v>5185</v>
      </c>
      <c r="M1" s="55" t="s">
        <v>9</v>
      </c>
      <c r="N1" s="55" t="s">
        <v>5186</v>
      </c>
      <c r="O1" s="55" t="s">
        <v>5187</v>
      </c>
    </row>
    <row r="2" spans="1:15" ht="15.75" x14ac:dyDescent="0.25">
      <c r="A2" s="55" t="s">
        <v>5188</v>
      </c>
      <c r="B2" s="55" t="s">
        <v>5603</v>
      </c>
      <c r="C2" s="55" t="s">
        <v>5604</v>
      </c>
      <c r="D2" s="55" t="s">
        <v>5605</v>
      </c>
      <c r="E2" s="55" t="s">
        <v>5606</v>
      </c>
      <c r="F2" s="55" t="s">
        <v>5607</v>
      </c>
      <c r="G2" s="55" t="s">
        <v>5608</v>
      </c>
      <c r="H2" s="55" t="s">
        <v>5609</v>
      </c>
      <c r="I2" s="55" t="s">
        <v>5610</v>
      </c>
      <c r="J2" s="55" t="s">
        <v>5189</v>
      </c>
      <c r="K2" s="55" t="s">
        <v>5611</v>
      </c>
      <c r="L2" s="55" t="s">
        <v>5612</v>
      </c>
      <c r="M2" s="55" t="s">
        <v>2947</v>
      </c>
      <c r="N2" s="55" t="s">
        <v>5190</v>
      </c>
      <c r="O2" s="55" t="s">
        <v>5191</v>
      </c>
    </row>
    <row r="3" spans="1:15" ht="15.75" x14ac:dyDescent="0.25">
      <c r="A3" s="55" t="s">
        <v>5188</v>
      </c>
      <c r="B3" s="55" t="s">
        <v>5613</v>
      </c>
      <c r="C3" s="55" t="s">
        <v>5614</v>
      </c>
      <c r="D3" s="55" t="s">
        <v>5615</v>
      </c>
      <c r="E3" s="55" t="s">
        <v>5616</v>
      </c>
      <c r="F3" s="55" t="s">
        <v>5617</v>
      </c>
      <c r="G3" s="55" t="s">
        <v>5618</v>
      </c>
      <c r="H3" s="55" t="s">
        <v>5619</v>
      </c>
      <c r="I3" s="55" t="s">
        <v>5620</v>
      </c>
      <c r="J3" s="55" t="s">
        <v>5189</v>
      </c>
      <c r="K3" s="55" t="s">
        <v>5621</v>
      </c>
      <c r="L3" s="55" t="s">
        <v>5622</v>
      </c>
      <c r="M3" s="55" t="s">
        <v>5248</v>
      </c>
      <c r="N3" s="55" t="s">
        <v>5190</v>
      </c>
      <c r="O3" s="55" t="s">
        <v>5191</v>
      </c>
    </row>
    <row r="4" spans="1:15" ht="15.75" x14ac:dyDescent="0.25">
      <c r="A4" s="55" t="s">
        <v>5188</v>
      </c>
      <c r="B4" s="55" t="s">
        <v>5643</v>
      </c>
      <c r="C4" s="55" t="s">
        <v>5644</v>
      </c>
      <c r="D4" s="55" t="s">
        <v>5645</v>
      </c>
      <c r="E4" s="55" t="s">
        <v>5636</v>
      </c>
      <c r="F4" s="55" t="s">
        <v>5637</v>
      </c>
      <c r="G4" s="55" t="s">
        <v>5638</v>
      </c>
      <c r="H4" s="55" t="s">
        <v>5639</v>
      </c>
      <c r="I4" s="55" t="s">
        <v>5646</v>
      </c>
      <c r="J4" s="55" t="s">
        <v>5189</v>
      </c>
      <c r="K4" s="55" t="s">
        <v>5647</v>
      </c>
      <c r="L4" s="55" t="s">
        <v>5648</v>
      </c>
      <c r="M4" s="55" t="s">
        <v>965</v>
      </c>
      <c r="N4" s="55" t="s">
        <v>5192</v>
      </c>
      <c r="O4" s="55" t="s">
        <v>5191</v>
      </c>
    </row>
    <row r="5" spans="1:15" ht="15.75" x14ac:dyDescent="0.25">
      <c r="A5" s="55" t="s">
        <v>5188</v>
      </c>
      <c r="B5" s="55" t="s">
        <v>5649</v>
      </c>
      <c r="C5" s="55" t="s">
        <v>5644</v>
      </c>
      <c r="D5" s="55" t="s">
        <v>5645</v>
      </c>
      <c r="E5" s="55" t="s">
        <v>5636</v>
      </c>
      <c r="F5" s="55" t="s">
        <v>5637</v>
      </c>
      <c r="G5" s="55" t="s">
        <v>5638</v>
      </c>
      <c r="H5" s="55" t="s">
        <v>5639</v>
      </c>
      <c r="I5" s="55" t="s">
        <v>5650</v>
      </c>
      <c r="J5" s="55" t="s">
        <v>5189</v>
      </c>
      <c r="K5" s="55" t="s">
        <v>5647</v>
      </c>
      <c r="L5" s="55" t="s">
        <v>5648</v>
      </c>
      <c r="M5" s="55" t="s">
        <v>4577</v>
      </c>
      <c r="N5" s="55" t="s">
        <v>5192</v>
      </c>
      <c r="O5" s="55" t="s">
        <v>5191</v>
      </c>
    </row>
    <row r="6" spans="1:15" ht="15.75" x14ac:dyDescent="0.25">
      <c r="A6" s="55" t="s">
        <v>5188</v>
      </c>
      <c r="B6" s="55" t="s">
        <v>5651</v>
      </c>
      <c r="C6" s="55" t="s">
        <v>5652</v>
      </c>
      <c r="D6" s="55" t="s">
        <v>5653</v>
      </c>
      <c r="E6" s="55" t="s">
        <v>5654</v>
      </c>
      <c r="F6" s="55" t="s">
        <v>5655</v>
      </c>
      <c r="G6" s="55" t="s">
        <v>5656</v>
      </c>
      <c r="H6" s="55" t="s">
        <v>5657</v>
      </c>
      <c r="I6" s="55" t="s">
        <v>5658</v>
      </c>
      <c r="J6" s="55" t="s">
        <v>5189</v>
      </c>
      <c r="K6" s="55" t="s">
        <v>5659</v>
      </c>
      <c r="L6" s="55" t="s">
        <v>5660</v>
      </c>
      <c r="M6" s="55" t="s">
        <v>5096</v>
      </c>
      <c r="N6" s="55" t="s">
        <v>5192</v>
      </c>
      <c r="O6" s="55" t="s">
        <v>5191</v>
      </c>
    </row>
    <row r="7" spans="1:15" ht="15.75" x14ac:dyDescent="0.25">
      <c r="A7" s="55" t="s">
        <v>5188</v>
      </c>
      <c r="B7" s="55" t="s">
        <v>5661</v>
      </c>
      <c r="C7" s="55" t="s">
        <v>5652</v>
      </c>
      <c r="D7" s="55" t="s">
        <v>5653</v>
      </c>
      <c r="E7" s="55" t="s">
        <v>5654</v>
      </c>
      <c r="F7" s="55" t="s">
        <v>5655</v>
      </c>
      <c r="G7" s="55" t="s">
        <v>5656</v>
      </c>
      <c r="H7" s="55" t="s">
        <v>5657</v>
      </c>
      <c r="I7" s="55" t="s">
        <v>5658</v>
      </c>
      <c r="J7" s="55" t="s">
        <v>5189</v>
      </c>
      <c r="K7" s="55" t="s">
        <v>5659</v>
      </c>
      <c r="L7" s="55" t="s">
        <v>5660</v>
      </c>
      <c r="M7" s="55" t="s">
        <v>4750</v>
      </c>
      <c r="N7" s="55" t="s">
        <v>5192</v>
      </c>
      <c r="O7" s="55" t="s">
        <v>5191</v>
      </c>
    </row>
    <row r="8" spans="1:15" ht="15.75" x14ac:dyDescent="0.25">
      <c r="A8" s="55" t="s">
        <v>5188</v>
      </c>
      <c r="B8" s="55" t="s">
        <v>5662</v>
      </c>
      <c r="C8" s="55" t="s">
        <v>5663</v>
      </c>
      <c r="D8" s="55" t="s">
        <v>5664</v>
      </c>
      <c r="E8" s="55" t="s">
        <v>5665</v>
      </c>
      <c r="F8" s="55" t="s">
        <v>5666</v>
      </c>
      <c r="G8" s="55" t="s">
        <v>5667</v>
      </c>
      <c r="H8" s="55" t="s">
        <v>5668</v>
      </c>
      <c r="I8" s="55" t="s">
        <v>5669</v>
      </c>
      <c r="J8" s="55" t="s">
        <v>5189</v>
      </c>
      <c r="K8" s="55" t="s">
        <v>5670</v>
      </c>
      <c r="L8" s="55" t="s">
        <v>5671</v>
      </c>
      <c r="M8" s="55" t="s">
        <v>518</v>
      </c>
      <c r="N8" s="55" t="s">
        <v>5192</v>
      </c>
      <c r="O8" s="55" t="s">
        <v>5191</v>
      </c>
    </row>
    <row r="9" spans="1:15" ht="15.75" x14ac:dyDescent="0.25">
      <c r="A9" s="55" t="s">
        <v>5188</v>
      </c>
      <c r="B9" s="55" t="s">
        <v>5672</v>
      </c>
      <c r="C9" s="55" t="s">
        <v>5673</v>
      </c>
      <c r="D9" s="55" t="s">
        <v>5674</v>
      </c>
      <c r="E9" s="55" t="s">
        <v>5675</v>
      </c>
      <c r="F9" s="55" t="s">
        <v>5676</v>
      </c>
      <c r="G9" s="55" t="s">
        <v>5618</v>
      </c>
      <c r="H9" s="55" t="s">
        <v>5619</v>
      </c>
      <c r="I9" s="55" t="s">
        <v>5677</v>
      </c>
      <c r="J9" s="55" t="s">
        <v>5189</v>
      </c>
      <c r="K9" s="55" t="s">
        <v>5678</v>
      </c>
      <c r="L9" s="55" t="s">
        <v>5679</v>
      </c>
      <c r="M9" s="55" t="s">
        <v>4864</v>
      </c>
      <c r="N9" s="55" t="s">
        <v>5192</v>
      </c>
      <c r="O9" s="55" t="s">
        <v>5191</v>
      </c>
    </row>
    <row r="10" spans="1:15" ht="15.75" x14ac:dyDescent="0.25">
      <c r="A10" s="55" t="s">
        <v>5188</v>
      </c>
      <c r="B10" s="55" t="s">
        <v>5680</v>
      </c>
      <c r="C10" s="55" t="s">
        <v>5673</v>
      </c>
      <c r="D10" s="55" t="s">
        <v>5674</v>
      </c>
      <c r="E10" s="55" t="s">
        <v>5675</v>
      </c>
      <c r="F10" s="55" t="s">
        <v>5676</v>
      </c>
      <c r="G10" s="55" t="s">
        <v>5618</v>
      </c>
      <c r="H10" s="55" t="s">
        <v>5619</v>
      </c>
      <c r="I10" s="55" t="s">
        <v>5677</v>
      </c>
      <c r="J10" s="55" t="s">
        <v>5189</v>
      </c>
      <c r="K10" s="55" t="s">
        <v>5678</v>
      </c>
      <c r="L10" s="55" t="s">
        <v>5679</v>
      </c>
      <c r="M10" s="55" t="s">
        <v>4866</v>
      </c>
      <c r="N10" s="55" t="s">
        <v>5192</v>
      </c>
      <c r="O10" s="55" t="s">
        <v>5191</v>
      </c>
    </row>
    <row r="11" spans="1:15" ht="15.75" x14ac:dyDescent="0.25">
      <c r="A11" s="55" t="s">
        <v>5188</v>
      </c>
      <c r="B11" s="55" t="s">
        <v>5681</v>
      </c>
      <c r="C11" s="55" t="s">
        <v>5673</v>
      </c>
      <c r="D11" s="55" t="s">
        <v>5674</v>
      </c>
      <c r="E11" s="55" t="s">
        <v>5675</v>
      </c>
      <c r="F11" s="55" t="s">
        <v>5676</v>
      </c>
      <c r="G11" s="55" t="s">
        <v>5618</v>
      </c>
      <c r="H11" s="55" t="s">
        <v>5619</v>
      </c>
      <c r="I11" s="55" t="s">
        <v>5677</v>
      </c>
      <c r="J11" s="55" t="s">
        <v>5189</v>
      </c>
      <c r="K11" s="55" t="s">
        <v>5678</v>
      </c>
      <c r="L11" s="55" t="s">
        <v>5679</v>
      </c>
      <c r="M11" s="55" t="s">
        <v>5682</v>
      </c>
      <c r="N11" s="55" t="s">
        <v>5192</v>
      </c>
      <c r="O11" s="55" t="s">
        <v>5191</v>
      </c>
    </row>
    <row r="12" spans="1:15" ht="15.75" x14ac:dyDescent="0.25">
      <c r="A12" s="55" t="s">
        <v>5188</v>
      </c>
      <c r="B12" s="55" t="s">
        <v>5683</v>
      </c>
      <c r="C12" s="55" t="s">
        <v>5673</v>
      </c>
      <c r="D12" s="55" t="s">
        <v>5674</v>
      </c>
      <c r="E12" s="55" t="s">
        <v>5675</v>
      </c>
      <c r="F12" s="55" t="s">
        <v>5676</v>
      </c>
      <c r="G12" s="55" t="s">
        <v>5618</v>
      </c>
      <c r="H12" s="55" t="s">
        <v>5619</v>
      </c>
      <c r="I12" s="55" t="s">
        <v>5677</v>
      </c>
      <c r="J12" s="55" t="s">
        <v>5189</v>
      </c>
      <c r="K12" s="55" t="s">
        <v>5678</v>
      </c>
      <c r="L12" s="55" t="s">
        <v>5679</v>
      </c>
      <c r="M12" s="55" t="s">
        <v>965</v>
      </c>
      <c r="N12" s="55" t="s">
        <v>5192</v>
      </c>
      <c r="O12" s="55" t="s">
        <v>5191</v>
      </c>
    </row>
    <row r="13" spans="1:15" ht="15.75" x14ac:dyDescent="0.25">
      <c r="A13" s="55" t="s">
        <v>5188</v>
      </c>
      <c r="B13" s="55" t="s">
        <v>5684</v>
      </c>
      <c r="C13" s="55" t="s">
        <v>5685</v>
      </c>
      <c r="D13" s="55" t="s">
        <v>5686</v>
      </c>
      <c r="E13" s="55" t="s">
        <v>5687</v>
      </c>
      <c r="F13" s="55" t="s">
        <v>5688</v>
      </c>
      <c r="G13" s="55" t="s">
        <v>5689</v>
      </c>
      <c r="H13" s="55" t="s">
        <v>5690</v>
      </c>
      <c r="I13" s="55" t="s">
        <v>5691</v>
      </c>
      <c r="J13" s="55" t="s">
        <v>5189</v>
      </c>
      <c r="K13" s="55" t="s">
        <v>5692</v>
      </c>
      <c r="L13" s="55" t="s">
        <v>5693</v>
      </c>
      <c r="M13" s="55" t="s">
        <v>5694</v>
      </c>
      <c r="N13" s="55" t="s">
        <v>5192</v>
      </c>
      <c r="O13" s="55" t="s">
        <v>5191</v>
      </c>
    </row>
    <row r="14" spans="1:15" ht="15.75" x14ac:dyDescent="0.25">
      <c r="A14" s="55" t="s">
        <v>5188</v>
      </c>
      <c r="B14" s="55" t="s">
        <v>5695</v>
      </c>
      <c r="C14" s="55" t="s">
        <v>5696</v>
      </c>
      <c r="D14" s="55" t="s">
        <v>5697</v>
      </c>
      <c r="E14" s="55" t="s">
        <v>5654</v>
      </c>
      <c r="F14" s="55" t="s">
        <v>5655</v>
      </c>
      <c r="G14" s="55" t="s">
        <v>5656</v>
      </c>
      <c r="H14" s="55" t="s">
        <v>5657</v>
      </c>
      <c r="I14" s="55" t="s">
        <v>5698</v>
      </c>
      <c r="J14" s="55" t="s">
        <v>5189</v>
      </c>
      <c r="K14" s="55" t="s">
        <v>5699</v>
      </c>
      <c r="L14" s="55" t="s">
        <v>5700</v>
      </c>
      <c r="M14" s="55" t="s">
        <v>4758</v>
      </c>
      <c r="N14" s="55" t="s">
        <v>5192</v>
      </c>
      <c r="O14" s="55" t="s">
        <v>5191</v>
      </c>
    </row>
    <row r="15" spans="1:15" ht="15.75" x14ac:dyDescent="0.25">
      <c r="A15" s="55" t="s">
        <v>5188</v>
      </c>
      <c r="B15" s="55" t="s">
        <v>5703</v>
      </c>
      <c r="C15" s="55" t="s">
        <v>5704</v>
      </c>
      <c r="D15" s="55" t="s">
        <v>5705</v>
      </c>
      <c r="E15" s="55" t="s">
        <v>5706</v>
      </c>
      <c r="F15" s="55" t="s">
        <v>5707</v>
      </c>
      <c r="G15" s="55" t="s">
        <v>5708</v>
      </c>
      <c r="H15" s="55" t="s">
        <v>5709</v>
      </c>
      <c r="I15" s="55" t="s">
        <v>5710</v>
      </c>
      <c r="J15" s="55" t="s">
        <v>5189</v>
      </c>
      <c r="K15" s="55" t="s">
        <v>5711</v>
      </c>
      <c r="L15" s="55" t="s">
        <v>5712</v>
      </c>
      <c r="M15" s="55" t="s">
        <v>4377</v>
      </c>
      <c r="N15" s="55" t="s">
        <v>5192</v>
      </c>
      <c r="O15" s="55" t="s">
        <v>5191</v>
      </c>
    </row>
    <row r="16" spans="1:15" ht="15.75" x14ac:dyDescent="0.25">
      <c r="A16" s="55" t="s">
        <v>5188</v>
      </c>
      <c r="B16" s="55" t="s">
        <v>5890</v>
      </c>
      <c r="C16" s="55" t="s">
        <v>5704</v>
      </c>
      <c r="D16" s="55" t="s">
        <v>5705</v>
      </c>
      <c r="E16" s="55" t="s">
        <v>5706</v>
      </c>
      <c r="F16" s="55" t="s">
        <v>5707</v>
      </c>
      <c r="G16" s="55" t="s">
        <v>5708</v>
      </c>
      <c r="H16" s="55" t="s">
        <v>5709</v>
      </c>
      <c r="I16" s="55" t="s">
        <v>5710</v>
      </c>
      <c r="J16" s="55" t="s">
        <v>5189</v>
      </c>
      <c r="K16" s="55" t="s">
        <v>5711</v>
      </c>
      <c r="L16" s="55" t="s">
        <v>5712</v>
      </c>
      <c r="M16" s="55" t="s">
        <v>5232</v>
      </c>
      <c r="N16" s="55" t="s">
        <v>5192</v>
      </c>
      <c r="O16" s="55" t="s">
        <v>5191</v>
      </c>
    </row>
    <row r="17" spans="1:15" ht="15.75" x14ac:dyDescent="0.25">
      <c r="A17" s="55" t="s">
        <v>5188</v>
      </c>
      <c r="B17" s="55" t="s">
        <v>5891</v>
      </c>
      <c r="C17" s="55" t="s">
        <v>5892</v>
      </c>
      <c r="D17" s="55" t="s">
        <v>5893</v>
      </c>
      <c r="E17" s="55" t="s">
        <v>5894</v>
      </c>
      <c r="F17" s="55" t="s">
        <v>5895</v>
      </c>
      <c r="G17" s="55" t="s">
        <v>5896</v>
      </c>
      <c r="H17" s="55" t="s">
        <v>5897</v>
      </c>
      <c r="I17" s="55" t="s">
        <v>5898</v>
      </c>
      <c r="J17" s="55" t="s">
        <v>5189</v>
      </c>
      <c r="K17" s="55" t="s">
        <v>5899</v>
      </c>
      <c r="L17" s="55" t="s">
        <v>5900</v>
      </c>
      <c r="M17" s="55" t="s">
        <v>4798</v>
      </c>
      <c r="N17" s="55" t="s">
        <v>5192</v>
      </c>
      <c r="O17" s="55" t="s">
        <v>5191</v>
      </c>
    </row>
    <row r="18" spans="1:15" ht="15.75" x14ac:dyDescent="0.25">
      <c r="A18" s="55" t="s">
        <v>5188</v>
      </c>
      <c r="B18" s="55" t="s">
        <v>5901</v>
      </c>
      <c r="C18" s="55" t="s">
        <v>5892</v>
      </c>
      <c r="D18" s="55" t="s">
        <v>5893</v>
      </c>
      <c r="E18" s="55" t="s">
        <v>5894</v>
      </c>
      <c r="F18" s="55" t="s">
        <v>5895</v>
      </c>
      <c r="G18" s="55" t="s">
        <v>5896</v>
      </c>
      <c r="H18" s="55" t="s">
        <v>5897</v>
      </c>
      <c r="I18" s="55" t="s">
        <v>5898</v>
      </c>
      <c r="J18" s="55" t="s">
        <v>5189</v>
      </c>
      <c r="K18" s="55" t="s">
        <v>5899</v>
      </c>
      <c r="L18" s="55" t="s">
        <v>5900</v>
      </c>
      <c r="M18" s="55" t="s">
        <v>5096</v>
      </c>
      <c r="N18" s="55" t="s">
        <v>5192</v>
      </c>
      <c r="O18" s="55" t="s">
        <v>5191</v>
      </c>
    </row>
    <row r="19" spans="1:15" ht="15.75" x14ac:dyDescent="0.25">
      <c r="A19" s="55" t="s">
        <v>5188</v>
      </c>
      <c r="B19" s="55" t="s">
        <v>5902</v>
      </c>
      <c r="C19" s="55" t="s">
        <v>5778</v>
      </c>
      <c r="D19" s="55" t="s">
        <v>5779</v>
      </c>
      <c r="E19" s="55" t="s">
        <v>5780</v>
      </c>
      <c r="F19" s="55" t="s">
        <v>5781</v>
      </c>
      <c r="G19" s="55" t="s">
        <v>5782</v>
      </c>
      <c r="H19" s="55" t="s">
        <v>5783</v>
      </c>
      <c r="I19" s="55" t="s">
        <v>5784</v>
      </c>
      <c r="J19" s="55" t="s">
        <v>5189</v>
      </c>
      <c r="K19" s="55" t="s">
        <v>5785</v>
      </c>
      <c r="L19" s="55" t="s">
        <v>5786</v>
      </c>
      <c r="M19" s="55" t="s">
        <v>4868</v>
      </c>
      <c r="N19" s="55" t="s">
        <v>5192</v>
      </c>
      <c r="O19" s="55" t="s">
        <v>5191</v>
      </c>
    </row>
    <row r="20" spans="1:15" ht="15.75" x14ac:dyDescent="0.25">
      <c r="A20" s="55" t="s">
        <v>5188</v>
      </c>
      <c r="B20" s="55" t="s">
        <v>5908</v>
      </c>
      <c r="C20" s="55" t="s">
        <v>5903</v>
      </c>
      <c r="D20" s="55" t="s">
        <v>5904</v>
      </c>
      <c r="E20" s="55" t="s">
        <v>5829</v>
      </c>
      <c r="F20" s="55" t="s">
        <v>5830</v>
      </c>
      <c r="G20" s="55" t="s">
        <v>5200</v>
      </c>
      <c r="H20" s="55" t="s">
        <v>5201</v>
      </c>
      <c r="I20" s="55" t="s">
        <v>5905</v>
      </c>
      <c r="J20" s="55" t="s">
        <v>5189</v>
      </c>
      <c r="K20" s="55" t="s">
        <v>5906</v>
      </c>
      <c r="L20" s="55" t="s">
        <v>5907</v>
      </c>
      <c r="M20" s="55" t="s">
        <v>5909</v>
      </c>
      <c r="N20" s="55" t="s">
        <v>5192</v>
      </c>
      <c r="O20" s="55" t="s">
        <v>5191</v>
      </c>
    </row>
    <row r="21" spans="1:15" ht="15.75" x14ac:dyDescent="0.25">
      <c r="A21" s="55" t="s">
        <v>5188</v>
      </c>
      <c r="B21" s="55" t="s">
        <v>5910</v>
      </c>
      <c r="C21" s="55" t="s">
        <v>5835</v>
      </c>
      <c r="D21" s="55" t="s">
        <v>5836</v>
      </c>
      <c r="E21" s="55" t="s">
        <v>5837</v>
      </c>
      <c r="F21" s="55" t="s">
        <v>5838</v>
      </c>
      <c r="G21" s="55" t="s">
        <v>5839</v>
      </c>
      <c r="H21" s="55" t="s">
        <v>5840</v>
      </c>
      <c r="I21" s="55" t="s">
        <v>5841</v>
      </c>
      <c r="J21" s="55" t="s">
        <v>5189</v>
      </c>
      <c r="K21" s="55" t="s">
        <v>5842</v>
      </c>
      <c r="L21" s="55" t="s">
        <v>5843</v>
      </c>
      <c r="M21" s="55" t="s">
        <v>4521</v>
      </c>
      <c r="N21" s="55" t="s">
        <v>5192</v>
      </c>
      <c r="O21" s="55" t="s">
        <v>5191</v>
      </c>
    </row>
    <row r="22" spans="1:15" ht="15.75" x14ac:dyDescent="0.25">
      <c r="A22" s="55" t="s">
        <v>5188</v>
      </c>
      <c r="B22" s="55" t="s">
        <v>5911</v>
      </c>
      <c r="C22" s="55" t="s">
        <v>5835</v>
      </c>
      <c r="D22" s="55" t="s">
        <v>5836</v>
      </c>
      <c r="E22" s="55" t="s">
        <v>5837</v>
      </c>
      <c r="F22" s="55" t="s">
        <v>5838</v>
      </c>
      <c r="G22" s="55" t="s">
        <v>5839</v>
      </c>
      <c r="H22" s="55" t="s">
        <v>5840</v>
      </c>
      <c r="I22" s="55" t="s">
        <v>5841</v>
      </c>
      <c r="J22" s="55" t="s">
        <v>5189</v>
      </c>
      <c r="K22" s="55" t="s">
        <v>5842</v>
      </c>
      <c r="L22" s="55" t="s">
        <v>5843</v>
      </c>
      <c r="M22" s="55" t="s">
        <v>965</v>
      </c>
      <c r="N22" s="55" t="s">
        <v>5192</v>
      </c>
      <c r="O22" s="55" t="s">
        <v>5191</v>
      </c>
    </row>
    <row r="23" spans="1:15" ht="15.75" x14ac:dyDescent="0.25">
      <c r="A23" s="55" t="s">
        <v>5188</v>
      </c>
      <c r="B23" s="55" t="s">
        <v>5912</v>
      </c>
      <c r="C23" s="55" t="s">
        <v>5857</v>
      </c>
      <c r="D23" s="55" t="s">
        <v>5858</v>
      </c>
      <c r="E23" s="55" t="s">
        <v>5859</v>
      </c>
      <c r="F23" s="55" t="s">
        <v>5860</v>
      </c>
      <c r="G23" s="55" t="s">
        <v>5851</v>
      </c>
      <c r="H23" s="55" t="s">
        <v>5852</v>
      </c>
      <c r="I23" s="55" t="s">
        <v>5861</v>
      </c>
      <c r="J23" s="55" t="s">
        <v>5189</v>
      </c>
      <c r="K23" s="55" t="s">
        <v>5862</v>
      </c>
      <c r="L23" s="55" t="s">
        <v>5863</v>
      </c>
      <c r="M23" s="55" t="s">
        <v>5141</v>
      </c>
      <c r="N23" s="55" t="s">
        <v>5192</v>
      </c>
      <c r="O23" s="55" t="s">
        <v>5191</v>
      </c>
    </row>
    <row r="24" spans="1:15" ht="15.75" x14ac:dyDescent="0.25">
      <c r="A24" s="55" t="s">
        <v>5188</v>
      </c>
      <c r="B24" s="55" t="s">
        <v>5913</v>
      </c>
      <c r="C24" s="55" t="s">
        <v>5857</v>
      </c>
      <c r="D24" s="55" t="s">
        <v>5858</v>
      </c>
      <c r="E24" s="55" t="s">
        <v>5859</v>
      </c>
      <c r="F24" s="55" t="s">
        <v>5860</v>
      </c>
      <c r="G24" s="55" t="s">
        <v>5851</v>
      </c>
      <c r="H24" s="55" t="s">
        <v>5852</v>
      </c>
      <c r="I24" s="55" t="s">
        <v>5861</v>
      </c>
      <c r="J24" s="55" t="s">
        <v>5189</v>
      </c>
      <c r="K24" s="55" t="s">
        <v>5862</v>
      </c>
      <c r="L24" s="55" t="s">
        <v>5863</v>
      </c>
      <c r="M24" s="55" t="s">
        <v>4549</v>
      </c>
      <c r="N24" s="55" t="s">
        <v>5192</v>
      </c>
      <c r="O24" s="55" t="s">
        <v>5191</v>
      </c>
    </row>
    <row r="25" spans="1:15" ht="15.75" x14ac:dyDescent="0.25">
      <c r="A25" s="55" t="s">
        <v>5188</v>
      </c>
      <c r="B25" s="55" t="s">
        <v>5914</v>
      </c>
      <c r="C25" s="55" t="s">
        <v>5857</v>
      </c>
      <c r="D25" s="55" t="s">
        <v>5858</v>
      </c>
      <c r="E25" s="55" t="s">
        <v>5859</v>
      </c>
      <c r="F25" s="55" t="s">
        <v>5860</v>
      </c>
      <c r="G25" s="55" t="s">
        <v>5851</v>
      </c>
      <c r="H25" s="55" t="s">
        <v>5852</v>
      </c>
      <c r="I25" s="55" t="s">
        <v>5861</v>
      </c>
      <c r="J25" s="55" t="s">
        <v>5189</v>
      </c>
      <c r="K25" s="55" t="s">
        <v>5862</v>
      </c>
      <c r="L25" s="55" t="s">
        <v>5863</v>
      </c>
      <c r="M25" s="55" t="s">
        <v>5732</v>
      </c>
      <c r="N25" s="55" t="s">
        <v>5192</v>
      </c>
      <c r="O25" s="55" t="s">
        <v>5191</v>
      </c>
    </row>
    <row r="26" spans="1:15" ht="15.75" x14ac:dyDescent="0.25">
      <c r="A26" s="55" t="s">
        <v>5188</v>
      </c>
      <c r="B26" s="55" t="s">
        <v>5915</v>
      </c>
      <c r="C26" s="55" t="s">
        <v>5864</v>
      </c>
      <c r="D26" s="55" t="s">
        <v>5865</v>
      </c>
      <c r="E26" s="55" t="s">
        <v>5866</v>
      </c>
      <c r="F26" s="55" t="s">
        <v>5867</v>
      </c>
      <c r="G26" s="55" t="s">
        <v>5405</v>
      </c>
      <c r="H26" s="55" t="s">
        <v>5406</v>
      </c>
      <c r="I26" s="55" t="s">
        <v>5868</v>
      </c>
      <c r="J26" s="55" t="s">
        <v>5189</v>
      </c>
      <c r="K26" s="55" t="s">
        <v>5869</v>
      </c>
      <c r="L26" s="55" t="s">
        <v>5870</v>
      </c>
      <c r="M26" s="55" t="s">
        <v>4567</v>
      </c>
      <c r="N26" s="55" t="s">
        <v>5192</v>
      </c>
      <c r="O26" s="55" t="s">
        <v>5191</v>
      </c>
    </row>
    <row r="27" spans="1:15" ht="15.75" x14ac:dyDescent="0.25">
      <c r="A27" s="55" t="s">
        <v>5188</v>
      </c>
      <c r="B27" s="55" t="s">
        <v>5916</v>
      </c>
      <c r="C27" s="55" t="s">
        <v>5864</v>
      </c>
      <c r="D27" s="55" t="s">
        <v>5865</v>
      </c>
      <c r="E27" s="55" t="s">
        <v>5866</v>
      </c>
      <c r="F27" s="55" t="s">
        <v>5867</v>
      </c>
      <c r="G27" s="55" t="s">
        <v>5405</v>
      </c>
      <c r="H27" s="55" t="s">
        <v>5406</v>
      </c>
      <c r="I27" s="55" t="s">
        <v>5868</v>
      </c>
      <c r="J27" s="55" t="s">
        <v>5189</v>
      </c>
      <c r="K27" s="55" t="s">
        <v>5869</v>
      </c>
      <c r="L27" s="55" t="s">
        <v>5870</v>
      </c>
      <c r="M27" s="55" t="s">
        <v>965</v>
      </c>
      <c r="N27" s="55" t="s">
        <v>5192</v>
      </c>
      <c r="O27" s="55" t="s">
        <v>5191</v>
      </c>
    </row>
    <row r="28" spans="1:15" ht="15.75" x14ac:dyDescent="0.25">
      <c r="A28" s="55" t="s">
        <v>5188</v>
      </c>
      <c r="B28" s="55" t="s">
        <v>5917</v>
      </c>
      <c r="C28" s="55" t="s">
        <v>5884</v>
      </c>
      <c r="D28" s="55" t="s">
        <v>5885</v>
      </c>
      <c r="E28" s="55" t="s">
        <v>5665</v>
      </c>
      <c r="F28" s="55" t="s">
        <v>5666</v>
      </c>
      <c r="G28" s="55" t="s">
        <v>5667</v>
      </c>
      <c r="H28" s="55" t="s">
        <v>5668</v>
      </c>
      <c r="I28" s="55" t="s">
        <v>5886</v>
      </c>
      <c r="J28" s="55" t="s">
        <v>5189</v>
      </c>
      <c r="K28" s="55" t="s">
        <v>5887</v>
      </c>
      <c r="L28" s="55" t="s">
        <v>5888</v>
      </c>
      <c r="M28" s="55" t="s">
        <v>4752</v>
      </c>
      <c r="N28" s="55" t="s">
        <v>5192</v>
      </c>
      <c r="O28" s="55" t="s">
        <v>5191</v>
      </c>
    </row>
    <row r="29" spans="1:15" ht="15.75" x14ac:dyDescent="0.25">
      <c r="A29" s="55" t="s">
        <v>5188</v>
      </c>
      <c r="B29" s="55" t="s">
        <v>5918</v>
      </c>
      <c r="C29" s="55" t="s">
        <v>5884</v>
      </c>
      <c r="D29" s="55" t="s">
        <v>5885</v>
      </c>
      <c r="E29" s="55" t="s">
        <v>5665</v>
      </c>
      <c r="F29" s="55" t="s">
        <v>5666</v>
      </c>
      <c r="G29" s="55" t="s">
        <v>5667</v>
      </c>
      <c r="H29" s="55" t="s">
        <v>5668</v>
      </c>
      <c r="I29" s="55" t="s">
        <v>5886</v>
      </c>
      <c r="J29" s="55" t="s">
        <v>5189</v>
      </c>
      <c r="K29" s="55" t="s">
        <v>5887</v>
      </c>
      <c r="L29" s="55" t="s">
        <v>5888</v>
      </c>
      <c r="M29" s="55" t="s">
        <v>4007</v>
      </c>
      <c r="N29" s="55" t="s">
        <v>5192</v>
      </c>
      <c r="O29" s="55" t="s">
        <v>5191</v>
      </c>
    </row>
    <row r="30" spans="1:15" ht="15.75" x14ac:dyDescent="0.25">
      <c r="A30" s="55" t="s">
        <v>5188</v>
      </c>
      <c r="B30" s="55" t="s">
        <v>5919</v>
      </c>
      <c r="C30" s="55" t="s">
        <v>5920</v>
      </c>
      <c r="D30" s="55" t="s">
        <v>5921</v>
      </c>
      <c r="E30" s="55" t="s">
        <v>5922</v>
      </c>
      <c r="F30" s="55" t="s">
        <v>5923</v>
      </c>
      <c r="G30" s="55" t="s">
        <v>5358</v>
      </c>
      <c r="H30" s="55" t="s">
        <v>5359</v>
      </c>
      <c r="I30" s="55" t="s">
        <v>5924</v>
      </c>
      <c r="J30" s="55" t="s">
        <v>5189</v>
      </c>
      <c r="K30" s="55" t="s">
        <v>5925</v>
      </c>
      <c r="L30" s="55" t="s">
        <v>5926</v>
      </c>
      <c r="M30" s="55" t="s">
        <v>5096</v>
      </c>
      <c r="N30" s="55" t="s">
        <v>5192</v>
      </c>
      <c r="O30" s="55" t="s">
        <v>5191</v>
      </c>
    </row>
    <row r="31" spans="1:15" ht="15.75" x14ac:dyDescent="0.25">
      <c r="A31" s="55" t="s">
        <v>5188</v>
      </c>
      <c r="B31" s="55" t="s">
        <v>5927</v>
      </c>
      <c r="C31" s="55" t="s">
        <v>5920</v>
      </c>
      <c r="D31" s="55" t="s">
        <v>5921</v>
      </c>
      <c r="E31" s="55" t="s">
        <v>5922</v>
      </c>
      <c r="F31" s="55" t="s">
        <v>5923</v>
      </c>
      <c r="G31" s="55" t="s">
        <v>5358</v>
      </c>
      <c r="H31" s="55" t="s">
        <v>5359</v>
      </c>
      <c r="I31" s="55" t="s">
        <v>5924</v>
      </c>
      <c r="J31" s="55" t="s">
        <v>5189</v>
      </c>
      <c r="K31" s="55" t="s">
        <v>5925</v>
      </c>
      <c r="L31" s="55" t="s">
        <v>5926</v>
      </c>
      <c r="M31" s="55" t="s">
        <v>3551</v>
      </c>
      <c r="N31" s="55" t="s">
        <v>5192</v>
      </c>
      <c r="O31" s="55" t="s">
        <v>5191</v>
      </c>
    </row>
    <row r="32" spans="1:15" ht="15.75" x14ac:dyDescent="0.25">
      <c r="A32" s="55" t="s">
        <v>5188</v>
      </c>
      <c r="B32" s="55" t="s">
        <v>5928</v>
      </c>
      <c r="C32" s="55" t="s">
        <v>5920</v>
      </c>
      <c r="D32" s="55" t="s">
        <v>5921</v>
      </c>
      <c r="E32" s="55" t="s">
        <v>5922</v>
      </c>
      <c r="F32" s="55" t="s">
        <v>5923</v>
      </c>
      <c r="G32" s="55" t="s">
        <v>5358</v>
      </c>
      <c r="H32" s="55" t="s">
        <v>5359</v>
      </c>
      <c r="I32" s="55" t="s">
        <v>5924</v>
      </c>
      <c r="J32" s="55" t="s">
        <v>5189</v>
      </c>
      <c r="K32" s="55" t="s">
        <v>5925</v>
      </c>
      <c r="L32" s="55" t="s">
        <v>5926</v>
      </c>
      <c r="M32" s="55" t="s">
        <v>4944</v>
      </c>
      <c r="N32" s="55" t="s">
        <v>5192</v>
      </c>
      <c r="O32" s="55" t="s">
        <v>5191</v>
      </c>
    </row>
    <row r="33" spans="1:15" ht="15.75" x14ac:dyDescent="0.25">
      <c r="A33" s="55" t="s">
        <v>5188</v>
      </c>
      <c r="B33" s="55" t="s">
        <v>5929</v>
      </c>
      <c r="C33" s="55" t="s">
        <v>5920</v>
      </c>
      <c r="D33" s="55" t="s">
        <v>5921</v>
      </c>
      <c r="E33" s="55" t="s">
        <v>5922</v>
      </c>
      <c r="F33" s="55" t="s">
        <v>5923</v>
      </c>
      <c r="G33" s="55" t="s">
        <v>5358</v>
      </c>
      <c r="H33" s="55" t="s">
        <v>5359</v>
      </c>
      <c r="I33" s="55" t="s">
        <v>5924</v>
      </c>
      <c r="J33" s="55" t="s">
        <v>5189</v>
      </c>
      <c r="K33" s="55" t="s">
        <v>5925</v>
      </c>
      <c r="L33" s="55" t="s">
        <v>5926</v>
      </c>
      <c r="M33" s="55" t="s">
        <v>4007</v>
      </c>
      <c r="N33" s="55" t="s">
        <v>5192</v>
      </c>
      <c r="O33" s="55" t="s">
        <v>5191</v>
      </c>
    </row>
    <row r="34" spans="1:15" ht="15.75" x14ac:dyDescent="0.25">
      <c r="A34" s="55" t="s">
        <v>5188</v>
      </c>
      <c r="B34" s="55" t="s">
        <v>5930</v>
      </c>
      <c r="C34" s="55" t="s">
        <v>5920</v>
      </c>
      <c r="D34" s="55" t="s">
        <v>5921</v>
      </c>
      <c r="E34" s="55" t="s">
        <v>5922</v>
      </c>
      <c r="F34" s="55" t="s">
        <v>5923</v>
      </c>
      <c r="G34" s="55" t="s">
        <v>5358</v>
      </c>
      <c r="H34" s="55" t="s">
        <v>5359</v>
      </c>
      <c r="I34" s="55" t="s">
        <v>5924</v>
      </c>
      <c r="J34" s="55" t="s">
        <v>5189</v>
      </c>
      <c r="K34" s="55" t="s">
        <v>5925</v>
      </c>
      <c r="L34" s="55" t="s">
        <v>5926</v>
      </c>
      <c r="M34" s="55" t="s">
        <v>4796</v>
      </c>
      <c r="N34" s="55" t="s">
        <v>5192</v>
      </c>
      <c r="O34" s="55" t="s">
        <v>5191</v>
      </c>
    </row>
    <row r="35" spans="1:15" ht="15.75" x14ac:dyDescent="0.25">
      <c r="A35" s="55" t="s">
        <v>5188</v>
      </c>
      <c r="B35" s="55" t="s">
        <v>5931</v>
      </c>
      <c r="C35" s="55" t="s">
        <v>5932</v>
      </c>
      <c r="D35" s="55" t="s">
        <v>5933</v>
      </c>
      <c r="E35" s="55" t="s">
        <v>5837</v>
      </c>
      <c r="F35" s="55" t="s">
        <v>5838</v>
      </c>
      <c r="G35" s="55" t="s">
        <v>5839</v>
      </c>
      <c r="H35" s="55" t="s">
        <v>5840</v>
      </c>
      <c r="I35" s="55" t="s">
        <v>5934</v>
      </c>
      <c r="J35" s="55" t="s">
        <v>5189</v>
      </c>
      <c r="K35" s="55" t="s">
        <v>5935</v>
      </c>
      <c r="L35" s="55" t="s">
        <v>5936</v>
      </c>
      <c r="M35" s="55" t="s">
        <v>5207</v>
      </c>
      <c r="N35" s="55" t="s">
        <v>5192</v>
      </c>
      <c r="O35" s="55" t="s">
        <v>5191</v>
      </c>
    </row>
    <row r="36" spans="1:15" ht="15.75" x14ac:dyDescent="0.25">
      <c r="A36" s="55" t="s">
        <v>5188</v>
      </c>
      <c r="B36" s="55" t="s">
        <v>5937</v>
      </c>
      <c r="C36" s="55" t="s">
        <v>5938</v>
      </c>
      <c r="D36" s="55" t="s">
        <v>5939</v>
      </c>
      <c r="E36" s="55" t="s">
        <v>5940</v>
      </c>
      <c r="F36" s="55" t="s">
        <v>5941</v>
      </c>
      <c r="G36" s="55" t="s">
        <v>5196</v>
      </c>
      <c r="H36" s="55" t="s">
        <v>5197</v>
      </c>
      <c r="I36" s="55" t="s">
        <v>5942</v>
      </c>
      <c r="J36" s="55" t="s">
        <v>5189</v>
      </c>
      <c r="K36" s="55" t="s">
        <v>5943</v>
      </c>
      <c r="L36" s="55" t="s">
        <v>5944</v>
      </c>
      <c r="M36" s="55" t="s">
        <v>4547</v>
      </c>
      <c r="N36" s="55" t="s">
        <v>5192</v>
      </c>
      <c r="O36" s="55" t="s">
        <v>5191</v>
      </c>
    </row>
    <row r="37" spans="1:15" ht="15.75" x14ac:dyDescent="0.25">
      <c r="A37" s="55" t="s">
        <v>5188</v>
      </c>
      <c r="B37" s="55" t="s">
        <v>5945</v>
      </c>
      <c r="C37" s="55" t="s">
        <v>5946</v>
      </c>
      <c r="D37" s="55" t="s">
        <v>5947</v>
      </c>
      <c r="E37" s="55" t="s">
        <v>5948</v>
      </c>
      <c r="F37" s="55" t="s">
        <v>5949</v>
      </c>
      <c r="G37" s="55" t="s">
        <v>5950</v>
      </c>
      <c r="H37" s="55" t="s">
        <v>5951</v>
      </c>
      <c r="I37" s="55" t="s">
        <v>5952</v>
      </c>
      <c r="J37" s="55" t="s">
        <v>5189</v>
      </c>
      <c r="K37" s="55" t="s">
        <v>5953</v>
      </c>
      <c r="L37" s="55" t="s">
        <v>5954</v>
      </c>
      <c r="M37" s="55" t="s">
        <v>4884</v>
      </c>
      <c r="N37" s="55" t="s">
        <v>5192</v>
      </c>
      <c r="O37" s="55" t="s">
        <v>5191</v>
      </c>
    </row>
    <row r="38" spans="1:15" ht="15.75" x14ac:dyDescent="0.25">
      <c r="A38" s="55" t="s">
        <v>5188</v>
      </c>
      <c r="B38" s="55" t="s">
        <v>5955</v>
      </c>
      <c r="C38" s="55" t="s">
        <v>5956</v>
      </c>
      <c r="D38" s="55" t="s">
        <v>5957</v>
      </c>
      <c r="E38" s="55" t="s">
        <v>5948</v>
      </c>
      <c r="F38" s="55" t="s">
        <v>5949</v>
      </c>
      <c r="G38" s="55" t="s">
        <v>5950</v>
      </c>
      <c r="H38" s="55" t="s">
        <v>5951</v>
      </c>
      <c r="I38" s="55" t="s">
        <v>5952</v>
      </c>
      <c r="J38" s="55" t="s">
        <v>5189</v>
      </c>
      <c r="K38" s="55" t="s">
        <v>5958</v>
      </c>
      <c r="L38" s="55" t="s">
        <v>5959</v>
      </c>
      <c r="M38" s="55" t="s">
        <v>5960</v>
      </c>
      <c r="N38" s="55" t="s">
        <v>5192</v>
      </c>
      <c r="O38" s="55" t="s">
        <v>5191</v>
      </c>
    </row>
    <row r="39" spans="1:15" ht="15.75" x14ac:dyDescent="0.25">
      <c r="A39" s="55" t="s">
        <v>5188</v>
      </c>
      <c r="B39" s="55" t="s">
        <v>6062</v>
      </c>
      <c r="C39" s="55" t="s">
        <v>5956</v>
      </c>
      <c r="D39" s="55" t="s">
        <v>5957</v>
      </c>
      <c r="E39" s="55" t="s">
        <v>5948</v>
      </c>
      <c r="F39" s="55" t="s">
        <v>5949</v>
      </c>
      <c r="G39" s="55" t="s">
        <v>5950</v>
      </c>
      <c r="H39" s="55" t="s">
        <v>5951</v>
      </c>
      <c r="I39" s="55" t="s">
        <v>5952</v>
      </c>
      <c r="J39" s="55" t="s">
        <v>5189</v>
      </c>
      <c r="K39" s="55" t="s">
        <v>5958</v>
      </c>
      <c r="L39" s="55" t="s">
        <v>5959</v>
      </c>
      <c r="M39" s="55" t="s">
        <v>5141</v>
      </c>
      <c r="N39" s="55" t="s">
        <v>5192</v>
      </c>
      <c r="O39" s="55" t="s">
        <v>5191</v>
      </c>
    </row>
    <row r="40" spans="1:15" ht="15.75" x14ac:dyDescent="0.25">
      <c r="A40" s="55" t="s">
        <v>5188</v>
      </c>
      <c r="B40" s="55" t="s">
        <v>6063</v>
      </c>
      <c r="C40" s="55" t="s">
        <v>5991</v>
      </c>
      <c r="D40" s="55" t="s">
        <v>5992</v>
      </c>
      <c r="E40" s="55" t="s">
        <v>5993</v>
      </c>
      <c r="F40" s="55" t="s">
        <v>5994</v>
      </c>
      <c r="G40" s="55" t="s">
        <v>5623</v>
      </c>
      <c r="H40" s="55" t="s">
        <v>5624</v>
      </c>
      <c r="I40" s="55" t="s">
        <v>5995</v>
      </c>
      <c r="J40" s="55" t="s">
        <v>5189</v>
      </c>
      <c r="K40" s="55" t="s">
        <v>5996</v>
      </c>
      <c r="L40" s="55" t="s">
        <v>5997</v>
      </c>
      <c r="M40" s="55" t="s">
        <v>5141</v>
      </c>
      <c r="N40" s="55" t="s">
        <v>5192</v>
      </c>
      <c r="O40" s="55" t="s">
        <v>5191</v>
      </c>
    </row>
    <row r="41" spans="1:15" ht="15.75" x14ac:dyDescent="0.25">
      <c r="A41" s="55" t="s">
        <v>5188</v>
      </c>
      <c r="B41" s="55" t="s">
        <v>6064</v>
      </c>
      <c r="C41" s="55" t="s">
        <v>6065</v>
      </c>
      <c r="D41" s="55" t="s">
        <v>6066</v>
      </c>
      <c r="E41" s="55" t="s">
        <v>6067</v>
      </c>
      <c r="F41" s="55" t="s">
        <v>6068</v>
      </c>
      <c r="G41" s="55" t="s">
        <v>5701</v>
      </c>
      <c r="H41" s="55" t="s">
        <v>5702</v>
      </c>
      <c r="I41" s="55" t="s">
        <v>6069</v>
      </c>
      <c r="J41" s="55" t="s">
        <v>5189</v>
      </c>
      <c r="K41" s="55" t="s">
        <v>6070</v>
      </c>
      <c r="L41" s="55" t="s">
        <v>6071</v>
      </c>
      <c r="M41" s="55" t="s">
        <v>4798</v>
      </c>
      <c r="N41" s="55" t="s">
        <v>5192</v>
      </c>
      <c r="O41" s="55" t="s">
        <v>5191</v>
      </c>
    </row>
    <row r="42" spans="1:15" ht="15.75" x14ac:dyDescent="0.25">
      <c r="A42" s="55" t="s">
        <v>5188</v>
      </c>
      <c r="B42" s="55" t="s">
        <v>6072</v>
      </c>
      <c r="C42" s="55" t="s">
        <v>6065</v>
      </c>
      <c r="D42" s="55" t="s">
        <v>6066</v>
      </c>
      <c r="E42" s="55" t="s">
        <v>6067</v>
      </c>
      <c r="F42" s="55" t="s">
        <v>6068</v>
      </c>
      <c r="G42" s="55" t="s">
        <v>5701</v>
      </c>
      <c r="H42" s="55" t="s">
        <v>5702</v>
      </c>
      <c r="I42" s="55" t="s">
        <v>6069</v>
      </c>
      <c r="J42" s="55" t="s">
        <v>5189</v>
      </c>
      <c r="K42" s="55" t="s">
        <v>6070</v>
      </c>
      <c r="L42" s="55" t="s">
        <v>6071</v>
      </c>
      <c r="M42" s="55" t="s">
        <v>4796</v>
      </c>
      <c r="N42" s="55" t="s">
        <v>5192</v>
      </c>
      <c r="O42" s="55" t="s">
        <v>5191</v>
      </c>
    </row>
    <row r="43" spans="1:15" ht="15.75" x14ac:dyDescent="0.25">
      <c r="A43" s="55" t="s">
        <v>5188</v>
      </c>
      <c r="B43" s="55" t="s">
        <v>6073</v>
      </c>
      <c r="C43" s="55" t="s">
        <v>6074</v>
      </c>
      <c r="D43" s="55" t="s">
        <v>6075</v>
      </c>
      <c r="E43" s="55" t="s">
        <v>6076</v>
      </c>
      <c r="F43" s="55" t="s">
        <v>6077</v>
      </c>
      <c r="G43" s="55" t="s">
        <v>6078</v>
      </c>
      <c r="H43" s="55" t="s">
        <v>6079</v>
      </c>
      <c r="I43" s="55" t="s">
        <v>6080</v>
      </c>
      <c r="J43" s="55" t="s">
        <v>5189</v>
      </c>
      <c r="K43" s="55" t="s">
        <v>6081</v>
      </c>
      <c r="L43" s="55" t="s">
        <v>6082</v>
      </c>
      <c r="M43" s="55" t="s">
        <v>4603</v>
      </c>
      <c r="N43" s="55" t="s">
        <v>5192</v>
      </c>
      <c r="O43" s="55" t="s">
        <v>5191</v>
      </c>
    </row>
    <row r="44" spans="1:15" ht="15.75" x14ac:dyDescent="0.25">
      <c r="A44" s="55" t="s">
        <v>5188</v>
      </c>
      <c r="B44" s="55" t="s">
        <v>6083</v>
      </c>
      <c r="C44" s="55" t="s">
        <v>6074</v>
      </c>
      <c r="D44" s="55" t="s">
        <v>6075</v>
      </c>
      <c r="E44" s="55" t="s">
        <v>6076</v>
      </c>
      <c r="F44" s="55" t="s">
        <v>6077</v>
      </c>
      <c r="G44" s="55" t="s">
        <v>6078</v>
      </c>
      <c r="H44" s="55" t="s">
        <v>6079</v>
      </c>
      <c r="I44" s="55" t="s">
        <v>6080</v>
      </c>
      <c r="J44" s="55" t="s">
        <v>5189</v>
      </c>
      <c r="K44" s="55" t="s">
        <v>6081</v>
      </c>
      <c r="L44" s="55" t="s">
        <v>6082</v>
      </c>
      <c r="M44" s="55" t="s">
        <v>4559</v>
      </c>
      <c r="N44" s="55" t="s">
        <v>5192</v>
      </c>
      <c r="O44" s="55" t="s">
        <v>5191</v>
      </c>
    </row>
    <row r="45" spans="1:15" ht="15.75" x14ac:dyDescent="0.25">
      <c r="A45" s="55" t="s">
        <v>5188</v>
      </c>
      <c r="B45" s="55" t="s">
        <v>6084</v>
      </c>
      <c r="C45" s="55" t="s">
        <v>6010</v>
      </c>
      <c r="D45" s="55" t="s">
        <v>6011</v>
      </c>
      <c r="E45" s="55" t="s">
        <v>5734</v>
      </c>
      <c r="F45" s="55" t="s">
        <v>5735</v>
      </c>
      <c r="G45" s="55" t="s">
        <v>5736</v>
      </c>
      <c r="H45" s="55" t="s">
        <v>5737</v>
      </c>
      <c r="I45" s="55" t="s">
        <v>6012</v>
      </c>
      <c r="J45" s="55" t="s">
        <v>5189</v>
      </c>
      <c r="K45" s="55" t="s">
        <v>6013</v>
      </c>
      <c r="L45" s="55" t="s">
        <v>6014</v>
      </c>
      <c r="M45" s="55" t="s">
        <v>5316</v>
      </c>
      <c r="N45" s="55" t="s">
        <v>5192</v>
      </c>
      <c r="O45" s="55" t="s">
        <v>5191</v>
      </c>
    </row>
    <row r="46" spans="1:15" ht="15.75" x14ac:dyDescent="0.25">
      <c r="A46" s="55" t="s">
        <v>5188</v>
      </c>
      <c r="B46" s="55" t="s">
        <v>6085</v>
      </c>
      <c r="C46" s="55" t="s">
        <v>6018</v>
      </c>
      <c r="D46" s="55" t="s">
        <v>6019</v>
      </c>
      <c r="E46" s="55" t="s">
        <v>6020</v>
      </c>
      <c r="F46" s="55" t="s">
        <v>6021</v>
      </c>
      <c r="G46" s="55" t="s">
        <v>6022</v>
      </c>
      <c r="H46" s="55" t="s">
        <v>6023</v>
      </c>
      <c r="I46" s="55" t="s">
        <v>6024</v>
      </c>
      <c r="J46" s="55" t="s">
        <v>5189</v>
      </c>
      <c r="K46" s="55" t="s">
        <v>6025</v>
      </c>
      <c r="L46" s="55" t="s">
        <v>6026</v>
      </c>
      <c r="M46" s="55" t="s">
        <v>4376</v>
      </c>
      <c r="N46" s="55" t="s">
        <v>5192</v>
      </c>
      <c r="O46" s="55" t="s">
        <v>5191</v>
      </c>
    </row>
    <row r="47" spans="1:15" ht="15.75" x14ac:dyDescent="0.25">
      <c r="A47" s="55" t="s">
        <v>5188</v>
      </c>
      <c r="B47" s="55" t="s">
        <v>6086</v>
      </c>
      <c r="C47" s="55" t="s">
        <v>6028</v>
      </c>
      <c r="D47" s="55" t="s">
        <v>6029</v>
      </c>
      <c r="E47" s="55" t="s">
        <v>5977</v>
      </c>
      <c r="F47" s="55" t="s">
        <v>5978</v>
      </c>
      <c r="G47" s="55" t="s">
        <v>5979</v>
      </c>
      <c r="H47" s="55" t="s">
        <v>5980</v>
      </c>
      <c r="I47" s="55" t="s">
        <v>6030</v>
      </c>
      <c r="J47" s="55" t="s">
        <v>5189</v>
      </c>
      <c r="K47" s="55" t="s">
        <v>6031</v>
      </c>
      <c r="L47" s="55" t="s">
        <v>6032</v>
      </c>
      <c r="M47" s="55" t="s">
        <v>4972</v>
      </c>
      <c r="N47" s="55" t="s">
        <v>5192</v>
      </c>
      <c r="O47" s="55" t="s">
        <v>5191</v>
      </c>
    </row>
    <row r="48" spans="1:15" ht="15.75" x14ac:dyDescent="0.25">
      <c r="A48" s="55" t="s">
        <v>5188</v>
      </c>
      <c r="B48" s="55" t="s">
        <v>6087</v>
      </c>
      <c r="C48" s="55" t="s">
        <v>6028</v>
      </c>
      <c r="D48" s="55" t="s">
        <v>6029</v>
      </c>
      <c r="E48" s="55" t="s">
        <v>5977</v>
      </c>
      <c r="F48" s="55" t="s">
        <v>5978</v>
      </c>
      <c r="G48" s="55" t="s">
        <v>5979</v>
      </c>
      <c r="H48" s="55" t="s">
        <v>5980</v>
      </c>
      <c r="I48" s="55" t="s">
        <v>6030</v>
      </c>
      <c r="J48" s="55" t="s">
        <v>5189</v>
      </c>
      <c r="K48" s="55" t="s">
        <v>6031</v>
      </c>
      <c r="L48" s="55" t="s">
        <v>6032</v>
      </c>
      <c r="M48" s="55" t="s">
        <v>4569</v>
      </c>
      <c r="N48" s="55" t="s">
        <v>5192</v>
      </c>
      <c r="O48" s="55" t="s">
        <v>5191</v>
      </c>
    </row>
    <row r="49" spans="1:15" ht="15.75" x14ac:dyDescent="0.25">
      <c r="A49" s="55" t="s">
        <v>5188</v>
      </c>
      <c r="B49" s="55" t="s">
        <v>6088</v>
      </c>
      <c r="C49" s="55" t="s">
        <v>6034</v>
      </c>
      <c r="D49" s="55" t="s">
        <v>6035</v>
      </c>
      <c r="E49" s="55" t="s">
        <v>6036</v>
      </c>
      <c r="F49" s="55" t="s">
        <v>6037</v>
      </c>
      <c r="G49" s="55" t="s">
        <v>5701</v>
      </c>
      <c r="H49" s="55" t="s">
        <v>5702</v>
      </c>
      <c r="I49" s="55" t="s">
        <v>6038</v>
      </c>
      <c r="J49" s="55" t="s">
        <v>5189</v>
      </c>
      <c r="K49" s="55" t="s">
        <v>6039</v>
      </c>
      <c r="L49" s="55" t="s">
        <v>6040</v>
      </c>
      <c r="M49" s="55" t="s">
        <v>4798</v>
      </c>
      <c r="N49" s="55" t="s">
        <v>5192</v>
      </c>
      <c r="O49" s="55" t="s">
        <v>5191</v>
      </c>
    </row>
    <row r="50" spans="1:15" ht="15.75" x14ac:dyDescent="0.25">
      <c r="A50" s="55" t="s">
        <v>5188</v>
      </c>
      <c r="B50" s="55" t="s">
        <v>6089</v>
      </c>
      <c r="C50" s="55" t="s">
        <v>6034</v>
      </c>
      <c r="D50" s="55" t="s">
        <v>6035</v>
      </c>
      <c r="E50" s="55" t="s">
        <v>6036</v>
      </c>
      <c r="F50" s="55" t="s">
        <v>6037</v>
      </c>
      <c r="G50" s="55" t="s">
        <v>5701</v>
      </c>
      <c r="H50" s="55" t="s">
        <v>5702</v>
      </c>
      <c r="I50" s="55" t="s">
        <v>6038</v>
      </c>
      <c r="J50" s="55" t="s">
        <v>5189</v>
      </c>
      <c r="K50" s="55" t="s">
        <v>6039</v>
      </c>
      <c r="L50" s="55" t="s">
        <v>6040</v>
      </c>
      <c r="M50" s="55" t="s">
        <v>4796</v>
      </c>
      <c r="N50" s="55" t="s">
        <v>5192</v>
      </c>
      <c r="O50" s="55" t="s">
        <v>5191</v>
      </c>
    </row>
    <row r="51" spans="1:15" ht="15.75" x14ac:dyDescent="0.25">
      <c r="A51" s="55" t="s">
        <v>5188</v>
      </c>
      <c r="B51" s="55" t="s">
        <v>6090</v>
      </c>
      <c r="C51" s="55" t="s">
        <v>6091</v>
      </c>
      <c r="D51" s="55" t="s">
        <v>6092</v>
      </c>
      <c r="E51" s="55" t="s">
        <v>6093</v>
      </c>
      <c r="F51" s="55" t="s">
        <v>6094</v>
      </c>
      <c r="G51" s="55" t="s">
        <v>6095</v>
      </c>
      <c r="H51" s="55" t="s">
        <v>6096</v>
      </c>
      <c r="I51" s="55" t="s">
        <v>6097</v>
      </c>
      <c r="J51" s="55" t="s">
        <v>5189</v>
      </c>
      <c r="K51" s="55" t="s">
        <v>6098</v>
      </c>
      <c r="L51" s="55" t="s">
        <v>6099</v>
      </c>
      <c r="M51" s="55" t="s">
        <v>4513</v>
      </c>
      <c r="N51" s="55" t="s">
        <v>5192</v>
      </c>
      <c r="O51" s="55" t="s">
        <v>5191</v>
      </c>
    </row>
    <row r="52" spans="1:15" ht="15.75" x14ac:dyDescent="0.25">
      <c r="A52" s="55" t="s">
        <v>5188</v>
      </c>
      <c r="B52" s="55" t="s">
        <v>6100</v>
      </c>
      <c r="C52" s="55" t="s">
        <v>6042</v>
      </c>
      <c r="D52" s="55" t="s">
        <v>6043</v>
      </c>
      <c r="E52" s="55" t="s">
        <v>6044</v>
      </c>
      <c r="F52" s="55" t="s">
        <v>6045</v>
      </c>
      <c r="G52" s="55" t="s">
        <v>6046</v>
      </c>
      <c r="H52" s="55" t="s">
        <v>6047</v>
      </c>
      <c r="I52" s="55" t="s">
        <v>6048</v>
      </c>
      <c r="J52" s="55" t="s">
        <v>5189</v>
      </c>
      <c r="K52" s="55" t="s">
        <v>6049</v>
      </c>
      <c r="L52" s="55" t="s">
        <v>6050</v>
      </c>
      <c r="M52" s="55" t="s">
        <v>4571</v>
      </c>
      <c r="N52" s="55" t="s">
        <v>5192</v>
      </c>
      <c r="O52" s="55" t="s">
        <v>5191</v>
      </c>
    </row>
    <row r="53" spans="1:15" ht="15.75" x14ac:dyDescent="0.25">
      <c r="A53" s="55" t="s">
        <v>5188</v>
      </c>
      <c r="B53" s="55" t="s">
        <v>6101</v>
      </c>
      <c r="C53" s="55" t="s">
        <v>6042</v>
      </c>
      <c r="D53" s="55" t="s">
        <v>6043</v>
      </c>
      <c r="E53" s="55" t="s">
        <v>6044</v>
      </c>
      <c r="F53" s="55" t="s">
        <v>6045</v>
      </c>
      <c r="G53" s="55" t="s">
        <v>6046</v>
      </c>
      <c r="H53" s="55" t="s">
        <v>6047</v>
      </c>
      <c r="I53" s="55" t="s">
        <v>6048</v>
      </c>
      <c r="J53" s="55" t="s">
        <v>5189</v>
      </c>
      <c r="K53" s="55" t="s">
        <v>6049</v>
      </c>
      <c r="L53" s="55" t="s">
        <v>6050</v>
      </c>
      <c r="M53" s="55" t="s">
        <v>5012</v>
      </c>
      <c r="N53" s="55" t="s">
        <v>5192</v>
      </c>
      <c r="O53" s="55" t="s">
        <v>5191</v>
      </c>
    </row>
    <row r="54" spans="1:15" ht="15.75" x14ac:dyDescent="0.25">
      <c r="A54" s="55" t="s">
        <v>5188</v>
      </c>
      <c r="B54" s="55" t="s">
        <v>6102</v>
      </c>
      <c r="C54" s="55" t="s">
        <v>6052</v>
      </c>
      <c r="D54" s="55" t="s">
        <v>6053</v>
      </c>
      <c r="E54" s="55" t="s">
        <v>6054</v>
      </c>
      <c r="F54" s="55" t="s">
        <v>6055</v>
      </c>
      <c r="G54" s="55" t="s">
        <v>6056</v>
      </c>
      <c r="H54" s="55" t="s">
        <v>6057</v>
      </c>
      <c r="I54" s="55" t="s">
        <v>6058</v>
      </c>
      <c r="J54" s="55" t="s">
        <v>5189</v>
      </c>
      <c r="K54" s="55" t="s">
        <v>6059</v>
      </c>
      <c r="L54" s="55" t="s">
        <v>6060</v>
      </c>
      <c r="M54" s="55" t="s">
        <v>4972</v>
      </c>
      <c r="N54" s="55" t="s">
        <v>5192</v>
      </c>
      <c r="O54" s="55" t="s">
        <v>5191</v>
      </c>
    </row>
    <row r="55" spans="1:15" ht="15.75" x14ac:dyDescent="0.25">
      <c r="A55" s="55" t="s">
        <v>5188</v>
      </c>
      <c r="B55" s="55" t="s">
        <v>6103</v>
      </c>
      <c r="C55" s="55" t="s">
        <v>6052</v>
      </c>
      <c r="D55" s="55" t="s">
        <v>6053</v>
      </c>
      <c r="E55" s="55" t="s">
        <v>6054</v>
      </c>
      <c r="F55" s="55" t="s">
        <v>6055</v>
      </c>
      <c r="G55" s="55" t="s">
        <v>6056</v>
      </c>
      <c r="H55" s="55" t="s">
        <v>6057</v>
      </c>
      <c r="I55" s="55" t="s">
        <v>6058</v>
      </c>
      <c r="J55" s="55" t="s">
        <v>5189</v>
      </c>
      <c r="K55" s="55" t="s">
        <v>6059</v>
      </c>
      <c r="L55" s="55" t="s">
        <v>6060</v>
      </c>
      <c r="M55" s="55" t="s">
        <v>4820</v>
      </c>
      <c r="N55" s="55" t="s">
        <v>5192</v>
      </c>
      <c r="O55" s="55" t="s">
        <v>5191</v>
      </c>
    </row>
    <row r="56" spans="1:15" ht="15.75" x14ac:dyDescent="0.25">
      <c r="A56" s="55" t="s">
        <v>5188</v>
      </c>
      <c r="B56" s="55" t="s">
        <v>6104</v>
      </c>
      <c r="C56" s="55" t="s">
        <v>6052</v>
      </c>
      <c r="D56" s="55" t="s">
        <v>6053</v>
      </c>
      <c r="E56" s="55" t="s">
        <v>6054</v>
      </c>
      <c r="F56" s="55" t="s">
        <v>6055</v>
      </c>
      <c r="G56" s="55" t="s">
        <v>6056</v>
      </c>
      <c r="H56" s="55" t="s">
        <v>6057</v>
      </c>
      <c r="I56" s="55" t="s">
        <v>6058</v>
      </c>
      <c r="J56" s="55" t="s">
        <v>5189</v>
      </c>
      <c r="K56" s="55" t="s">
        <v>6059</v>
      </c>
      <c r="L56" s="55" t="s">
        <v>6060</v>
      </c>
      <c r="M56" s="55" t="s">
        <v>4493</v>
      </c>
      <c r="N56" s="55" t="s">
        <v>5192</v>
      </c>
      <c r="O56" s="55" t="s">
        <v>5191</v>
      </c>
    </row>
    <row r="57" spans="1:15" ht="15.75" x14ac:dyDescent="0.25">
      <c r="A57" s="55" t="s">
        <v>5188</v>
      </c>
      <c r="B57" s="55" t="s">
        <v>6105</v>
      </c>
      <c r="C57" s="55" t="s">
        <v>6106</v>
      </c>
      <c r="D57" s="55" t="s">
        <v>6107</v>
      </c>
      <c r="E57" s="55" t="s">
        <v>6108</v>
      </c>
      <c r="F57" s="55" t="s">
        <v>6109</v>
      </c>
      <c r="G57" s="55" t="s">
        <v>6110</v>
      </c>
      <c r="H57" s="55" t="s">
        <v>6111</v>
      </c>
      <c r="I57" s="55" t="s">
        <v>6112</v>
      </c>
      <c r="J57" s="55" t="s">
        <v>5189</v>
      </c>
      <c r="K57" s="55" t="s">
        <v>6113</v>
      </c>
      <c r="L57" s="55" t="s">
        <v>6114</v>
      </c>
      <c r="M57" s="55" t="s">
        <v>4752</v>
      </c>
      <c r="N57" s="55" t="s">
        <v>5192</v>
      </c>
      <c r="O57" s="55" t="s">
        <v>5191</v>
      </c>
    </row>
    <row r="58" spans="1:15" ht="15.75" x14ac:dyDescent="0.25">
      <c r="A58" s="55" t="s">
        <v>5188</v>
      </c>
      <c r="B58" s="55" t="s">
        <v>6115</v>
      </c>
      <c r="C58" s="55" t="s">
        <v>6106</v>
      </c>
      <c r="D58" s="55" t="s">
        <v>6107</v>
      </c>
      <c r="E58" s="55" t="s">
        <v>6108</v>
      </c>
      <c r="F58" s="55" t="s">
        <v>6109</v>
      </c>
      <c r="G58" s="55" t="s">
        <v>6110</v>
      </c>
      <c r="H58" s="55" t="s">
        <v>6111</v>
      </c>
      <c r="I58" s="55" t="s">
        <v>6112</v>
      </c>
      <c r="J58" s="55" t="s">
        <v>5189</v>
      </c>
      <c r="K58" s="55" t="s">
        <v>6113</v>
      </c>
      <c r="L58" s="55" t="s">
        <v>6114</v>
      </c>
      <c r="M58" s="55" t="s">
        <v>4561</v>
      </c>
      <c r="N58" s="55" t="s">
        <v>5192</v>
      </c>
      <c r="O58" s="55" t="s">
        <v>5191</v>
      </c>
    </row>
    <row r="59" spans="1:15" ht="15.75" x14ac:dyDescent="0.25">
      <c r="A59" s="55" t="s">
        <v>5188</v>
      </c>
      <c r="B59" s="55" t="s">
        <v>6116</v>
      </c>
      <c r="C59" s="55" t="s">
        <v>6106</v>
      </c>
      <c r="D59" s="55" t="s">
        <v>6107</v>
      </c>
      <c r="E59" s="55" t="s">
        <v>6108</v>
      </c>
      <c r="F59" s="55" t="s">
        <v>6109</v>
      </c>
      <c r="G59" s="55" t="s">
        <v>6110</v>
      </c>
      <c r="H59" s="55" t="s">
        <v>6111</v>
      </c>
      <c r="I59" s="55" t="s">
        <v>6112</v>
      </c>
      <c r="J59" s="55" t="s">
        <v>5189</v>
      </c>
      <c r="K59" s="55" t="s">
        <v>6113</v>
      </c>
      <c r="L59" s="55" t="s">
        <v>6114</v>
      </c>
      <c r="M59" s="55" t="s">
        <v>4569</v>
      </c>
      <c r="N59" s="55" t="s">
        <v>5192</v>
      </c>
      <c r="O59" s="55" t="s">
        <v>5191</v>
      </c>
    </row>
    <row r="60" spans="1:15" ht="15.75" x14ac:dyDescent="0.25">
      <c r="A60" s="55" t="s">
        <v>5188</v>
      </c>
      <c r="B60" s="55" t="s">
        <v>6307</v>
      </c>
      <c r="C60" s="55" t="s">
        <v>6106</v>
      </c>
      <c r="D60" s="55" t="s">
        <v>6107</v>
      </c>
      <c r="E60" s="55" t="s">
        <v>6108</v>
      </c>
      <c r="F60" s="55" t="s">
        <v>6109</v>
      </c>
      <c r="G60" s="55" t="s">
        <v>6110</v>
      </c>
      <c r="H60" s="55" t="s">
        <v>6111</v>
      </c>
      <c r="I60" s="55" t="s">
        <v>6112</v>
      </c>
      <c r="J60" s="55" t="s">
        <v>5189</v>
      </c>
      <c r="K60" s="55" t="s">
        <v>6113</v>
      </c>
      <c r="L60" s="55" t="s">
        <v>6114</v>
      </c>
      <c r="M60" s="55" t="s">
        <v>5317</v>
      </c>
      <c r="N60" s="55" t="s">
        <v>5192</v>
      </c>
      <c r="O60" s="55" t="s">
        <v>5191</v>
      </c>
    </row>
    <row r="61" spans="1:15" ht="15.75" x14ac:dyDescent="0.25">
      <c r="A61" s="55" t="s">
        <v>5188</v>
      </c>
      <c r="B61" s="55" t="s">
        <v>6308</v>
      </c>
      <c r="C61" s="55" t="s">
        <v>6106</v>
      </c>
      <c r="D61" s="55" t="s">
        <v>6107</v>
      </c>
      <c r="E61" s="55" t="s">
        <v>6108</v>
      </c>
      <c r="F61" s="55" t="s">
        <v>6109</v>
      </c>
      <c r="G61" s="55" t="s">
        <v>6110</v>
      </c>
      <c r="H61" s="55" t="s">
        <v>6111</v>
      </c>
      <c r="I61" s="55" t="s">
        <v>6112</v>
      </c>
      <c r="J61" s="55" t="s">
        <v>5189</v>
      </c>
      <c r="K61" s="55" t="s">
        <v>6113</v>
      </c>
      <c r="L61" s="55" t="s">
        <v>6114</v>
      </c>
      <c r="M61" s="55" t="s">
        <v>4655</v>
      </c>
      <c r="N61" s="55" t="s">
        <v>5192</v>
      </c>
      <c r="O61" s="55" t="s">
        <v>5191</v>
      </c>
    </row>
    <row r="62" spans="1:15" ht="15.75" x14ac:dyDescent="0.25">
      <c r="A62" s="55" t="s">
        <v>5188</v>
      </c>
      <c r="B62" s="55" t="s">
        <v>6309</v>
      </c>
      <c r="C62" s="55" t="s">
        <v>6310</v>
      </c>
      <c r="D62" s="55" t="s">
        <v>6311</v>
      </c>
      <c r="E62" s="55" t="s">
        <v>6312</v>
      </c>
      <c r="F62" s="55" t="s">
        <v>6313</v>
      </c>
      <c r="G62" s="55" t="s">
        <v>6314</v>
      </c>
      <c r="H62" s="55" t="s">
        <v>6315</v>
      </c>
      <c r="I62" s="55" t="s">
        <v>6316</v>
      </c>
      <c r="J62" s="55" t="s">
        <v>5189</v>
      </c>
      <c r="K62" s="55" t="s">
        <v>6317</v>
      </c>
      <c r="L62" s="55" t="s">
        <v>6318</v>
      </c>
      <c r="M62" s="55" t="s">
        <v>4752</v>
      </c>
      <c r="N62" s="55" t="s">
        <v>5192</v>
      </c>
      <c r="O62" s="55" t="s">
        <v>5191</v>
      </c>
    </row>
    <row r="63" spans="1:15" ht="15.75" x14ac:dyDescent="0.25">
      <c r="A63" s="55" t="s">
        <v>5188</v>
      </c>
      <c r="B63" s="55" t="s">
        <v>6319</v>
      </c>
      <c r="C63" s="55" t="s">
        <v>6310</v>
      </c>
      <c r="D63" s="55" t="s">
        <v>6311</v>
      </c>
      <c r="E63" s="55" t="s">
        <v>6312</v>
      </c>
      <c r="F63" s="55" t="s">
        <v>6313</v>
      </c>
      <c r="G63" s="55" t="s">
        <v>6314</v>
      </c>
      <c r="H63" s="55" t="s">
        <v>6315</v>
      </c>
      <c r="I63" s="55" t="s">
        <v>6316</v>
      </c>
      <c r="J63" s="55" t="s">
        <v>5189</v>
      </c>
      <c r="K63" s="55" t="s">
        <v>6317</v>
      </c>
      <c r="L63" s="55" t="s">
        <v>6318</v>
      </c>
      <c r="M63" s="55" t="s">
        <v>4547</v>
      </c>
      <c r="N63" s="55" t="s">
        <v>5192</v>
      </c>
      <c r="O63" s="55" t="s">
        <v>5191</v>
      </c>
    </row>
    <row r="64" spans="1:15" ht="15.75" x14ac:dyDescent="0.25">
      <c r="A64" s="55" t="s">
        <v>5188</v>
      </c>
      <c r="B64" s="55" t="s">
        <v>7417</v>
      </c>
      <c r="C64" s="55" t="s">
        <v>7418</v>
      </c>
      <c r="D64" s="55" t="s">
        <v>7419</v>
      </c>
      <c r="E64" s="55" t="s">
        <v>7420</v>
      </c>
      <c r="F64" s="55" t="s">
        <v>7421</v>
      </c>
      <c r="G64" s="55" t="s">
        <v>6022</v>
      </c>
      <c r="H64" s="55" t="s">
        <v>6023</v>
      </c>
      <c r="I64" s="55" t="s">
        <v>7422</v>
      </c>
      <c r="J64" s="55" t="s">
        <v>5189</v>
      </c>
      <c r="K64" s="55" t="s">
        <v>7423</v>
      </c>
      <c r="L64" s="55" t="s">
        <v>7424</v>
      </c>
      <c r="M64" s="55" t="s">
        <v>4503</v>
      </c>
      <c r="N64" s="55" t="s">
        <v>5192</v>
      </c>
      <c r="O64" s="55" t="s">
        <v>5191</v>
      </c>
    </row>
    <row r="65" spans="1:15" ht="15.75" x14ac:dyDescent="0.25">
      <c r="A65" s="55" t="s">
        <v>5188</v>
      </c>
      <c r="B65" s="55" t="s">
        <v>7425</v>
      </c>
      <c r="C65" s="55" t="s">
        <v>7418</v>
      </c>
      <c r="D65" s="55" t="s">
        <v>7419</v>
      </c>
      <c r="E65" s="55" t="s">
        <v>7420</v>
      </c>
      <c r="F65" s="55" t="s">
        <v>7421</v>
      </c>
      <c r="G65" s="55" t="s">
        <v>6022</v>
      </c>
      <c r="H65" s="55" t="s">
        <v>6023</v>
      </c>
      <c r="I65" s="55" t="s">
        <v>7426</v>
      </c>
      <c r="J65" s="55" t="s">
        <v>5189</v>
      </c>
      <c r="K65" s="55" t="s">
        <v>7423</v>
      </c>
      <c r="L65" s="55" t="s">
        <v>7424</v>
      </c>
      <c r="M65" s="55" t="s">
        <v>4569</v>
      </c>
      <c r="N65" s="55" t="s">
        <v>5192</v>
      </c>
      <c r="O65" s="55" t="s">
        <v>5191</v>
      </c>
    </row>
    <row r="66" spans="1:15" ht="15.75" x14ac:dyDescent="0.25">
      <c r="A66" s="55" t="s">
        <v>5188</v>
      </c>
      <c r="B66" s="55" t="s">
        <v>7427</v>
      </c>
      <c r="C66" s="55" t="s">
        <v>7428</v>
      </c>
      <c r="D66" s="55" t="s">
        <v>7429</v>
      </c>
      <c r="E66" s="55" t="s">
        <v>7430</v>
      </c>
      <c r="F66" s="55" t="s">
        <v>7431</v>
      </c>
      <c r="G66" s="55" t="s">
        <v>7432</v>
      </c>
      <c r="H66" s="55" t="s">
        <v>7433</v>
      </c>
      <c r="I66" s="55" t="s">
        <v>7434</v>
      </c>
      <c r="J66" s="55" t="s">
        <v>5189</v>
      </c>
      <c r="K66" s="55" t="s">
        <v>7435</v>
      </c>
      <c r="L66" s="55" t="s">
        <v>7436</v>
      </c>
      <c r="M66" s="55" t="s">
        <v>4944</v>
      </c>
      <c r="N66" s="55" t="s">
        <v>5192</v>
      </c>
      <c r="O66" s="55" t="s">
        <v>5191</v>
      </c>
    </row>
    <row r="67" spans="1:15" ht="15.75" x14ac:dyDescent="0.25">
      <c r="A67" s="55" t="s">
        <v>5188</v>
      </c>
      <c r="B67" s="55" t="s">
        <v>7437</v>
      </c>
      <c r="C67" s="55" t="s">
        <v>7438</v>
      </c>
      <c r="D67" s="55" t="s">
        <v>7439</v>
      </c>
      <c r="E67" s="55" t="s">
        <v>7440</v>
      </c>
      <c r="F67" s="55" t="s">
        <v>7441</v>
      </c>
      <c r="G67" s="55" t="s">
        <v>7442</v>
      </c>
      <c r="H67" s="55" t="s">
        <v>7443</v>
      </c>
      <c r="I67" s="55" t="s">
        <v>7444</v>
      </c>
      <c r="J67" s="55" t="s">
        <v>5189</v>
      </c>
      <c r="K67" s="55" t="s">
        <v>7445</v>
      </c>
      <c r="L67" s="55" t="s">
        <v>7446</v>
      </c>
      <c r="M67" s="55" t="s">
        <v>3551</v>
      </c>
      <c r="N67" s="55" t="s">
        <v>5192</v>
      </c>
      <c r="O67" s="55" t="s">
        <v>5191</v>
      </c>
    </row>
    <row r="68" spans="1:15" ht="15.75" x14ac:dyDescent="0.25">
      <c r="A68" s="55" t="s">
        <v>5188</v>
      </c>
      <c r="B68" s="55" t="s">
        <v>7447</v>
      </c>
      <c r="C68" s="55" t="s">
        <v>7448</v>
      </c>
      <c r="D68" s="55" t="s">
        <v>7449</v>
      </c>
      <c r="E68" s="55" t="s">
        <v>7450</v>
      </c>
      <c r="F68" s="55" t="s">
        <v>7451</v>
      </c>
      <c r="G68" s="55" t="s">
        <v>7452</v>
      </c>
      <c r="H68" s="55" t="s">
        <v>7453</v>
      </c>
      <c r="I68" s="55" t="s">
        <v>7454</v>
      </c>
      <c r="J68" s="55" t="s">
        <v>5189</v>
      </c>
      <c r="K68" s="55" t="s">
        <v>7455</v>
      </c>
      <c r="L68" s="55" t="s">
        <v>7456</v>
      </c>
      <c r="M68" s="55" t="s">
        <v>4758</v>
      </c>
      <c r="N68" s="55" t="s">
        <v>5192</v>
      </c>
      <c r="O68" s="55" t="s">
        <v>5191</v>
      </c>
    </row>
    <row r="69" spans="1:15" ht="15.75" x14ac:dyDescent="0.25">
      <c r="A69" s="55" t="s">
        <v>5188</v>
      </c>
      <c r="B69" s="55" t="s">
        <v>7457</v>
      </c>
      <c r="C69" s="55" t="s">
        <v>7448</v>
      </c>
      <c r="D69" s="55" t="s">
        <v>7449</v>
      </c>
      <c r="E69" s="55" t="s">
        <v>7450</v>
      </c>
      <c r="F69" s="55" t="s">
        <v>7451</v>
      </c>
      <c r="G69" s="55" t="s">
        <v>7452</v>
      </c>
      <c r="H69" s="55" t="s">
        <v>7453</v>
      </c>
      <c r="I69" s="55" t="s">
        <v>7454</v>
      </c>
      <c r="J69" s="55" t="s">
        <v>5189</v>
      </c>
      <c r="K69" s="55" t="s">
        <v>7455</v>
      </c>
      <c r="L69" s="55" t="s">
        <v>7456</v>
      </c>
      <c r="M69" s="55" t="s">
        <v>4567</v>
      </c>
      <c r="N69" s="55" t="s">
        <v>5192</v>
      </c>
      <c r="O69" s="55" t="s">
        <v>5191</v>
      </c>
    </row>
    <row r="70" spans="1:15" ht="15.75" x14ac:dyDescent="0.25">
      <c r="A70" s="55" t="s">
        <v>5188</v>
      </c>
      <c r="B70" s="55" t="s">
        <v>7458</v>
      </c>
      <c r="C70" s="55" t="s">
        <v>7459</v>
      </c>
      <c r="D70" s="55" t="s">
        <v>7460</v>
      </c>
      <c r="E70" s="55" t="s">
        <v>7461</v>
      </c>
      <c r="F70" s="55" t="s">
        <v>7462</v>
      </c>
      <c r="G70" s="55" t="s">
        <v>7463</v>
      </c>
      <c r="H70" s="55" t="s">
        <v>7464</v>
      </c>
      <c r="I70" s="55" t="s">
        <v>7465</v>
      </c>
      <c r="J70" s="55" t="s">
        <v>5189</v>
      </c>
      <c r="K70" s="55" t="s">
        <v>7466</v>
      </c>
      <c r="L70" s="55" t="s">
        <v>7467</v>
      </c>
      <c r="M70" s="55" t="s">
        <v>965</v>
      </c>
      <c r="N70" s="55" t="s">
        <v>5192</v>
      </c>
      <c r="O70" s="55" t="s">
        <v>5191</v>
      </c>
    </row>
    <row r="71" spans="1:15" ht="15.75" x14ac:dyDescent="0.25">
      <c r="A71" s="55" t="s">
        <v>5188</v>
      </c>
      <c r="B71" s="55" t="s">
        <v>7468</v>
      </c>
      <c r="C71" s="55" t="s">
        <v>7469</v>
      </c>
      <c r="D71" s="55" t="s">
        <v>7470</v>
      </c>
      <c r="E71" s="55" t="s">
        <v>7471</v>
      </c>
      <c r="F71" s="55" t="s">
        <v>7472</v>
      </c>
      <c r="G71" s="55" t="s">
        <v>5358</v>
      </c>
      <c r="H71" s="55" t="s">
        <v>5359</v>
      </c>
      <c r="I71" s="55" t="s">
        <v>7473</v>
      </c>
      <c r="J71" s="55" t="s">
        <v>5189</v>
      </c>
      <c r="K71" s="55" t="s">
        <v>7474</v>
      </c>
      <c r="L71" s="55" t="s">
        <v>7475</v>
      </c>
      <c r="M71" s="55" t="s">
        <v>5682</v>
      </c>
      <c r="N71" s="55" t="s">
        <v>5192</v>
      </c>
      <c r="O71" s="55" t="s">
        <v>5191</v>
      </c>
    </row>
    <row r="72" spans="1:15" ht="15.75" x14ac:dyDescent="0.25">
      <c r="A72" s="55" t="s">
        <v>5188</v>
      </c>
      <c r="B72" s="55" t="s">
        <v>7476</v>
      </c>
      <c r="C72" s="55" t="s">
        <v>7469</v>
      </c>
      <c r="D72" s="55" t="s">
        <v>7470</v>
      </c>
      <c r="E72" s="55" t="s">
        <v>7471</v>
      </c>
      <c r="F72" s="55" t="s">
        <v>7472</v>
      </c>
      <c r="G72" s="55" t="s">
        <v>5358</v>
      </c>
      <c r="H72" s="55" t="s">
        <v>5359</v>
      </c>
      <c r="I72" s="55" t="s">
        <v>7473</v>
      </c>
      <c r="J72" s="55" t="s">
        <v>5189</v>
      </c>
      <c r="K72" s="55" t="s">
        <v>7474</v>
      </c>
      <c r="L72" s="55" t="s">
        <v>7475</v>
      </c>
      <c r="M72" s="55" t="s">
        <v>4944</v>
      </c>
      <c r="N72" s="55" t="s">
        <v>5192</v>
      </c>
      <c r="O72" s="55" t="s">
        <v>5191</v>
      </c>
    </row>
    <row r="73" spans="1:15" ht="15.75" x14ac:dyDescent="0.25">
      <c r="A73" s="55" t="s">
        <v>5188</v>
      </c>
      <c r="B73" s="55" t="s">
        <v>7477</v>
      </c>
      <c r="C73" s="55" t="s">
        <v>7478</v>
      </c>
      <c r="D73" s="55" t="s">
        <v>7479</v>
      </c>
      <c r="E73" s="55" t="s">
        <v>7480</v>
      </c>
      <c r="F73" s="55" t="s">
        <v>7481</v>
      </c>
      <c r="G73" s="55" t="s">
        <v>7482</v>
      </c>
      <c r="H73" s="55" t="s">
        <v>7483</v>
      </c>
      <c r="I73" s="55" t="s">
        <v>7484</v>
      </c>
      <c r="J73" s="55" t="s">
        <v>5189</v>
      </c>
      <c r="K73" s="55" t="s">
        <v>7485</v>
      </c>
      <c r="L73" s="55" t="s">
        <v>7486</v>
      </c>
      <c r="M73" s="55" t="s">
        <v>5317</v>
      </c>
      <c r="N73" s="55" t="s">
        <v>5192</v>
      </c>
      <c r="O73" s="55" t="s">
        <v>5191</v>
      </c>
    </row>
    <row r="74" spans="1:15" ht="15.75" x14ac:dyDescent="0.25">
      <c r="A74" s="55" t="s">
        <v>5188</v>
      </c>
      <c r="B74" s="55" t="s">
        <v>7487</v>
      </c>
      <c r="C74" s="55" t="s">
        <v>7478</v>
      </c>
      <c r="D74" s="55" t="s">
        <v>7479</v>
      </c>
      <c r="E74" s="55" t="s">
        <v>7480</v>
      </c>
      <c r="F74" s="55" t="s">
        <v>7481</v>
      </c>
      <c r="G74" s="55" t="s">
        <v>7482</v>
      </c>
      <c r="H74" s="55" t="s">
        <v>7483</v>
      </c>
      <c r="I74" s="55" t="s">
        <v>7484</v>
      </c>
      <c r="J74" s="55" t="s">
        <v>5189</v>
      </c>
      <c r="K74" s="55" t="s">
        <v>7485</v>
      </c>
      <c r="L74" s="55" t="s">
        <v>7486</v>
      </c>
      <c r="M74" s="55" t="s">
        <v>5232</v>
      </c>
      <c r="N74" s="55" t="s">
        <v>5192</v>
      </c>
      <c r="O74" s="55" t="s">
        <v>5191</v>
      </c>
    </row>
    <row r="75" spans="1:15" ht="15.75" x14ac:dyDescent="0.25">
      <c r="A75" s="55" t="s">
        <v>5188</v>
      </c>
      <c r="B75" s="55" t="s">
        <v>7488</v>
      </c>
      <c r="C75" s="55" t="s">
        <v>7489</v>
      </c>
      <c r="D75" s="55" t="s">
        <v>7490</v>
      </c>
      <c r="E75" s="55" t="s">
        <v>7491</v>
      </c>
      <c r="F75" s="55" t="s">
        <v>7492</v>
      </c>
      <c r="G75" s="55" t="s">
        <v>6314</v>
      </c>
      <c r="H75" s="55" t="s">
        <v>6315</v>
      </c>
      <c r="I75" s="55" t="s">
        <v>7493</v>
      </c>
      <c r="J75" s="55" t="s">
        <v>5189</v>
      </c>
      <c r="K75" s="55" t="s">
        <v>7494</v>
      </c>
      <c r="L75" s="55" t="s">
        <v>7495</v>
      </c>
      <c r="M75" s="55" t="s">
        <v>5208</v>
      </c>
      <c r="N75" s="55" t="s">
        <v>5192</v>
      </c>
      <c r="O75" s="55" t="s">
        <v>5191</v>
      </c>
    </row>
    <row r="76" spans="1:15" ht="15.75" x14ac:dyDescent="0.25">
      <c r="A76" s="55" t="s">
        <v>5188</v>
      </c>
      <c r="B76" s="55" t="s">
        <v>7496</v>
      </c>
      <c r="C76" s="55" t="s">
        <v>7497</v>
      </c>
      <c r="D76" s="55" t="s">
        <v>7498</v>
      </c>
      <c r="E76" s="55" t="s">
        <v>7499</v>
      </c>
      <c r="F76" s="55" t="s">
        <v>7500</v>
      </c>
      <c r="G76" s="55" t="s">
        <v>5813</v>
      </c>
      <c r="H76" s="55" t="s">
        <v>5814</v>
      </c>
      <c r="I76" s="55" t="s">
        <v>7501</v>
      </c>
      <c r="J76" s="55" t="s">
        <v>5189</v>
      </c>
      <c r="K76" s="55" t="s">
        <v>7502</v>
      </c>
      <c r="L76" s="55" t="s">
        <v>7503</v>
      </c>
      <c r="M76" s="55" t="s">
        <v>1449</v>
      </c>
      <c r="N76" s="55" t="s">
        <v>5192</v>
      </c>
      <c r="O76" s="55" t="s">
        <v>5191</v>
      </c>
    </row>
    <row r="77" spans="1:15" ht="15.75" x14ac:dyDescent="0.25">
      <c r="A77" s="55" t="s">
        <v>5188</v>
      </c>
      <c r="B77" s="55" t="s">
        <v>5713</v>
      </c>
      <c r="C77" s="55" t="s">
        <v>5714</v>
      </c>
      <c r="D77" s="55" t="s">
        <v>5715</v>
      </c>
      <c r="E77" s="55" t="s">
        <v>5716</v>
      </c>
      <c r="F77" s="55" t="s">
        <v>5717</v>
      </c>
      <c r="G77" s="55" t="s">
        <v>5718</v>
      </c>
      <c r="H77" s="55" t="s">
        <v>5719</v>
      </c>
      <c r="I77" s="55" t="s">
        <v>5720</v>
      </c>
      <c r="J77" s="55" t="s">
        <v>5189</v>
      </c>
      <c r="K77" s="55" t="s">
        <v>5721</v>
      </c>
      <c r="L77" s="55" t="s">
        <v>5722</v>
      </c>
      <c r="M77" s="55" t="s">
        <v>4748</v>
      </c>
      <c r="N77" s="55" t="s">
        <v>5190</v>
      </c>
      <c r="O77" s="55" t="s">
        <v>5191</v>
      </c>
    </row>
    <row r="78" spans="1:15" ht="15.75" x14ac:dyDescent="0.25">
      <c r="A78" s="55" t="s">
        <v>5188</v>
      </c>
      <c r="B78" s="55" t="s">
        <v>5723</v>
      </c>
      <c r="C78" s="55" t="s">
        <v>5714</v>
      </c>
      <c r="D78" s="55" t="s">
        <v>5715</v>
      </c>
      <c r="E78" s="55" t="s">
        <v>5716</v>
      </c>
      <c r="F78" s="55" t="s">
        <v>5717</v>
      </c>
      <c r="G78" s="55" t="s">
        <v>5718</v>
      </c>
      <c r="H78" s="55" t="s">
        <v>5719</v>
      </c>
      <c r="I78" s="55" t="s">
        <v>5720</v>
      </c>
      <c r="J78" s="55" t="s">
        <v>5189</v>
      </c>
      <c r="K78" s="55" t="s">
        <v>5721</v>
      </c>
      <c r="L78" s="55" t="s">
        <v>5722</v>
      </c>
      <c r="M78" s="55" t="s">
        <v>4754</v>
      </c>
      <c r="N78" s="55" t="s">
        <v>5190</v>
      </c>
      <c r="O78" s="55" t="s">
        <v>5191</v>
      </c>
    </row>
    <row r="79" spans="1:15" ht="15.75" x14ac:dyDescent="0.25">
      <c r="A79" s="55" t="s">
        <v>5188</v>
      </c>
      <c r="B79" s="55" t="s">
        <v>5724</v>
      </c>
      <c r="C79" s="55" t="s">
        <v>5725</v>
      </c>
      <c r="D79" s="55" t="s">
        <v>5726</v>
      </c>
      <c r="E79" s="55" t="s">
        <v>5727</v>
      </c>
      <c r="F79" s="55" t="s">
        <v>5728</v>
      </c>
      <c r="G79" s="55" t="s">
        <v>5667</v>
      </c>
      <c r="H79" s="55" t="s">
        <v>5668</v>
      </c>
      <c r="I79" s="55" t="s">
        <v>5729</v>
      </c>
      <c r="J79" s="55" t="s">
        <v>5189</v>
      </c>
      <c r="K79" s="55" t="s">
        <v>5730</v>
      </c>
      <c r="L79" s="55" t="s">
        <v>5731</v>
      </c>
      <c r="M79" s="55" t="s">
        <v>5732</v>
      </c>
      <c r="N79" s="55" t="s">
        <v>5190</v>
      </c>
      <c r="O79" s="55" t="s">
        <v>5191</v>
      </c>
    </row>
    <row r="80" spans="1:15" ht="15.75" x14ac:dyDescent="0.25">
      <c r="A80" s="55" t="s">
        <v>5188</v>
      </c>
      <c r="B80" s="55" t="s">
        <v>5733</v>
      </c>
      <c r="C80" s="55" t="s">
        <v>5725</v>
      </c>
      <c r="D80" s="55" t="s">
        <v>5726</v>
      </c>
      <c r="E80" s="55" t="s">
        <v>5727</v>
      </c>
      <c r="F80" s="55" t="s">
        <v>5728</v>
      </c>
      <c r="G80" s="55" t="s">
        <v>5667</v>
      </c>
      <c r="H80" s="55" t="s">
        <v>5668</v>
      </c>
      <c r="I80" s="55" t="s">
        <v>5729</v>
      </c>
      <c r="J80" s="55" t="s">
        <v>5189</v>
      </c>
      <c r="K80" s="55" t="s">
        <v>5730</v>
      </c>
      <c r="L80" s="55" t="s">
        <v>5731</v>
      </c>
      <c r="M80" s="55" t="s">
        <v>4007</v>
      </c>
      <c r="N80" s="55" t="s">
        <v>5190</v>
      </c>
      <c r="O80" s="55" t="s">
        <v>5191</v>
      </c>
    </row>
    <row r="81" spans="1:15" ht="15.75" x14ac:dyDescent="0.25">
      <c r="A81" s="55" t="s">
        <v>5188</v>
      </c>
      <c r="B81" s="55" t="s">
        <v>5738</v>
      </c>
      <c r="C81" s="55" t="s">
        <v>5604</v>
      </c>
      <c r="D81" s="55" t="s">
        <v>5605</v>
      </c>
      <c r="E81" s="55" t="s">
        <v>5606</v>
      </c>
      <c r="F81" s="55" t="s">
        <v>5607</v>
      </c>
      <c r="G81" s="55" t="s">
        <v>5608</v>
      </c>
      <c r="H81" s="55" t="s">
        <v>5609</v>
      </c>
      <c r="I81" s="55" t="s">
        <v>5610</v>
      </c>
      <c r="J81" s="55" t="s">
        <v>5189</v>
      </c>
      <c r="K81" s="55" t="s">
        <v>5611</v>
      </c>
      <c r="L81" s="55" t="s">
        <v>5612</v>
      </c>
      <c r="M81" s="55" t="s">
        <v>1451</v>
      </c>
      <c r="N81" s="55" t="s">
        <v>5190</v>
      </c>
      <c r="O81" s="55" t="s">
        <v>5191</v>
      </c>
    </row>
    <row r="82" spans="1:15" ht="15.75" x14ac:dyDescent="0.25">
      <c r="A82" s="55" t="s">
        <v>5188</v>
      </c>
      <c r="B82" s="55" t="s">
        <v>5744</v>
      </c>
      <c r="C82" s="55" t="s">
        <v>5739</v>
      </c>
      <c r="D82" s="55" t="s">
        <v>5740</v>
      </c>
      <c r="E82" s="55" t="s">
        <v>5734</v>
      </c>
      <c r="F82" s="55" t="s">
        <v>5735</v>
      </c>
      <c r="G82" s="55" t="s">
        <v>5736</v>
      </c>
      <c r="H82" s="55" t="s">
        <v>5737</v>
      </c>
      <c r="I82" s="55" t="s">
        <v>5741</v>
      </c>
      <c r="J82" s="55" t="s">
        <v>5189</v>
      </c>
      <c r="K82" s="55" t="s">
        <v>5742</v>
      </c>
      <c r="L82" s="55" t="s">
        <v>5743</v>
      </c>
      <c r="M82" s="55" t="s">
        <v>5745</v>
      </c>
      <c r="N82" s="55" t="s">
        <v>5190</v>
      </c>
      <c r="O82" s="55" t="s">
        <v>5191</v>
      </c>
    </row>
    <row r="83" spans="1:15" ht="15.75" x14ac:dyDescent="0.25">
      <c r="A83" s="55" t="s">
        <v>5188</v>
      </c>
      <c r="B83" s="55" t="s">
        <v>5746</v>
      </c>
      <c r="C83" s="55" t="s">
        <v>5747</v>
      </c>
      <c r="D83" s="55" t="s">
        <v>5748</v>
      </c>
      <c r="E83" s="55" t="s">
        <v>5749</v>
      </c>
      <c r="F83" s="55" t="s">
        <v>5750</v>
      </c>
      <c r="G83" s="55" t="s">
        <v>5229</v>
      </c>
      <c r="H83" s="55" t="s">
        <v>5230</v>
      </c>
      <c r="I83" s="55" t="s">
        <v>5751</v>
      </c>
      <c r="J83" s="55" t="s">
        <v>5189</v>
      </c>
      <c r="K83" s="55" t="s">
        <v>5752</v>
      </c>
      <c r="L83" s="55" t="s">
        <v>5753</v>
      </c>
      <c r="M83" s="55" t="s">
        <v>4569</v>
      </c>
      <c r="N83" s="55" t="s">
        <v>5192</v>
      </c>
      <c r="O83" s="55" t="s">
        <v>5191</v>
      </c>
    </row>
    <row r="84" spans="1:15" ht="15.75" x14ac:dyDescent="0.25">
      <c r="A84" s="55" t="s">
        <v>5188</v>
      </c>
      <c r="B84" s="55" t="s">
        <v>5754</v>
      </c>
      <c r="C84" s="55" t="s">
        <v>5747</v>
      </c>
      <c r="D84" s="55" t="s">
        <v>5748</v>
      </c>
      <c r="E84" s="55" t="s">
        <v>5749</v>
      </c>
      <c r="F84" s="55" t="s">
        <v>5750</v>
      </c>
      <c r="G84" s="55" t="s">
        <v>5229</v>
      </c>
      <c r="H84" s="55" t="s">
        <v>5230</v>
      </c>
      <c r="I84" s="55" t="s">
        <v>5751</v>
      </c>
      <c r="J84" s="55" t="s">
        <v>5189</v>
      </c>
      <c r="K84" s="55" t="s">
        <v>5752</v>
      </c>
      <c r="L84" s="55" t="s">
        <v>5753</v>
      </c>
      <c r="M84" s="55" t="s">
        <v>4583</v>
      </c>
      <c r="N84" s="55" t="s">
        <v>5192</v>
      </c>
      <c r="O84" s="55" t="s">
        <v>5191</v>
      </c>
    </row>
    <row r="85" spans="1:15" ht="15.75" x14ac:dyDescent="0.25">
      <c r="A85" s="55" t="s">
        <v>5188</v>
      </c>
      <c r="B85" s="55" t="s">
        <v>5755</v>
      </c>
      <c r="C85" s="55" t="s">
        <v>5625</v>
      </c>
      <c r="D85" s="55" t="s">
        <v>5626</v>
      </c>
      <c r="E85" s="55" t="s">
        <v>5627</v>
      </c>
      <c r="F85" s="55" t="s">
        <v>5628</v>
      </c>
      <c r="G85" s="55" t="s">
        <v>5629</v>
      </c>
      <c r="H85" s="55" t="s">
        <v>5630</v>
      </c>
      <c r="I85" s="55" t="s">
        <v>5631</v>
      </c>
      <c r="J85" s="55" t="s">
        <v>5189</v>
      </c>
      <c r="K85" s="55" t="s">
        <v>5632</v>
      </c>
      <c r="L85" s="55" t="s">
        <v>5633</v>
      </c>
      <c r="M85" s="55" t="s">
        <v>4944</v>
      </c>
      <c r="N85" s="55" t="s">
        <v>5192</v>
      </c>
      <c r="O85" s="55" t="s">
        <v>5191</v>
      </c>
    </row>
    <row r="86" spans="1:15" ht="15.75" x14ac:dyDescent="0.25">
      <c r="A86" s="55" t="s">
        <v>5188</v>
      </c>
      <c r="B86" s="55" t="s">
        <v>5756</v>
      </c>
      <c r="C86" s="55" t="s">
        <v>5634</v>
      </c>
      <c r="D86" s="55" t="s">
        <v>5635</v>
      </c>
      <c r="E86" s="55" t="s">
        <v>5636</v>
      </c>
      <c r="F86" s="55" t="s">
        <v>5637</v>
      </c>
      <c r="G86" s="55" t="s">
        <v>5638</v>
      </c>
      <c r="H86" s="55" t="s">
        <v>5639</v>
      </c>
      <c r="I86" s="55" t="s">
        <v>5640</v>
      </c>
      <c r="J86" s="55" t="s">
        <v>5189</v>
      </c>
      <c r="K86" s="55" t="s">
        <v>5641</v>
      </c>
      <c r="L86" s="55" t="s">
        <v>5642</v>
      </c>
      <c r="M86" s="55" t="s">
        <v>5248</v>
      </c>
      <c r="N86" s="55" t="s">
        <v>5192</v>
      </c>
      <c r="O86" s="55" t="s">
        <v>5191</v>
      </c>
    </row>
    <row r="87" spans="1:15" ht="15.75" x14ac:dyDescent="0.25">
      <c r="A87" s="55" t="s">
        <v>5188</v>
      </c>
      <c r="B87" s="55" t="s">
        <v>5757</v>
      </c>
      <c r="C87" s="55" t="s">
        <v>5634</v>
      </c>
      <c r="D87" s="55" t="s">
        <v>5635</v>
      </c>
      <c r="E87" s="55" t="s">
        <v>5636</v>
      </c>
      <c r="F87" s="55" t="s">
        <v>5637</v>
      </c>
      <c r="G87" s="55" t="s">
        <v>5638</v>
      </c>
      <c r="H87" s="55" t="s">
        <v>5639</v>
      </c>
      <c r="I87" s="55" t="s">
        <v>5640</v>
      </c>
      <c r="J87" s="55" t="s">
        <v>5189</v>
      </c>
      <c r="K87" s="55" t="s">
        <v>5641</v>
      </c>
      <c r="L87" s="55" t="s">
        <v>5642</v>
      </c>
      <c r="M87" s="55" t="s">
        <v>4926</v>
      </c>
      <c r="N87" s="55" t="s">
        <v>5192</v>
      </c>
      <c r="O87" s="55" t="s">
        <v>5191</v>
      </c>
    </row>
    <row r="88" spans="1:15" ht="15.75" x14ac:dyDescent="0.25">
      <c r="A88" s="55" t="s">
        <v>5188</v>
      </c>
      <c r="B88" s="55" t="s">
        <v>5758</v>
      </c>
      <c r="C88" s="55" t="s">
        <v>5663</v>
      </c>
      <c r="D88" s="55" t="s">
        <v>5664</v>
      </c>
      <c r="E88" s="55" t="s">
        <v>5665</v>
      </c>
      <c r="F88" s="55" t="s">
        <v>5666</v>
      </c>
      <c r="G88" s="55" t="s">
        <v>5667</v>
      </c>
      <c r="H88" s="55" t="s">
        <v>5668</v>
      </c>
      <c r="I88" s="55" t="s">
        <v>5669</v>
      </c>
      <c r="J88" s="55" t="s">
        <v>5189</v>
      </c>
      <c r="K88" s="55" t="s">
        <v>5670</v>
      </c>
      <c r="L88" s="55" t="s">
        <v>5671</v>
      </c>
      <c r="M88" s="55" t="s">
        <v>4340</v>
      </c>
      <c r="N88" s="55" t="s">
        <v>5192</v>
      </c>
      <c r="O88" s="55" t="s">
        <v>5191</v>
      </c>
    </row>
    <row r="89" spans="1:15" ht="15.75" x14ac:dyDescent="0.25">
      <c r="A89" s="55" t="s">
        <v>5188</v>
      </c>
      <c r="B89" s="55" t="s">
        <v>5759</v>
      </c>
      <c r="C89" s="55" t="s">
        <v>5663</v>
      </c>
      <c r="D89" s="55" t="s">
        <v>5664</v>
      </c>
      <c r="E89" s="55" t="s">
        <v>5665</v>
      </c>
      <c r="F89" s="55" t="s">
        <v>5666</v>
      </c>
      <c r="G89" s="55" t="s">
        <v>5667</v>
      </c>
      <c r="H89" s="55" t="s">
        <v>5668</v>
      </c>
      <c r="I89" s="55" t="s">
        <v>5669</v>
      </c>
      <c r="J89" s="55" t="s">
        <v>5189</v>
      </c>
      <c r="K89" s="55" t="s">
        <v>5670</v>
      </c>
      <c r="L89" s="55" t="s">
        <v>5671</v>
      </c>
      <c r="M89" s="55" t="s">
        <v>4746</v>
      </c>
      <c r="N89" s="55" t="s">
        <v>5192</v>
      </c>
      <c r="O89" s="55" t="s">
        <v>5191</v>
      </c>
    </row>
    <row r="90" spans="1:15" ht="15.75" x14ac:dyDescent="0.25">
      <c r="A90" s="55" t="s">
        <v>5188</v>
      </c>
      <c r="B90" s="55" t="s">
        <v>5760</v>
      </c>
      <c r="C90" s="55" t="s">
        <v>5673</v>
      </c>
      <c r="D90" s="55" t="s">
        <v>5674</v>
      </c>
      <c r="E90" s="55" t="s">
        <v>5675</v>
      </c>
      <c r="F90" s="55" t="s">
        <v>5676</v>
      </c>
      <c r="G90" s="55" t="s">
        <v>5618</v>
      </c>
      <c r="H90" s="55" t="s">
        <v>5619</v>
      </c>
      <c r="I90" s="55" t="s">
        <v>5677</v>
      </c>
      <c r="J90" s="55" t="s">
        <v>5189</v>
      </c>
      <c r="K90" s="55" t="s">
        <v>5678</v>
      </c>
      <c r="L90" s="55" t="s">
        <v>5679</v>
      </c>
      <c r="M90" s="55" t="s">
        <v>4561</v>
      </c>
      <c r="N90" s="55" t="s">
        <v>5192</v>
      </c>
      <c r="O90" s="55" t="s">
        <v>5191</v>
      </c>
    </row>
    <row r="91" spans="1:15" ht="15.75" x14ac:dyDescent="0.25">
      <c r="A91" s="55" t="s">
        <v>5188</v>
      </c>
      <c r="B91" s="55" t="s">
        <v>5761</v>
      </c>
      <c r="C91" s="55" t="s">
        <v>5673</v>
      </c>
      <c r="D91" s="55" t="s">
        <v>5674</v>
      </c>
      <c r="E91" s="55" t="s">
        <v>5675</v>
      </c>
      <c r="F91" s="55" t="s">
        <v>5676</v>
      </c>
      <c r="G91" s="55" t="s">
        <v>5618</v>
      </c>
      <c r="H91" s="55" t="s">
        <v>5619</v>
      </c>
      <c r="I91" s="55" t="s">
        <v>5677</v>
      </c>
      <c r="J91" s="55" t="s">
        <v>5189</v>
      </c>
      <c r="K91" s="55" t="s">
        <v>5678</v>
      </c>
      <c r="L91" s="55" t="s">
        <v>5679</v>
      </c>
      <c r="M91" s="55" t="s">
        <v>5231</v>
      </c>
      <c r="N91" s="55" t="s">
        <v>5192</v>
      </c>
      <c r="O91" s="55" t="s">
        <v>5191</v>
      </c>
    </row>
    <row r="92" spans="1:15" ht="15.75" x14ac:dyDescent="0.25">
      <c r="A92" s="55" t="s">
        <v>5188</v>
      </c>
      <c r="B92" s="55" t="s">
        <v>5762</v>
      </c>
      <c r="C92" s="55" t="s">
        <v>5673</v>
      </c>
      <c r="D92" s="55" t="s">
        <v>5674</v>
      </c>
      <c r="E92" s="55" t="s">
        <v>5675</v>
      </c>
      <c r="F92" s="55" t="s">
        <v>5676</v>
      </c>
      <c r="G92" s="55" t="s">
        <v>5618</v>
      </c>
      <c r="H92" s="55" t="s">
        <v>5619</v>
      </c>
      <c r="I92" s="55" t="s">
        <v>5677</v>
      </c>
      <c r="J92" s="55" t="s">
        <v>5189</v>
      </c>
      <c r="K92" s="55" t="s">
        <v>5678</v>
      </c>
      <c r="L92" s="55" t="s">
        <v>5679</v>
      </c>
      <c r="M92" s="55" t="s">
        <v>4569</v>
      </c>
      <c r="N92" s="55" t="s">
        <v>5192</v>
      </c>
      <c r="O92" s="55" t="s">
        <v>5191</v>
      </c>
    </row>
    <row r="93" spans="1:15" ht="15.75" x14ac:dyDescent="0.25">
      <c r="A93" s="55" t="s">
        <v>5188</v>
      </c>
      <c r="B93" s="55" t="s">
        <v>5763</v>
      </c>
      <c r="C93" s="55" t="s">
        <v>5673</v>
      </c>
      <c r="D93" s="55" t="s">
        <v>5674</v>
      </c>
      <c r="E93" s="55" t="s">
        <v>5675</v>
      </c>
      <c r="F93" s="55" t="s">
        <v>5676</v>
      </c>
      <c r="G93" s="55" t="s">
        <v>5618</v>
      </c>
      <c r="H93" s="55" t="s">
        <v>5619</v>
      </c>
      <c r="I93" s="55" t="s">
        <v>5677</v>
      </c>
      <c r="J93" s="55" t="s">
        <v>5189</v>
      </c>
      <c r="K93" s="55" t="s">
        <v>5678</v>
      </c>
      <c r="L93" s="55" t="s">
        <v>5679</v>
      </c>
      <c r="M93" s="55" t="s">
        <v>3551</v>
      </c>
      <c r="N93" s="55" t="s">
        <v>5192</v>
      </c>
      <c r="O93" s="55" t="s">
        <v>5191</v>
      </c>
    </row>
    <row r="94" spans="1:15" ht="15.75" x14ac:dyDescent="0.25">
      <c r="A94" s="55" t="s">
        <v>5188</v>
      </c>
      <c r="B94" s="55" t="s">
        <v>5764</v>
      </c>
      <c r="C94" s="55" t="s">
        <v>5765</v>
      </c>
      <c r="D94" s="55" t="s">
        <v>5766</v>
      </c>
      <c r="E94" s="55" t="s">
        <v>5767</v>
      </c>
      <c r="F94" s="55" t="s">
        <v>5768</v>
      </c>
      <c r="G94" s="55" t="s">
        <v>5769</v>
      </c>
      <c r="H94" s="55" t="s">
        <v>5770</v>
      </c>
      <c r="I94" s="55" t="s">
        <v>5771</v>
      </c>
      <c r="J94" s="55" t="s">
        <v>5189</v>
      </c>
      <c r="K94" s="55" t="s">
        <v>5772</v>
      </c>
      <c r="L94" s="55" t="s">
        <v>5773</v>
      </c>
      <c r="M94" s="55" t="s">
        <v>4561</v>
      </c>
      <c r="N94" s="55" t="s">
        <v>5192</v>
      </c>
      <c r="O94" s="55" t="s">
        <v>5191</v>
      </c>
    </row>
    <row r="95" spans="1:15" ht="15.75" x14ac:dyDescent="0.25">
      <c r="A95" s="55" t="s">
        <v>5188</v>
      </c>
      <c r="B95" s="55" t="s">
        <v>5774</v>
      </c>
      <c r="C95" s="55" t="s">
        <v>5765</v>
      </c>
      <c r="D95" s="55" t="s">
        <v>5766</v>
      </c>
      <c r="E95" s="55" t="s">
        <v>5767</v>
      </c>
      <c r="F95" s="55" t="s">
        <v>5768</v>
      </c>
      <c r="G95" s="55" t="s">
        <v>5769</v>
      </c>
      <c r="H95" s="55" t="s">
        <v>5770</v>
      </c>
      <c r="I95" s="55" t="s">
        <v>5771</v>
      </c>
      <c r="J95" s="55" t="s">
        <v>5189</v>
      </c>
      <c r="K95" s="55" t="s">
        <v>5772</v>
      </c>
      <c r="L95" s="55" t="s">
        <v>5773</v>
      </c>
      <c r="M95" s="55" t="s">
        <v>3551</v>
      </c>
      <c r="N95" s="55" t="s">
        <v>5192</v>
      </c>
      <c r="O95" s="55" t="s">
        <v>5191</v>
      </c>
    </row>
    <row r="96" spans="1:15" ht="15.75" x14ac:dyDescent="0.25">
      <c r="A96" s="55" t="s">
        <v>5188</v>
      </c>
      <c r="B96" s="55" t="s">
        <v>5775</v>
      </c>
      <c r="C96" s="55" t="s">
        <v>5765</v>
      </c>
      <c r="D96" s="55" t="s">
        <v>5766</v>
      </c>
      <c r="E96" s="55" t="s">
        <v>5767</v>
      </c>
      <c r="F96" s="55" t="s">
        <v>5768</v>
      </c>
      <c r="G96" s="55" t="s">
        <v>5769</v>
      </c>
      <c r="H96" s="55" t="s">
        <v>5770</v>
      </c>
      <c r="I96" s="55" t="s">
        <v>5771</v>
      </c>
      <c r="J96" s="55" t="s">
        <v>5189</v>
      </c>
      <c r="K96" s="55" t="s">
        <v>5772</v>
      </c>
      <c r="L96" s="55" t="s">
        <v>5773</v>
      </c>
      <c r="M96" s="55" t="s">
        <v>4573</v>
      </c>
      <c r="N96" s="55" t="s">
        <v>5192</v>
      </c>
      <c r="O96" s="55" t="s">
        <v>5191</v>
      </c>
    </row>
    <row r="97" spans="1:15" ht="15.75" x14ac:dyDescent="0.25">
      <c r="A97" s="55" t="s">
        <v>5188</v>
      </c>
      <c r="B97" s="55" t="s">
        <v>5776</v>
      </c>
      <c r="C97" s="55" t="s">
        <v>5704</v>
      </c>
      <c r="D97" s="55" t="s">
        <v>5705</v>
      </c>
      <c r="E97" s="55" t="s">
        <v>5706</v>
      </c>
      <c r="F97" s="55" t="s">
        <v>5707</v>
      </c>
      <c r="G97" s="55" t="s">
        <v>5708</v>
      </c>
      <c r="H97" s="55" t="s">
        <v>5709</v>
      </c>
      <c r="I97" s="55" t="s">
        <v>5710</v>
      </c>
      <c r="J97" s="55" t="s">
        <v>5189</v>
      </c>
      <c r="K97" s="55" t="s">
        <v>5711</v>
      </c>
      <c r="L97" s="55" t="s">
        <v>5712</v>
      </c>
      <c r="M97" s="55" t="s">
        <v>921</v>
      </c>
      <c r="N97" s="55" t="s">
        <v>5192</v>
      </c>
      <c r="O97" s="55" t="s">
        <v>5191</v>
      </c>
    </row>
    <row r="98" spans="1:15" ht="15.75" x14ac:dyDescent="0.25">
      <c r="A98" s="55" t="s">
        <v>5188</v>
      </c>
      <c r="B98" s="55" t="s">
        <v>5777</v>
      </c>
      <c r="C98" s="55" t="s">
        <v>5778</v>
      </c>
      <c r="D98" s="55" t="s">
        <v>5779</v>
      </c>
      <c r="E98" s="55" t="s">
        <v>5780</v>
      </c>
      <c r="F98" s="55" t="s">
        <v>5781</v>
      </c>
      <c r="G98" s="55" t="s">
        <v>5782</v>
      </c>
      <c r="H98" s="55" t="s">
        <v>5783</v>
      </c>
      <c r="I98" s="55" t="s">
        <v>5784</v>
      </c>
      <c r="J98" s="55" t="s">
        <v>5189</v>
      </c>
      <c r="K98" s="55" t="s">
        <v>5785</v>
      </c>
      <c r="L98" s="55" t="s">
        <v>5786</v>
      </c>
      <c r="M98" s="55" t="s">
        <v>5231</v>
      </c>
      <c r="N98" s="55" t="s">
        <v>5192</v>
      </c>
      <c r="O98" s="55" t="s">
        <v>5191</v>
      </c>
    </row>
    <row r="99" spans="1:15" ht="15.75" x14ac:dyDescent="0.25">
      <c r="A99" s="55" t="s">
        <v>5188</v>
      </c>
      <c r="B99" s="55" t="s">
        <v>5787</v>
      </c>
      <c r="C99" s="55" t="s">
        <v>5778</v>
      </c>
      <c r="D99" s="55" t="s">
        <v>5779</v>
      </c>
      <c r="E99" s="55" t="s">
        <v>5780</v>
      </c>
      <c r="F99" s="55" t="s">
        <v>5781</v>
      </c>
      <c r="G99" s="55" t="s">
        <v>5782</v>
      </c>
      <c r="H99" s="55" t="s">
        <v>5783</v>
      </c>
      <c r="I99" s="55" t="s">
        <v>5784</v>
      </c>
      <c r="J99" s="55" t="s">
        <v>5189</v>
      </c>
      <c r="K99" s="55" t="s">
        <v>5785</v>
      </c>
      <c r="L99" s="55" t="s">
        <v>5786</v>
      </c>
      <c r="M99" s="55" t="s">
        <v>3551</v>
      </c>
      <c r="N99" s="55" t="s">
        <v>5192</v>
      </c>
      <c r="O99" s="55" t="s">
        <v>5191</v>
      </c>
    </row>
    <row r="100" spans="1:15" ht="15.75" x14ac:dyDescent="0.25">
      <c r="A100" s="55" t="s">
        <v>5188</v>
      </c>
      <c r="B100" s="55" t="s">
        <v>5788</v>
      </c>
      <c r="C100" s="55" t="s">
        <v>5789</v>
      </c>
      <c r="D100" s="55" t="s">
        <v>5790</v>
      </c>
      <c r="E100" s="55" t="s">
        <v>5791</v>
      </c>
      <c r="F100" s="55" t="s">
        <v>5792</v>
      </c>
      <c r="G100" s="55" t="s">
        <v>5793</v>
      </c>
      <c r="H100" s="55" t="s">
        <v>5794</v>
      </c>
      <c r="I100" s="55" t="s">
        <v>5795</v>
      </c>
      <c r="J100" s="55" t="s">
        <v>5189</v>
      </c>
      <c r="K100" s="55" t="s">
        <v>5796</v>
      </c>
      <c r="L100" s="55" t="s">
        <v>5797</v>
      </c>
      <c r="M100" s="55" t="s">
        <v>4575</v>
      </c>
      <c r="N100" s="55" t="s">
        <v>5192</v>
      </c>
      <c r="O100" s="55" t="s">
        <v>5191</v>
      </c>
    </row>
    <row r="101" spans="1:15" ht="15.75" x14ac:dyDescent="0.25">
      <c r="A101" s="55" t="s">
        <v>5188</v>
      </c>
      <c r="B101" s="55" t="s">
        <v>5798</v>
      </c>
      <c r="C101" s="55" t="s">
        <v>5799</v>
      </c>
      <c r="D101" s="55" t="s">
        <v>5800</v>
      </c>
      <c r="E101" s="55" t="s">
        <v>5801</v>
      </c>
      <c r="F101" s="55" t="s">
        <v>5802</v>
      </c>
      <c r="G101" s="55" t="s">
        <v>5803</v>
      </c>
      <c r="H101" s="55" t="s">
        <v>5804</v>
      </c>
      <c r="I101" s="55" t="s">
        <v>5805</v>
      </c>
      <c r="J101" s="55" t="s">
        <v>5189</v>
      </c>
      <c r="K101" s="55" t="s">
        <v>5806</v>
      </c>
      <c r="L101" s="55" t="s">
        <v>5807</v>
      </c>
      <c r="M101" s="55" t="s">
        <v>4686</v>
      </c>
      <c r="N101" s="55" t="s">
        <v>5192</v>
      </c>
      <c r="O101" s="55" t="s">
        <v>5191</v>
      </c>
    </row>
    <row r="102" spans="1:15" ht="15.75" x14ac:dyDescent="0.25">
      <c r="A102" s="55" t="s">
        <v>5188</v>
      </c>
      <c r="B102" s="55" t="s">
        <v>7504</v>
      </c>
      <c r="C102" s="55" t="s">
        <v>7497</v>
      </c>
      <c r="D102" s="55" t="s">
        <v>7498</v>
      </c>
      <c r="E102" s="55" t="s">
        <v>7499</v>
      </c>
      <c r="F102" s="55" t="s">
        <v>7500</v>
      </c>
      <c r="G102" s="55" t="s">
        <v>5813</v>
      </c>
      <c r="H102" s="55" t="s">
        <v>5814</v>
      </c>
      <c r="I102" s="55" t="s">
        <v>7501</v>
      </c>
      <c r="J102" s="55" t="s">
        <v>5189</v>
      </c>
      <c r="K102" s="55" t="s">
        <v>7502</v>
      </c>
      <c r="L102" s="55" t="s">
        <v>7503</v>
      </c>
      <c r="M102" s="55" t="s">
        <v>4866</v>
      </c>
      <c r="N102" s="55" t="s">
        <v>5192</v>
      </c>
      <c r="O102" s="55" t="s">
        <v>5191</v>
      </c>
    </row>
    <row r="103" spans="1:15" ht="15.75" x14ac:dyDescent="0.25">
      <c r="A103" s="55" t="s">
        <v>5188</v>
      </c>
      <c r="B103" s="55" t="s">
        <v>7505</v>
      </c>
      <c r="C103" s="55" t="s">
        <v>7506</v>
      </c>
      <c r="D103" s="55" t="s">
        <v>7507</v>
      </c>
      <c r="E103" s="55" t="s">
        <v>7508</v>
      </c>
      <c r="F103" s="55" t="s">
        <v>7509</v>
      </c>
      <c r="G103" s="55" t="s">
        <v>6056</v>
      </c>
      <c r="H103" s="55" t="s">
        <v>6057</v>
      </c>
      <c r="I103" s="55" t="s">
        <v>7510</v>
      </c>
      <c r="J103" s="55" t="s">
        <v>5189</v>
      </c>
      <c r="K103" s="55" t="s">
        <v>7511</v>
      </c>
      <c r="L103" s="55" t="s">
        <v>7512</v>
      </c>
      <c r="M103" s="55" t="s">
        <v>23</v>
      </c>
      <c r="N103" s="55" t="s">
        <v>5192</v>
      </c>
      <c r="O103" s="55" t="s">
        <v>5191</v>
      </c>
    </row>
    <row r="104" spans="1:15" ht="15.75" x14ac:dyDescent="0.25">
      <c r="A104" s="55" t="s">
        <v>5188</v>
      </c>
      <c r="B104" s="55" t="s">
        <v>7513</v>
      </c>
      <c r="C104" s="55" t="s">
        <v>7506</v>
      </c>
      <c r="D104" s="55" t="s">
        <v>7507</v>
      </c>
      <c r="E104" s="55" t="s">
        <v>7508</v>
      </c>
      <c r="F104" s="55" t="s">
        <v>7509</v>
      </c>
      <c r="G104" s="55" t="s">
        <v>6056</v>
      </c>
      <c r="H104" s="55" t="s">
        <v>6057</v>
      </c>
      <c r="I104" s="55" t="s">
        <v>7510</v>
      </c>
      <c r="J104" s="55" t="s">
        <v>5189</v>
      </c>
      <c r="K104" s="55" t="s">
        <v>7511</v>
      </c>
      <c r="L104" s="55" t="s">
        <v>7512</v>
      </c>
      <c r="M104" s="55" t="s">
        <v>4511</v>
      </c>
      <c r="N104" s="55" t="s">
        <v>5192</v>
      </c>
      <c r="O104" s="55" t="s">
        <v>5191</v>
      </c>
    </row>
    <row r="105" spans="1:15" ht="15.75" x14ac:dyDescent="0.25">
      <c r="A105" s="55" t="s">
        <v>5188</v>
      </c>
      <c r="B105" s="55" t="s">
        <v>7514</v>
      </c>
      <c r="C105" s="55" t="s">
        <v>7515</v>
      </c>
      <c r="D105" s="55" t="s">
        <v>7516</v>
      </c>
      <c r="E105" s="55" t="s">
        <v>5194</v>
      </c>
      <c r="F105" s="55" t="s">
        <v>5195</v>
      </c>
      <c r="G105" s="55" t="s">
        <v>5608</v>
      </c>
      <c r="H105" s="55" t="s">
        <v>5609</v>
      </c>
      <c r="I105" s="55" t="s">
        <v>7517</v>
      </c>
      <c r="J105" s="55" t="s">
        <v>5189</v>
      </c>
      <c r="K105" s="55" t="s">
        <v>7518</v>
      </c>
      <c r="L105" s="55" t="s">
        <v>7519</v>
      </c>
      <c r="M105" s="55" t="s">
        <v>5208</v>
      </c>
      <c r="N105" s="55" t="s">
        <v>5192</v>
      </c>
      <c r="O105" s="55" t="s">
        <v>5191</v>
      </c>
    </row>
    <row r="106" spans="1:15" ht="15.75" x14ac:dyDescent="0.25">
      <c r="A106" s="55" t="s">
        <v>5188</v>
      </c>
      <c r="B106" s="55" t="s">
        <v>7520</v>
      </c>
      <c r="C106" s="55" t="s">
        <v>7515</v>
      </c>
      <c r="D106" s="55" t="s">
        <v>7516</v>
      </c>
      <c r="E106" s="55" t="s">
        <v>5194</v>
      </c>
      <c r="F106" s="55" t="s">
        <v>5195</v>
      </c>
      <c r="G106" s="55" t="s">
        <v>5608</v>
      </c>
      <c r="H106" s="55" t="s">
        <v>5609</v>
      </c>
      <c r="I106" s="55" t="s">
        <v>7517</v>
      </c>
      <c r="J106" s="55" t="s">
        <v>5189</v>
      </c>
      <c r="K106" s="55" t="s">
        <v>7518</v>
      </c>
      <c r="L106" s="55" t="s">
        <v>7519</v>
      </c>
      <c r="M106" s="55" t="s">
        <v>2872</v>
      </c>
      <c r="N106" s="55" t="s">
        <v>5192</v>
      </c>
      <c r="O106" s="55" t="s">
        <v>5191</v>
      </c>
    </row>
    <row r="107" spans="1:15" ht="15.75" x14ac:dyDescent="0.25">
      <c r="A107" s="55" t="s">
        <v>5188</v>
      </c>
      <c r="B107" s="55" t="s">
        <v>7521</v>
      </c>
      <c r="C107" s="55" t="s">
        <v>7522</v>
      </c>
      <c r="D107" s="55" t="s">
        <v>7516</v>
      </c>
      <c r="E107" s="55" t="s">
        <v>5194</v>
      </c>
      <c r="F107" s="55" t="s">
        <v>5195</v>
      </c>
      <c r="G107" s="55" t="s">
        <v>5608</v>
      </c>
      <c r="H107" s="55" t="s">
        <v>5609</v>
      </c>
      <c r="I107" s="55" t="s">
        <v>7523</v>
      </c>
      <c r="J107" s="55" t="s">
        <v>5189</v>
      </c>
      <c r="K107" s="55" t="s">
        <v>7524</v>
      </c>
      <c r="L107" s="55" t="s">
        <v>7525</v>
      </c>
      <c r="M107" s="55" t="s">
        <v>4535</v>
      </c>
      <c r="N107" s="55" t="s">
        <v>5192</v>
      </c>
      <c r="O107" s="55" t="s">
        <v>5191</v>
      </c>
    </row>
    <row r="108" spans="1:15" ht="15.75" x14ac:dyDescent="0.25">
      <c r="A108" s="55" t="s">
        <v>5188</v>
      </c>
      <c r="B108" s="55" t="s">
        <v>7526</v>
      </c>
      <c r="C108" s="55" t="s">
        <v>7527</v>
      </c>
      <c r="D108" s="55" t="s">
        <v>7528</v>
      </c>
      <c r="E108" s="55" t="s">
        <v>7529</v>
      </c>
      <c r="F108" s="55" t="s">
        <v>7530</v>
      </c>
      <c r="G108" s="55" t="s">
        <v>6095</v>
      </c>
      <c r="H108" s="55" t="s">
        <v>6096</v>
      </c>
      <c r="I108" s="55" t="s">
        <v>7531</v>
      </c>
      <c r="J108" s="55" t="s">
        <v>5189</v>
      </c>
      <c r="K108" s="55" t="s">
        <v>7532</v>
      </c>
      <c r="L108" s="55" t="s">
        <v>7533</v>
      </c>
      <c r="M108" s="55" t="s">
        <v>5096</v>
      </c>
      <c r="N108" s="55" t="s">
        <v>5192</v>
      </c>
      <c r="O108" s="55" t="s">
        <v>5191</v>
      </c>
    </row>
    <row r="109" spans="1:15" ht="15.75" x14ac:dyDescent="0.25">
      <c r="A109" s="55" t="s">
        <v>5188</v>
      </c>
      <c r="B109" s="55" t="s">
        <v>7534</v>
      </c>
      <c r="C109" s="55" t="s">
        <v>7535</v>
      </c>
      <c r="D109" s="55" t="s">
        <v>7536</v>
      </c>
      <c r="E109" s="55" t="s">
        <v>7537</v>
      </c>
      <c r="F109" s="55" t="s">
        <v>7538</v>
      </c>
      <c r="G109" s="55" t="s">
        <v>7539</v>
      </c>
      <c r="H109" s="55" t="s">
        <v>7540</v>
      </c>
      <c r="I109" s="55" t="s">
        <v>7541</v>
      </c>
      <c r="J109" s="55" t="s">
        <v>5189</v>
      </c>
      <c r="K109" s="55" t="s">
        <v>7542</v>
      </c>
      <c r="L109" s="55" t="s">
        <v>7543</v>
      </c>
      <c r="M109" s="55" t="s">
        <v>2872</v>
      </c>
      <c r="N109" s="55" t="s">
        <v>5192</v>
      </c>
      <c r="O109" s="55" t="s">
        <v>5191</v>
      </c>
    </row>
    <row r="110" spans="1:15" ht="15.75" x14ac:dyDescent="0.25">
      <c r="A110" s="55" t="s">
        <v>5188</v>
      </c>
      <c r="B110" s="55" t="s">
        <v>7544</v>
      </c>
      <c r="C110" s="55" t="s">
        <v>7535</v>
      </c>
      <c r="D110" s="55" t="s">
        <v>7536</v>
      </c>
      <c r="E110" s="55" t="s">
        <v>7537</v>
      </c>
      <c r="F110" s="55" t="s">
        <v>7538</v>
      </c>
      <c r="G110" s="55" t="s">
        <v>7539</v>
      </c>
      <c r="H110" s="55" t="s">
        <v>7540</v>
      </c>
      <c r="I110" s="55" t="s">
        <v>7541</v>
      </c>
      <c r="J110" s="55" t="s">
        <v>5189</v>
      </c>
      <c r="K110" s="55" t="s">
        <v>7542</v>
      </c>
      <c r="L110" s="55" t="s">
        <v>7543</v>
      </c>
      <c r="M110" s="55" t="s">
        <v>3551</v>
      </c>
      <c r="N110" s="55" t="s">
        <v>5192</v>
      </c>
      <c r="O110" s="55" t="s">
        <v>5191</v>
      </c>
    </row>
    <row r="111" spans="1:15" ht="15.75" x14ac:dyDescent="0.25">
      <c r="A111" s="55" t="s">
        <v>5188</v>
      </c>
      <c r="B111" s="55" t="s">
        <v>7545</v>
      </c>
      <c r="C111" s="55" t="s">
        <v>7546</v>
      </c>
      <c r="D111" s="55" t="s">
        <v>7547</v>
      </c>
      <c r="E111" s="55" t="s">
        <v>7548</v>
      </c>
      <c r="F111" s="55" t="s">
        <v>7549</v>
      </c>
      <c r="G111" s="55" t="s">
        <v>7539</v>
      </c>
      <c r="H111" s="55" t="s">
        <v>7540</v>
      </c>
      <c r="I111" s="55" t="s">
        <v>7550</v>
      </c>
      <c r="J111" s="55" t="s">
        <v>5189</v>
      </c>
      <c r="K111" s="55" t="s">
        <v>7551</v>
      </c>
      <c r="L111" s="55" t="s">
        <v>7552</v>
      </c>
      <c r="M111" s="55" t="s">
        <v>4754</v>
      </c>
      <c r="N111" s="55" t="s">
        <v>5192</v>
      </c>
      <c r="O111" s="55" t="s">
        <v>5191</v>
      </c>
    </row>
    <row r="112" spans="1:15" ht="15.75" x14ac:dyDescent="0.25">
      <c r="A112" s="55" t="s">
        <v>5188</v>
      </c>
      <c r="B112" s="55" t="s">
        <v>7553</v>
      </c>
      <c r="C112" s="55" t="s">
        <v>7546</v>
      </c>
      <c r="D112" s="55" t="s">
        <v>7547</v>
      </c>
      <c r="E112" s="55" t="s">
        <v>7548</v>
      </c>
      <c r="F112" s="55" t="s">
        <v>7549</v>
      </c>
      <c r="G112" s="55" t="s">
        <v>7539</v>
      </c>
      <c r="H112" s="55" t="s">
        <v>7540</v>
      </c>
      <c r="I112" s="55" t="s">
        <v>7550</v>
      </c>
      <c r="J112" s="55" t="s">
        <v>5189</v>
      </c>
      <c r="K112" s="55" t="s">
        <v>7551</v>
      </c>
      <c r="L112" s="55" t="s">
        <v>7552</v>
      </c>
      <c r="M112" s="55" t="s">
        <v>965</v>
      </c>
      <c r="N112" s="55" t="s">
        <v>5192</v>
      </c>
      <c r="O112" s="55" t="s">
        <v>5191</v>
      </c>
    </row>
    <row r="113" spans="1:15" ht="15.75" x14ac:dyDescent="0.25">
      <c r="A113" s="55" t="s">
        <v>5188</v>
      </c>
      <c r="B113" s="55" t="s">
        <v>7554</v>
      </c>
      <c r="C113" s="55" t="s">
        <v>7555</v>
      </c>
      <c r="D113" s="55" t="s">
        <v>7556</v>
      </c>
      <c r="E113" s="55" t="s">
        <v>7557</v>
      </c>
      <c r="F113" s="55" t="s">
        <v>7558</v>
      </c>
      <c r="G113" s="55" t="s">
        <v>7559</v>
      </c>
      <c r="H113" s="55" t="s">
        <v>7560</v>
      </c>
      <c r="I113" s="55" t="s">
        <v>7561</v>
      </c>
      <c r="J113" s="55" t="s">
        <v>5189</v>
      </c>
      <c r="K113" s="55" t="s">
        <v>7562</v>
      </c>
      <c r="L113" s="55" t="s">
        <v>7563</v>
      </c>
      <c r="M113" s="55" t="s">
        <v>5248</v>
      </c>
      <c r="N113" s="55" t="s">
        <v>5192</v>
      </c>
      <c r="O113" s="55" t="s">
        <v>5191</v>
      </c>
    </row>
    <row r="114" spans="1:15" ht="15.75" x14ac:dyDescent="0.25">
      <c r="A114" s="55" t="s">
        <v>5188</v>
      </c>
      <c r="B114" s="55" t="s">
        <v>7564</v>
      </c>
      <c r="C114" s="55" t="s">
        <v>7565</v>
      </c>
      <c r="D114" s="55" t="s">
        <v>7566</v>
      </c>
      <c r="E114" s="55" t="s">
        <v>7567</v>
      </c>
      <c r="F114" s="55" t="s">
        <v>7568</v>
      </c>
      <c r="G114" s="55" t="s">
        <v>7569</v>
      </c>
      <c r="H114" s="55" t="s">
        <v>7570</v>
      </c>
      <c r="I114" s="55" t="s">
        <v>7571</v>
      </c>
      <c r="J114" s="55" t="s">
        <v>5189</v>
      </c>
      <c r="K114" s="55" t="s">
        <v>7572</v>
      </c>
      <c r="L114" s="55" t="s">
        <v>7573</v>
      </c>
      <c r="M114" s="55" t="s">
        <v>2872</v>
      </c>
      <c r="N114" s="55" t="s">
        <v>5192</v>
      </c>
      <c r="O114" s="55" t="s">
        <v>5191</v>
      </c>
    </row>
    <row r="115" spans="1:15" ht="15.75" x14ac:dyDescent="0.25">
      <c r="A115" s="55" t="s">
        <v>5188</v>
      </c>
      <c r="B115" s="55" t="s">
        <v>7574</v>
      </c>
      <c r="C115" s="55" t="s">
        <v>7575</v>
      </c>
      <c r="D115" s="55" t="s">
        <v>7576</v>
      </c>
      <c r="E115" s="55" t="s">
        <v>7577</v>
      </c>
      <c r="F115" s="55" t="s">
        <v>7578</v>
      </c>
      <c r="G115" s="55" t="s">
        <v>7579</v>
      </c>
      <c r="H115" s="55" t="s">
        <v>7580</v>
      </c>
      <c r="I115" s="55" t="s">
        <v>7581</v>
      </c>
      <c r="J115" s="55" t="s">
        <v>5189</v>
      </c>
      <c r="K115" s="55" t="s">
        <v>7582</v>
      </c>
      <c r="L115" s="55" t="s">
        <v>7583</v>
      </c>
      <c r="M115" s="55" t="s">
        <v>2872</v>
      </c>
      <c r="N115" s="55" t="s">
        <v>5192</v>
      </c>
      <c r="O115" s="55" t="s">
        <v>5191</v>
      </c>
    </row>
    <row r="116" spans="1:15" ht="15.75" x14ac:dyDescent="0.25">
      <c r="A116" s="55" t="s">
        <v>5188</v>
      </c>
      <c r="B116" s="55" t="s">
        <v>7584</v>
      </c>
      <c r="C116" s="55" t="s">
        <v>7575</v>
      </c>
      <c r="D116" s="55" t="s">
        <v>7576</v>
      </c>
      <c r="E116" s="55" t="s">
        <v>7577</v>
      </c>
      <c r="F116" s="55" t="s">
        <v>7578</v>
      </c>
      <c r="G116" s="55" t="s">
        <v>7579</v>
      </c>
      <c r="H116" s="55" t="s">
        <v>7580</v>
      </c>
      <c r="I116" s="55" t="s">
        <v>7581</v>
      </c>
      <c r="J116" s="55" t="s">
        <v>5189</v>
      </c>
      <c r="K116" s="55" t="s">
        <v>7582</v>
      </c>
      <c r="L116" s="55" t="s">
        <v>7583</v>
      </c>
      <c r="M116" s="55" t="s">
        <v>4567</v>
      </c>
      <c r="N116" s="55" t="s">
        <v>5192</v>
      </c>
      <c r="O116" s="55" t="s">
        <v>5191</v>
      </c>
    </row>
    <row r="117" spans="1:15" ht="15.75" x14ac:dyDescent="0.25">
      <c r="A117" s="55" t="s">
        <v>5188</v>
      </c>
      <c r="B117" s="55" t="s">
        <v>7585</v>
      </c>
      <c r="C117" s="55" t="s">
        <v>7575</v>
      </c>
      <c r="D117" s="55" t="s">
        <v>7576</v>
      </c>
      <c r="E117" s="55" t="s">
        <v>7577</v>
      </c>
      <c r="F117" s="55" t="s">
        <v>7578</v>
      </c>
      <c r="G117" s="55" t="s">
        <v>7579</v>
      </c>
      <c r="H117" s="55" t="s">
        <v>7580</v>
      </c>
      <c r="I117" s="55" t="s">
        <v>7581</v>
      </c>
      <c r="J117" s="55" t="s">
        <v>5189</v>
      </c>
      <c r="K117" s="55" t="s">
        <v>7582</v>
      </c>
      <c r="L117" s="55" t="s">
        <v>7583</v>
      </c>
      <c r="M117" s="55" t="s">
        <v>3551</v>
      </c>
      <c r="N117" s="55" t="s">
        <v>5192</v>
      </c>
      <c r="O117" s="55" t="s">
        <v>5191</v>
      </c>
    </row>
    <row r="118" spans="1:15" ht="15.75" x14ac:dyDescent="0.25">
      <c r="A118" s="55" t="s">
        <v>5188</v>
      </c>
      <c r="B118" s="55" t="s">
        <v>7586</v>
      </c>
      <c r="C118" s="55" t="s">
        <v>7587</v>
      </c>
      <c r="D118" s="55" t="s">
        <v>7588</v>
      </c>
      <c r="E118" s="55" t="s">
        <v>7589</v>
      </c>
      <c r="F118" s="55" t="s">
        <v>7590</v>
      </c>
      <c r="G118" s="55" t="s">
        <v>5200</v>
      </c>
      <c r="H118" s="55" t="s">
        <v>5201</v>
      </c>
      <c r="I118" s="55" t="s">
        <v>7591</v>
      </c>
      <c r="J118" s="55" t="s">
        <v>5189</v>
      </c>
      <c r="K118" s="55" t="s">
        <v>7592</v>
      </c>
      <c r="L118" s="55" t="s">
        <v>7593</v>
      </c>
      <c r="M118" s="55" t="s">
        <v>5316</v>
      </c>
      <c r="N118" s="55" t="s">
        <v>5192</v>
      </c>
      <c r="O118" s="55" t="s">
        <v>5191</v>
      </c>
    </row>
    <row r="119" spans="1:15" ht="15.75" x14ac:dyDescent="0.25">
      <c r="A119" s="55" t="s">
        <v>5188</v>
      </c>
      <c r="B119" s="55" t="s">
        <v>7594</v>
      </c>
      <c r="C119" s="55" t="s">
        <v>7595</v>
      </c>
      <c r="D119" s="55" t="s">
        <v>7596</v>
      </c>
      <c r="E119" s="55" t="s">
        <v>7597</v>
      </c>
      <c r="F119" s="55" t="s">
        <v>7598</v>
      </c>
      <c r="G119" s="55" t="s">
        <v>6118</v>
      </c>
      <c r="H119" s="55" t="s">
        <v>6119</v>
      </c>
      <c r="I119" s="55" t="s">
        <v>7599</v>
      </c>
      <c r="J119" s="55" t="s">
        <v>5189</v>
      </c>
      <c r="K119" s="55" t="s">
        <v>7600</v>
      </c>
      <c r="L119" s="55" t="s">
        <v>7601</v>
      </c>
      <c r="M119" s="55" t="s">
        <v>5193</v>
      </c>
      <c r="N119" s="55" t="s">
        <v>5192</v>
      </c>
      <c r="O119" s="55" t="s">
        <v>5191</v>
      </c>
    </row>
    <row r="120" spans="1:15" ht="15.75" x14ac:dyDescent="0.25">
      <c r="A120" s="55" t="s">
        <v>5188</v>
      </c>
      <c r="B120" s="55" t="s">
        <v>6320</v>
      </c>
      <c r="C120" s="55" t="s">
        <v>6131</v>
      </c>
      <c r="D120" s="55" t="s">
        <v>6132</v>
      </c>
      <c r="E120" s="55" t="s">
        <v>6133</v>
      </c>
      <c r="F120" s="55" t="s">
        <v>6134</v>
      </c>
      <c r="G120" s="55" t="s">
        <v>6135</v>
      </c>
      <c r="H120" s="55" t="s">
        <v>6136</v>
      </c>
      <c r="I120" s="55" t="s">
        <v>6137</v>
      </c>
      <c r="J120" s="55" t="s">
        <v>5189</v>
      </c>
      <c r="K120" s="55" t="s">
        <v>6138</v>
      </c>
      <c r="L120" s="55" t="s">
        <v>6139</v>
      </c>
      <c r="M120" s="55" t="s">
        <v>4503</v>
      </c>
      <c r="N120" s="55" t="s">
        <v>5192</v>
      </c>
      <c r="O120" s="55" t="s">
        <v>5191</v>
      </c>
    </row>
    <row r="121" spans="1:15" ht="15.75" x14ac:dyDescent="0.25">
      <c r="A121" s="55" t="s">
        <v>5188</v>
      </c>
      <c r="B121" s="55" t="s">
        <v>6321</v>
      </c>
      <c r="C121" s="55" t="s">
        <v>6143</v>
      </c>
      <c r="D121" s="55" t="s">
        <v>6144</v>
      </c>
      <c r="E121" s="55" t="s">
        <v>6145</v>
      </c>
      <c r="F121" s="55" t="s">
        <v>6146</v>
      </c>
      <c r="G121" s="55" t="s">
        <v>5361</v>
      </c>
      <c r="H121" s="55" t="s">
        <v>5362</v>
      </c>
      <c r="I121" s="55" t="s">
        <v>6147</v>
      </c>
      <c r="J121" s="55" t="s">
        <v>5189</v>
      </c>
      <c r="K121" s="55" t="s">
        <v>6148</v>
      </c>
      <c r="L121" s="55" t="s">
        <v>6149</v>
      </c>
      <c r="M121" s="55" t="s">
        <v>972</v>
      </c>
      <c r="N121" s="55" t="s">
        <v>5192</v>
      </c>
      <c r="O121" s="55" t="s">
        <v>5191</v>
      </c>
    </row>
    <row r="122" spans="1:15" ht="15.75" x14ac:dyDescent="0.25">
      <c r="A122" s="55" t="s">
        <v>5188</v>
      </c>
      <c r="B122" s="55" t="s">
        <v>6322</v>
      </c>
      <c r="C122" s="55" t="s">
        <v>6160</v>
      </c>
      <c r="D122" s="55" t="s">
        <v>6161</v>
      </c>
      <c r="E122" s="55" t="s">
        <v>6162</v>
      </c>
      <c r="F122" s="55" t="s">
        <v>6163</v>
      </c>
      <c r="G122" s="55" t="s">
        <v>5361</v>
      </c>
      <c r="H122" s="55" t="s">
        <v>5362</v>
      </c>
      <c r="I122" s="55" t="s">
        <v>6164</v>
      </c>
      <c r="J122" s="55" t="s">
        <v>5189</v>
      </c>
      <c r="K122" s="55" t="s">
        <v>6165</v>
      </c>
      <c r="L122" s="55" t="s">
        <v>6166</v>
      </c>
      <c r="M122" s="55" t="s">
        <v>4944</v>
      </c>
      <c r="N122" s="55" t="s">
        <v>5192</v>
      </c>
      <c r="O122" s="55" t="s">
        <v>5191</v>
      </c>
    </row>
    <row r="123" spans="1:15" ht="15.75" x14ac:dyDescent="0.25">
      <c r="A123" s="55" t="s">
        <v>5188</v>
      </c>
      <c r="B123" s="55" t="s">
        <v>6323</v>
      </c>
      <c r="C123" s="55" t="s">
        <v>6167</v>
      </c>
      <c r="D123" s="55" t="s">
        <v>6168</v>
      </c>
      <c r="E123" s="55" t="s">
        <v>6162</v>
      </c>
      <c r="F123" s="55" t="s">
        <v>6163</v>
      </c>
      <c r="G123" s="55" t="s">
        <v>5361</v>
      </c>
      <c r="H123" s="55" t="s">
        <v>5362</v>
      </c>
      <c r="I123" s="55" t="s">
        <v>6169</v>
      </c>
      <c r="J123" s="55" t="s">
        <v>5189</v>
      </c>
      <c r="K123" s="55" t="s">
        <v>6170</v>
      </c>
      <c r="L123" s="55" t="s">
        <v>6171</v>
      </c>
      <c r="M123" s="55" t="s">
        <v>4944</v>
      </c>
      <c r="N123" s="55" t="s">
        <v>5192</v>
      </c>
      <c r="O123" s="55" t="s">
        <v>5191</v>
      </c>
    </row>
    <row r="124" spans="1:15" ht="15.75" x14ac:dyDescent="0.25">
      <c r="A124" s="55" t="s">
        <v>5188</v>
      </c>
      <c r="B124" s="55" t="s">
        <v>6324</v>
      </c>
      <c r="C124" s="55" t="s">
        <v>6325</v>
      </c>
      <c r="D124" s="55" t="s">
        <v>6326</v>
      </c>
      <c r="E124" s="55" t="s">
        <v>6162</v>
      </c>
      <c r="F124" s="55" t="s">
        <v>6163</v>
      </c>
      <c r="G124" s="55" t="s">
        <v>5361</v>
      </c>
      <c r="H124" s="55" t="s">
        <v>5362</v>
      </c>
      <c r="I124" s="55" t="s">
        <v>6327</v>
      </c>
      <c r="J124" s="55" t="s">
        <v>5189</v>
      </c>
      <c r="K124" s="55" t="s">
        <v>6328</v>
      </c>
      <c r="L124" s="55" t="s">
        <v>6329</v>
      </c>
      <c r="M124" s="55" t="s">
        <v>4944</v>
      </c>
      <c r="N124" s="55" t="s">
        <v>5192</v>
      </c>
      <c r="O124" s="55" t="s">
        <v>5191</v>
      </c>
    </row>
    <row r="125" spans="1:15" ht="15.75" x14ac:dyDescent="0.25">
      <c r="A125" s="55" t="s">
        <v>5188</v>
      </c>
      <c r="B125" s="55" t="s">
        <v>6330</v>
      </c>
      <c r="C125" s="55" t="s">
        <v>6331</v>
      </c>
      <c r="D125" s="55" t="s">
        <v>6332</v>
      </c>
      <c r="E125" s="55" t="s">
        <v>6150</v>
      </c>
      <c r="F125" s="55" t="s">
        <v>6151</v>
      </c>
      <c r="G125" s="55" t="s">
        <v>6152</v>
      </c>
      <c r="H125" s="55" t="s">
        <v>6153</v>
      </c>
      <c r="I125" s="55" t="s">
        <v>6333</v>
      </c>
      <c r="J125" s="55" t="s">
        <v>5189</v>
      </c>
      <c r="K125" s="55" t="s">
        <v>6334</v>
      </c>
      <c r="L125" s="55" t="s">
        <v>6335</v>
      </c>
      <c r="M125" s="55" t="s">
        <v>4503</v>
      </c>
      <c r="N125" s="55" t="s">
        <v>5192</v>
      </c>
      <c r="O125" s="55" t="s">
        <v>5191</v>
      </c>
    </row>
    <row r="126" spans="1:15" ht="15.75" x14ac:dyDescent="0.25">
      <c r="A126" s="55" t="s">
        <v>5188</v>
      </c>
      <c r="B126" s="55" t="s">
        <v>6336</v>
      </c>
      <c r="C126" s="55" t="s">
        <v>6194</v>
      </c>
      <c r="D126" s="55" t="s">
        <v>6195</v>
      </c>
      <c r="E126" s="55" t="s">
        <v>6162</v>
      </c>
      <c r="F126" s="55" t="s">
        <v>6163</v>
      </c>
      <c r="G126" s="55" t="s">
        <v>5361</v>
      </c>
      <c r="H126" s="55" t="s">
        <v>5362</v>
      </c>
      <c r="I126" s="55" t="s">
        <v>6196</v>
      </c>
      <c r="J126" s="55" t="s">
        <v>5189</v>
      </c>
      <c r="K126" s="55" t="s">
        <v>6197</v>
      </c>
      <c r="L126" s="55" t="s">
        <v>6198</v>
      </c>
      <c r="M126" s="55" t="s">
        <v>4286</v>
      </c>
      <c r="N126" s="55" t="s">
        <v>5192</v>
      </c>
      <c r="O126" s="55" t="s">
        <v>5191</v>
      </c>
    </row>
    <row r="127" spans="1:15" ht="15.75" x14ac:dyDescent="0.25">
      <c r="A127" s="55" t="s">
        <v>5188</v>
      </c>
      <c r="B127" s="55" t="s">
        <v>5808</v>
      </c>
      <c r="C127" s="55" t="s">
        <v>5809</v>
      </c>
      <c r="D127" s="55" t="s">
        <v>5810</v>
      </c>
      <c r="E127" s="55" t="s">
        <v>5811</v>
      </c>
      <c r="F127" s="55" t="s">
        <v>5812</v>
      </c>
      <c r="G127" s="55" t="s">
        <v>5813</v>
      </c>
      <c r="H127" s="55" t="s">
        <v>5814</v>
      </c>
      <c r="I127" s="55" t="s">
        <v>5815</v>
      </c>
      <c r="J127" s="55" t="s">
        <v>5189</v>
      </c>
      <c r="K127" s="55" t="s">
        <v>5816</v>
      </c>
      <c r="L127" s="55" t="s">
        <v>5817</v>
      </c>
      <c r="M127" s="55" t="s">
        <v>4752</v>
      </c>
      <c r="N127" s="55" t="s">
        <v>5192</v>
      </c>
      <c r="O127" s="55" t="s">
        <v>5191</v>
      </c>
    </row>
    <row r="128" spans="1:15" ht="15.75" x14ac:dyDescent="0.25">
      <c r="A128" s="55" t="s">
        <v>5188</v>
      </c>
      <c r="B128" s="55" t="s">
        <v>5818</v>
      </c>
      <c r="C128" s="55" t="s">
        <v>5809</v>
      </c>
      <c r="D128" s="55" t="s">
        <v>5810</v>
      </c>
      <c r="E128" s="55" t="s">
        <v>5811</v>
      </c>
      <c r="F128" s="55" t="s">
        <v>5812</v>
      </c>
      <c r="G128" s="55" t="s">
        <v>5813</v>
      </c>
      <c r="H128" s="55" t="s">
        <v>5814</v>
      </c>
      <c r="I128" s="55" t="s">
        <v>5815</v>
      </c>
      <c r="J128" s="55" t="s">
        <v>5189</v>
      </c>
      <c r="K128" s="55" t="s">
        <v>5816</v>
      </c>
      <c r="L128" s="55" t="s">
        <v>5817</v>
      </c>
      <c r="M128" s="55" t="s">
        <v>5208</v>
      </c>
      <c r="N128" s="55" t="s">
        <v>5192</v>
      </c>
      <c r="O128" s="55" t="s">
        <v>5191</v>
      </c>
    </row>
    <row r="129" spans="1:15" ht="15.75" x14ac:dyDescent="0.25">
      <c r="A129" s="55" t="s">
        <v>5188</v>
      </c>
      <c r="B129" s="55" t="s">
        <v>5819</v>
      </c>
      <c r="C129" s="55" t="s">
        <v>5820</v>
      </c>
      <c r="D129" s="55" t="s">
        <v>5821</v>
      </c>
      <c r="E129" s="55" t="s">
        <v>5749</v>
      </c>
      <c r="F129" s="55" t="s">
        <v>5750</v>
      </c>
      <c r="G129" s="55" t="s">
        <v>5229</v>
      </c>
      <c r="H129" s="55" t="s">
        <v>5230</v>
      </c>
      <c r="I129" s="55" t="s">
        <v>5822</v>
      </c>
      <c r="J129" s="55" t="s">
        <v>5189</v>
      </c>
      <c r="K129" s="55" t="s">
        <v>5823</v>
      </c>
      <c r="L129" s="55" t="s">
        <v>5824</v>
      </c>
      <c r="M129" s="55" t="s">
        <v>4583</v>
      </c>
      <c r="N129" s="55" t="s">
        <v>5192</v>
      </c>
      <c r="O129" s="55" t="s">
        <v>5191</v>
      </c>
    </row>
    <row r="130" spans="1:15" ht="15.75" x14ac:dyDescent="0.25">
      <c r="A130" s="55" t="s">
        <v>5188</v>
      </c>
      <c r="B130" s="55" t="s">
        <v>5825</v>
      </c>
      <c r="C130" s="55" t="s">
        <v>5820</v>
      </c>
      <c r="D130" s="55" t="s">
        <v>5821</v>
      </c>
      <c r="E130" s="55" t="s">
        <v>5749</v>
      </c>
      <c r="F130" s="55" t="s">
        <v>5750</v>
      </c>
      <c r="G130" s="55" t="s">
        <v>5229</v>
      </c>
      <c r="H130" s="55" t="s">
        <v>5230</v>
      </c>
      <c r="I130" s="55" t="s">
        <v>5822</v>
      </c>
      <c r="J130" s="55" t="s">
        <v>5189</v>
      </c>
      <c r="K130" s="55" t="s">
        <v>5823</v>
      </c>
      <c r="L130" s="55" t="s">
        <v>5824</v>
      </c>
      <c r="M130" s="55" t="s">
        <v>4569</v>
      </c>
      <c r="N130" s="55" t="s">
        <v>5192</v>
      </c>
      <c r="O130" s="55" t="s">
        <v>5191</v>
      </c>
    </row>
    <row r="131" spans="1:15" ht="15.75" x14ac:dyDescent="0.25">
      <c r="A131" s="55" t="s">
        <v>5188</v>
      </c>
      <c r="B131" s="55" t="s">
        <v>5826</v>
      </c>
      <c r="C131" s="55" t="s">
        <v>5827</v>
      </c>
      <c r="D131" s="55" t="s">
        <v>5828</v>
      </c>
      <c r="E131" s="55" t="s">
        <v>5829</v>
      </c>
      <c r="F131" s="55" t="s">
        <v>5830</v>
      </c>
      <c r="G131" s="55" t="s">
        <v>5200</v>
      </c>
      <c r="H131" s="55" t="s">
        <v>5201</v>
      </c>
      <c r="I131" s="55" t="s">
        <v>5831</v>
      </c>
      <c r="J131" s="55" t="s">
        <v>5189</v>
      </c>
      <c r="K131" s="55" t="s">
        <v>5832</v>
      </c>
      <c r="L131" s="55" t="s">
        <v>5833</v>
      </c>
      <c r="M131" s="55" t="s">
        <v>4565</v>
      </c>
      <c r="N131" s="55" t="s">
        <v>5192</v>
      </c>
      <c r="O131" s="55" t="s">
        <v>5191</v>
      </c>
    </row>
    <row r="132" spans="1:15" ht="15.75" x14ac:dyDescent="0.25">
      <c r="A132" s="55" t="s">
        <v>5188</v>
      </c>
      <c r="B132" s="55" t="s">
        <v>5834</v>
      </c>
      <c r="C132" s="55" t="s">
        <v>5835</v>
      </c>
      <c r="D132" s="55" t="s">
        <v>5836</v>
      </c>
      <c r="E132" s="55" t="s">
        <v>5837</v>
      </c>
      <c r="F132" s="55" t="s">
        <v>5838</v>
      </c>
      <c r="G132" s="55" t="s">
        <v>5839</v>
      </c>
      <c r="H132" s="55" t="s">
        <v>5840</v>
      </c>
      <c r="I132" s="55" t="s">
        <v>5841</v>
      </c>
      <c r="J132" s="55" t="s">
        <v>5189</v>
      </c>
      <c r="K132" s="55" t="s">
        <v>5842</v>
      </c>
      <c r="L132" s="55" t="s">
        <v>5843</v>
      </c>
      <c r="M132" s="55" t="s">
        <v>4511</v>
      </c>
      <c r="N132" s="55" t="s">
        <v>5192</v>
      </c>
      <c r="O132" s="55" t="s">
        <v>5191</v>
      </c>
    </row>
    <row r="133" spans="1:15" ht="15.75" x14ac:dyDescent="0.25">
      <c r="A133" s="55" t="s">
        <v>5188</v>
      </c>
      <c r="B133" s="55" t="s">
        <v>5844</v>
      </c>
      <c r="C133" s="55" t="s">
        <v>5835</v>
      </c>
      <c r="D133" s="55" t="s">
        <v>5836</v>
      </c>
      <c r="E133" s="55" t="s">
        <v>5837</v>
      </c>
      <c r="F133" s="55" t="s">
        <v>5838</v>
      </c>
      <c r="G133" s="55" t="s">
        <v>5839</v>
      </c>
      <c r="H133" s="55" t="s">
        <v>5840</v>
      </c>
      <c r="I133" s="55" t="s">
        <v>5841</v>
      </c>
      <c r="J133" s="55" t="s">
        <v>5189</v>
      </c>
      <c r="K133" s="55" t="s">
        <v>5842</v>
      </c>
      <c r="L133" s="55" t="s">
        <v>5843</v>
      </c>
      <c r="M133" s="55" t="s">
        <v>4527</v>
      </c>
      <c r="N133" s="55" t="s">
        <v>5192</v>
      </c>
      <c r="O133" s="55" t="s">
        <v>5191</v>
      </c>
    </row>
    <row r="134" spans="1:15" ht="15.75" x14ac:dyDescent="0.25">
      <c r="A134" s="55" t="s">
        <v>5188</v>
      </c>
      <c r="B134" s="55" t="s">
        <v>5845</v>
      </c>
      <c r="C134" s="55" t="s">
        <v>5835</v>
      </c>
      <c r="D134" s="55" t="s">
        <v>5836</v>
      </c>
      <c r="E134" s="55" t="s">
        <v>5837</v>
      </c>
      <c r="F134" s="55" t="s">
        <v>5838</v>
      </c>
      <c r="G134" s="55" t="s">
        <v>5839</v>
      </c>
      <c r="H134" s="55" t="s">
        <v>5840</v>
      </c>
      <c r="I134" s="55" t="s">
        <v>5841</v>
      </c>
      <c r="J134" s="55" t="s">
        <v>5189</v>
      </c>
      <c r="K134" s="55" t="s">
        <v>5842</v>
      </c>
      <c r="L134" s="55" t="s">
        <v>5843</v>
      </c>
      <c r="M134" s="55" t="s">
        <v>4686</v>
      </c>
      <c r="N134" s="55" t="s">
        <v>5192</v>
      </c>
      <c r="O134" s="55" t="s">
        <v>5191</v>
      </c>
    </row>
    <row r="135" spans="1:15" ht="15.75" x14ac:dyDescent="0.25">
      <c r="A135" s="55" t="s">
        <v>5188</v>
      </c>
      <c r="B135" s="55" t="s">
        <v>5846</v>
      </c>
      <c r="C135" s="55" t="s">
        <v>5847</v>
      </c>
      <c r="D135" s="55" t="s">
        <v>5848</v>
      </c>
      <c r="E135" s="55" t="s">
        <v>5849</v>
      </c>
      <c r="F135" s="55" t="s">
        <v>5850</v>
      </c>
      <c r="G135" s="55" t="s">
        <v>5851</v>
      </c>
      <c r="H135" s="55" t="s">
        <v>5852</v>
      </c>
      <c r="I135" s="55" t="s">
        <v>5853</v>
      </c>
      <c r="J135" s="55" t="s">
        <v>5189</v>
      </c>
      <c r="K135" s="55" t="s">
        <v>5854</v>
      </c>
      <c r="L135" s="55" t="s">
        <v>5855</v>
      </c>
      <c r="M135" s="55" t="s">
        <v>5206</v>
      </c>
      <c r="N135" s="55" t="s">
        <v>5192</v>
      </c>
      <c r="O135" s="55" t="s">
        <v>5191</v>
      </c>
    </row>
    <row r="136" spans="1:15" ht="15.75" x14ac:dyDescent="0.25">
      <c r="A136" s="55" t="s">
        <v>5188</v>
      </c>
      <c r="B136" s="55" t="s">
        <v>5856</v>
      </c>
      <c r="C136" s="55" t="s">
        <v>5857</v>
      </c>
      <c r="D136" s="55" t="s">
        <v>5858</v>
      </c>
      <c r="E136" s="55" t="s">
        <v>5859</v>
      </c>
      <c r="F136" s="55" t="s">
        <v>5860</v>
      </c>
      <c r="G136" s="55" t="s">
        <v>5851</v>
      </c>
      <c r="H136" s="55" t="s">
        <v>5852</v>
      </c>
      <c r="I136" s="55" t="s">
        <v>5861</v>
      </c>
      <c r="J136" s="55" t="s">
        <v>5189</v>
      </c>
      <c r="K136" s="55" t="s">
        <v>5862</v>
      </c>
      <c r="L136" s="55" t="s">
        <v>5863</v>
      </c>
      <c r="M136" s="55" t="s">
        <v>4561</v>
      </c>
      <c r="N136" s="55" t="s">
        <v>5192</v>
      </c>
      <c r="O136" s="55" t="s">
        <v>5191</v>
      </c>
    </row>
    <row r="137" spans="1:15" ht="15.75" x14ac:dyDescent="0.25">
      <c r="A137" s="55" t="s">
        <v>5188</v>
      </c>
      <c r="B137" s="55" t="s">
        <v>5871</v>
      </c>
      <c r="C137" s="55" t="s">
        <v>5864</v>
      </c>
      <c r="D137" s="55" t="s">
        <v>5865</v>
      </c>
      <c r="E137" s="55" t="s">
        <v>5866</v>
      </c>
      <c r="F137" s="55" t="s">
        <v>5867</v>
      </c>
      <c r="G137" s="55" t="s">
        <v>5405</v>
      </c>
      <c r="H137" s="55" t="s">
        <v>5406</v>
      </c>
      <c r="I137" s="55" t="s">
        <v>5868</v>
      </c>
      <c r="J137" s="55" t="s">
        <v>5189</v>
      </c>
      <c r="K137" s="55" t="s">
        <v>5869</v>
      </c>
      <c r="L137" s="55" t="s">
        <v>5870</v>
      </c>
      <c r="M137" s="55" t="s">
        <v>3551</v>
      </c>
      <c r="N137" s="55" t="s">
        <v>5192</v>
      </c>
      <c r="O137" s="55" t="s">
        <v>5191</v>
      </c>
    </row>
    <row r="138" spans="1:15" ht="15.75" x14ac:dyDescent="0.25">
      <c r="A138" s="55" t="s">
        <v>5188</v>
      </c>
      <c r="B138" s="55" t="s">
        <v>5872</v>
      </c>
      <c r="C138" s="55" t="s">
        <v>5873</v>
      </c>
      <c r="D138" s="55" t="s">
        <v>5874</v>
      </c>
      <c r="E138" s="55" t="s">
        <v>5875</v>
      </c>
      <c r="F138" s="55" t="s">
        <v>5876</v>
      </c>
      <c r="G138" s="55" t="s">
        <v>5877</v>
      </c>
      <c r="H138" s="55" t="s">
        <v>5878</v>
      </c>
      <c r="I138" s="55" t="s">
        <v>5879</v>
      </c>
      <c r="J138" s="55" t="s">
        <v>5189</v>
      </c>
      <c r="K138" s="55" t="s">
        <v>5880</v>
      </c>
      <c r="L138" s="55" t="s">
        <v>5881</v>
      </c>
      <c r="M138" s="55" t="s">
        <v>5232</v>
      </c>
      <c r="N138" s="55" t="s">
        <v>5192</v>
      </c>
      <c r="O138" s="55" t="s">
        <v>5191</v>
      </c>
    </row>
    <row r="139" spans="1:15" ht="15.75" x14ac:dyDescent="0.25">
      <c r="A139" s="55" t="s">
        <v>5188</v>
      </c>
      <c r="B139" s="55" t="s">
        <v>5882</v>
      </c>
      <c r="C139" s="55" t="s">
        <v>5873</v>
      </c>
      <c r="D139" s="55" t="s">
        <v>5874</v>
      </c>
      <c r="E139" s="55" t="s">
        <v>5875</v>
      </c>
      <c r="F139" s="55" t="s">
        <v>5876</v>
      </c>
      <c r="G139" s="55" t="s">
        <v>5877</v>
      </c>
      <c r="H139" s="55" t="s">
        <v>5878</v>
      </c>
      <c r="I139" s="55" t="s">
        <v>5879</v>
      </c>
      <c r="J139" s="55" t="s">
        <v>5189</v>
      </c>
      <c r="K139" s="55" t="s">
        <v>5880</v>
      </c>
      <c r="L139" s="55" t="s">
        <v>5881</v>
      </c>
      <c r="M139" s="55" t="s">
        <v>4573</v>
      </c>
      <c r="N139" s="55" t="s">
        <v>5192</v>
      </c>
      <c r="O139" s="55" t="s">
        <v>5191</v>
      </c>
    </row>
    <row r="140" spans="1:15" ht="15.75" x14ac:dyDescent="0.25">
      <c r="A140" s="55" t="s">
        <v>5188</v>
      </c>
      <c r="B140" s="55" t="s">
        <v>5883</v>
      </c>
      <c r="C140" s="55" t="s">
        <v>5884</v>
      </c>
      <c r="D140" s="55" t="s">
        <v>5885</v>
      </c>
      <c r="E140" s="55" t="s">
        <v>5665</v>
      </c>
      <c r="F140" s="55" t="s">
        <v>5666</v>
      </c>
      <c r="G140" s="55" t="s">
        <v>5667</v>
      </c>
      <c r="H140" s="55" t="s">
        <v>5668</v>
      </c>
      <c r="I140" s="55" t="s">
        <v>5886</v>
      </c>
      <c r="J140" s="55" t="s">
        <v>5189</v>
      </c>
      <c r="K140" s="55" t="s">
        <v>5887</v>
      </c>
      <c r="L140" s="55" t="s">
        <v>5888</v>
      </c>
      <c r="M140" s="55" t="s">
        <v>518</v>
      </c>
      <c r="N140" s="55" t="s">
        <v>5192</v>
      </c>
      <c r="O140" s="55" t="s">
        <v>5191</v>
      </c>
    </row>
    <row r="141" spans="1:15" ht="15.75" x14ac:dyDescent="0.25">
      <c r="A141" s="55" t="s">
        <v>5188</v>
      </c>
      <c r="B141" s="55" t="s">
        <v>5889</v>
      </c>
      <c r="C141" s="55" t="s">
        <v>5884</v>
      </c>
      <c r="D141" s="55" t="s">
        <v>5885</v>
      </c>
      <c r="E141" s="55" t="s">
        <v>5665</v>
      </c>
      <c r="F141" s="55" t="s">
        <v>5666</v>
      </c>
      <c r="G141" s="55" t="s">
        <v>5667</v>
      </c>
      <c r="H141" s="55" t="s">
        <v>5668</v>
      </c>
      <c r="I141" s="55" t="s">
        <v>5886</v>
      </c>
      <c r="J141" s="55" t="s">
        <v>5189</v>
      </c>
      <c r="K141" s="55" t="s">
        <v>5887</v>
      </c>
      <c r="L141" s="55" t="s">
        <v>5888</v>
      </c>
      <c r="M141" s="55" t="s">
        <v>4340</v>
      </c>
      <c r="N141" s="55" t="s">
        <v>5192</v>
      </c>
      <c r="O141" s="55" t="s">
        <v>5191</v>
      </c>
    </row>
    <row r="142" spans="1:15" ht="15.75" x14ac:dyDescent="0.25">
      <c r="A142" s="55" t="s">
        <v>5188</v>
      </c>
      <c r="B142" s="55" t="s">
        <v>5961</v>
      </c>
      <c r="C142" s="55" t="s">
        <v>5920</v>
      </c>
      <c r="D142" s="55" t="s">
        <v>5921</v>
      </c>
      <c r="E142" s="55" t="s">
        <v>5922</v>
      </c>
      <c r="F142" s="55" t="s">
        <v>5923</v>
      </c>
      <c r="G142" s="55" t="s">
        <v>5358</v>
      </c>
      <c r="H142" s="55" t="s">
        <v>5359</v>
      </c>
      <c r="I142" s="55" t="s">
        <v>5924</v>
      </c>
      <c r="J142" s="55" t="s">
        <v>5189</v>
      </c>
      <c r="K142" s="55" t="s">
        <v>5925</v>
      </c>
      <c r="L142" s="55" t="s">
        <v>5926</v>
      </c>
      <c r="M142" s="55" t="s">
        <v>4798</v>
      </c>
      <c r="N142" s="55" t="s">
        <v>5192</v>
      </c>
      <c r="O142" s="55" t="s">
        <v>5191</v>
      </c>
    </row>
    <row r="143" spans="1:15" ht="15.75" x14ac:dyDescent="0.25">
      <c r="A143" s="55" t="s">
        <v>5188</v>
      </c>
      <c r="B143" s="55" t="s">
        <v>5962</v>
      </c>
      <c r="C143" s="55" t="s">
        <v>5963</v>
      </c>
      <c r="D143" s="55" t="s">
        <v>5964</v>
      </c>
      <c r="E143" s="55" t="s">
        <v>5965</v>
      </c>
      <c r="F143" s="55" t="s">
        <v>5966</v>
      </c>
      <c r="G143" s="55" t="s">
        <v>5667</v>
      </c>
      <c r="H143" s="55" t="s">
        <v>5668</v>
      </c>
      <c r="I143" s="55" t="s">
        <v>5967</v>
      </c>
      <c r="J143" s="55" t="s">
        <v>5189</v>
      </c>
      <c r="K143" s="55" t="s">
        <v>5968</v>
      </c>
      <c r="L143" s="55" t="s">
        <v>5969</v>
      </c>
      <c r="M143" s="55" t="s">
        <v>4545</v>
      </c>
      <c r="N143" s="55" t="s">
        <v>5192</v>
      </c>
      <c r="O143" s="55" t="s">
        <v>5191</v>
      </c>
    </row>
    <row r="144" spans="1:15" ht="15.75" x14ac:dyDescent="0.25">
      <c r="A144" s="55" t="s">
        <v>5188</v>
      </c>
      <c r="B144" s="55" t="s">
        <v>5970</v>
      </c>
      <c r="C144" s="55" t="s">
        <v>5963</v>
      </c>
      <c r="D144" s="55" t="s">
        <v>5964</v>
      </c>
      <c r="E144" s="55" t="s">
        <v>5965</v>
      </c>
      <c r="F144" s="55" t="s">
        <v>5966</v>
      </c>
      <c r="G144" s="55" t="s">
        <v>5667</v>
      </c>
      <c r="H144" s="55" t="s">
        <v>5668</v>
      </c>
      <c r="I144" s="55" t="s">
        <v>5967</v>
      </c>
      <c r="J144" s="55" t="s">
        <v>5189</v>
      </c>
      <c r="K144" s="55" t="s">
        <v>5968</v>
      </c>
      <c r="L144" s="55" t="s">
        <v>5969</v>
      </c>
      <c r="M144" s="55" t="s">
        <v>3907</v>
      </c>
      <c r="N144" s="55" t="s">
        <v>5192</v>
      </c>
      <c r="O144" s="55" t="s">
        <v>5191</v>
      </c>
    </row>
    <row r="145" spans="1:15" ht="15.75" x14ac:dyDescent="0.25">
      <c r="A145" s="55" t="s">
        <v>5188</v>
      </c>
      <c r="B145" s="55" t="s">
        <v>5971</v>
      </c>
      <c r="C145" s="55" t="s">
        <v>5963</v>
      </c>
      <c r="D145" s="55" t="s">
        <v>5964</v>
      </c>
      <c r="E145" s="55" t="s">
        <v>5965</v>
      </c>
      <c r="F145" s="55" t="s">
        <v>5966</v>
      </c>
      <c r="G145" s="55" t="s">
        <v>5667</v>
      </c>
      <c r="H145" s="55" t="s">
        <v>5668</v>
      </c>
      <c r="I145" s="55" t="s">
        <v>5972</v>
      </c>
      <c r="J145" s="55" t="s">
        <v>5189</v>
      </c>
      <c r="K145" s="55" t="s">
        <v>5968</v>
      </c>
      <c r="L145" s="55" t="s">
        <v>5969</v>
      </c>
      <c r="M145" s="55" t="s">
        <v>4425</v>
      </c>
      <c r="N145" s="55" t="s">
        <v>5192</v>
      </c>
      <c r="O145" s="55" t="s">
        <v>5191</v>
      </c>
    </row>
    <row r="146" spans="1:15" ht="15.75" x14ac:dyDescent="0.25">
      <c r="A146" s="55" t="s">
        <v>5188</v>
      </c>
      <c r="B146" s="55" t="s">
        <v>5973</v>
      </c>
      <c r="C146" s="55" t="s">
        <v>5963</v>
      </c>
      <c r="D146" s="55" t="s">
        <v>5964</v>
      </c>
      <c r="E146" s="55" t="s">
        <v>5965</v>
      </c>
      <c r="F146" s="55" t="s">
        <v>5966</v>
      </c>
      <c r="G146" s="55" t="s">
        <v>5667</v>
      </c>
      <c r="H146" s="55" t="s">
        <v>5668</v>
      </c>
      <c r="I146" s="55" t="s">
        <v>5972</v>
      </c>
      <c r="J146" s="55" t="s">
        <v>5189</v>
      </c>
      <c r="K146" s="55" t="s">
        <v>5968</v>
      </c>
      <c r="L146" s="55" t="s">
        <v>5969</v>
      </c>
      <c r="M146" s="55" t="s">
        <v>2549</v>
      </c>
      <c r="N146" s="55" t="s">
        <v>5192</v>
      </c>
      <c r="O146" s="55" t="s">
        <v>5191</v>
      </c>
    </row>
    <row r="147" spans="1:15" ht="15.75" x14ac:dyDescent="0.25">
      <c r="A147" s="55" t="s">
        <v>5188</v>
      </c>
      <c r="B147" s="55" t="s">
        <v>5974</v>
      </c>
      <c r="C147" s="55" t="s">
        <v>5975</v>
      </c>
      <c r="D147" s="55" t="s">
        <v>5976</v>
      </c>
      <c r="E147" s="55" t="s">
        <v>5977</v>
      </c>
      <c r="F147" s="55" t="s">
        <v>5978</v>
      </c>
      <c r="G147" s="55" t="s">
        <v>5979</v>
      </c>
      <c r="H147" s="55" t="s">
        <v>5980</v>
      </c>
      <c r="I147" s="55" t="s">
        <v>5981</v>
      </c>
      <c r="J147" s="55" t="s">
        <v>5189</v>
      </c>
      <c r="K147" s="55" t="s">
        <v>5982</v>
      </c>
      <c r="L147" s="55" t="s">
        <v>5983</v>
      </c>
      <c r="M147" s="55" t="s">
        <v>4972</v>
      </c>
      <c r="N147" s="55" t="s">
        <v>5192</v>
      </c>
      <c r="O147" s="55" t="s">
        <v>5191</v>
      </c>
    </row>
    <row r="148" spans="1:15" ht="15.75" x14ac:dyDescent="0.25">
      <c r="A148" s="55" t="s">
        <v>5188</v>
      </c>
      <c r="B148" s="55" t="s">
        <v>5984</v>
      </c>
      <c r="C148" s="55" t="s">
        <v>5938</v>
      </c>
      <c r="D148" s="55" t="s">
        <v>5939</v>
      </c>
      <c r="E148" s="55" t="s">
        <v>5940</v>
      </c>
      <c r="F148" s="55" t="s">
        <v>5941</v>
      </c>
      <c r="G148" s="55" t="s">
        <v>5196</v>
      </c>
      <c r="H148" s="55" t="s">
        <v>5197</v>
      </c>
      <c r="I148" s="55" t="s">
        <v>5942</v>
      </c>
      <c r="J148" s="55" t="s">
        <v>5189</v>
      </c>
      <c r="K148" s="55" t="s">
        <v>5943</v>
      </c>
      <c r="L148" s="55" t="s">
        <v>5944</v>
      </c>
      <c r="M148" s="55" t="s">
        <v>4782</v>
      </c>
      <c r="N148" s="55" t="s">
        <v>5192</v>
      </c>
      <c r="O148" s="55" t="s">
        <v>5191</v>
      </c>
    </row>
    <row r="149" spans="1:15" ht="15.75" x14ac:dyDescent="0.25">
      <c r="A149" s="55" t="s">
        <v>5188</v>
      </c>
      <c r="B149" s="55" t="s">
        <v>5985</v>
      </c>
      <c r="C149" s="55" t="s">
        <v>5938</v>
      </c>
      <c r="D149" s="55" t="s">
        <v>5939</v>
      </c>
      <c r="E149" s="55" t="s">
        <v>5940</v>
      </c>
      <c r="F149" s="55" t="s">
        <v>5941</v>
      </c>
      <c r="G149" s="55" t="s">
        <v>5196</v>
      </c>
      <c r="H149" s="55" t="s">
        <v>5197</v>
      </c>
      <c r="I149" s="55" t="s">
        <v>5942</v>
      </c>
      <c r="J149" s="55" t="s">
        <v>5189</v>
      </c>
      <c r="K149" s="55" t="s">
        <v>5943</v>
      </c>
      <c r="L149" s="55" t="s">
        <v>5944</v>
      </c>
      <c r="M149" s="55" t="s">
        <v>4930</v>
      </c>
      <c r="N149" s="55" t="s">
        <v>5192</v>
      </c>
      <c r="O149" s="55" t="s">
        <v>5191</v>
      </c>
    </row>
    <row r="150" spans="1:15" ht="15.75" x14ac:dyDescent="0.25">
      <c r="A150" s="55" t="s">
        <v>5188</v>
      </c>
      <c r="B150" s="55" t="s">
        <v>5986</v>
      </c>
      <c r="C150" s="55" t="s">
        <v>5938</v>
      </c>
      <c r="D150" s="55" t="s">
        <v>5939</v>
      </c>
      <c r="E150" s="55" t="s">
        <v>5940</v>
      </c>
      <c r="F150" s="55" t="s">
        <v>5941</v>
      </c>
      <c r="G150" s="55" t="s">
        <v>5196</v>
      </c>
      <c r="H150" s="55" t="s">
        <v>5197</v>
      </c>
      <c r="I150" s="55" t="s">
        <v>5942</v>
      </c>
      <c r="J150" s="55" t="s">
        <v>5189</v>
      </c>
      <c r="K150" s="55" t="s">
        <v>5943</v>
      </c>
      <c r="L150" s="55" t="s">
        <v>5944</v>
      </c>
      <c r="M150" s="55" t="s">
        <v>4671</v>
      </c>
      <c r="N150" s="55" t="s">
        <v>5192</v>
      </c>
      <c r="O150" s="55" t="s">
        <v>5191</v>
      </c>
    </row>
    <row r="151" spans="1:15" ht="15.75" x14ac:dyDescent="0.25">
      <c r="A151" s="55" t="s">
        <v>5188</v>
      </c>
      <c r="B151" s="55" t="s">
        <v>6337</v>
      </c>
      <c r="C151" s="55" t="s">
        <v>6209</v>
      </c>
      <c r="D151" s="55" t="s">
        <v>6210</v>
      </c>
      <c r="E151" s="55" t="s">
        <v>6211</v>
      </c>
      <c r="F151" s="55" t="s">
        <v>6212</v>
      </c>
      <c r="G151" s="55" t="s">
        <v>6213</v>
      </c>
      <c r="H151" s="55" t="s">
        <v>6214</v>
      </c>
      <c r="I151" s="55" t="s">
        <v>6215</v>
      </c>
      <c r="J151" s="55" t="s">
        <v>5189</v>
      </c>
      <c r="K151" s="55" t="s">
        <v>6216</v>
      </c>
      <c r="L151" s="55" t="s">
        <v>6217</v>
      </c>
      <c r="M151" s="55" t="s">
        <v>4583</v>
      </c>
      <c r="N151" s="55" t="s">
        <v>5192</v>
      </c>
      <c r="O151" s="55" t="s">
        <v>5191</v>
      </c>
    </row>
    <row r="152" spans="1:15" ht="15.75" x14ac:dyDescent="0.25">
      <c r="A152" s="55" t="s">
        <v>5188</v>
      </c>
      <c r="B152" s="55" t="s">
        <v>6338</v>
      </c>
      <c r="C152" s="55" t="s">
        <v>6209</v>
      </c>
      <c r="D152" s="55" t="s">
        <v>6210</v>
      </c>
      <c r="E152" s="55" t="s">
        <v>6211</v>
      </c>
      <c r="F152" s="55" t="s">
        <v>6212</v>
      </c>
      <c r="G152" s="55" t="s">
        <v>6213</v>
      </c>
      <c r="H152" s="55" t="s">
        <v>6214</v>
      </c>
      <c r="I152" s="55" t="s">
        <v>6215</v>
      </c>
      <c r="J152" s="55" t="s">
        <v>5189</v>
      </c>
      <c r="K152" s="55" t="s">
        <v>6216</v>
      </c>
      <c r="L152" s="55" t="s">
        <v>6217</v>
      </c>
      <c r="M152" s="55" t="s">
        <v>4569</v>
      </c>
      <c r="N152" s="55" t="s">
        <v>5192</v>
      </c>
      <c r="O152" s="55" t="s">
        <v>5191</v>
      </c>
    </row>
    <row r="153" spans="1:15" ht="15.75" x14ac:dyDescent="0.25">
      <c r="A153" s="55" t="s">
        <v>5188</v>
      </c>
      <c r="B153" s="55" t="s">
        <v>6339</v>
      </c>
      <c r="C153" s="55" t="s">
        <v>6209</v>
      </c>
      <c r="D153" s="55" t="s">
        <v>6210</v>
      </c>
      <c r="E153" s="55" t="s">
        <v>6211</v>
      </c>
      <c r="F153" s="55" t="s">
        <v>6212</v>
      </c>
      <c r="G153" s="55" t="s">
        <v>6213</v>
      </c>
      <c r="H153" s="55" t="s">
        <v>6214</v>
      </c>
      <c r="I153" s="55" t="s">
        <v>6215</v>
      </c>
      <c r="J153" s="55" t="s">
        <v>5189</v>
      </c>
      <c r="K153" s="55" t="s">
        <v>6216</v>
      </c>
      <c r="L153" s="55" t="s">
        <v>6217</v>
      </c>
      <c r="M153" s="55" t="s">
        <v>5084</v>
      </c>
      <c r="N153" s="55" t="s">
        <v>5192</v>
      </c>
      <c r="O153" s="55" t="s">
        <v>5191</v>
      </c>
    </row>
    <row r="154" spans="1:15" ht="15.75" x14ac:dyDescent="0.25">
      <c r="A154" s="55" t="s">
        <v>5188</v>
      </c>
      <c r="B154" s="55" t="s">
        <v>6340</v>
      </c>
      <c r="C154" s="55" t="s">
        <v>6230</v>
      </c>
      <c r="D154" s="55" t="s">
        <v>6231</v>
      </c>
      <c r="E154" s="55" t="s">
        <v>6232</v>
      </c>
      <c r="F154" s="55" t="s">
        <v>6233</v>
      </c>
      <c r="G154" s="55" t="s">
        <v>5361</v>
      </c>
      <c r="H154" s="55" t="s">
        <v>5362</v>
      </c>
      <c r="I154" s="55" t="s">
        <v>5831</v>
      </c>
      <c r="J154" s="55" t="s">
        <v>5189</v>
      </c>
      <c r="K154" s="55" t="s">
        <v>6234</v>
      </c>
      <c r="L154" s="55" t="s">
        <v>6235</v>
      </c>
      <c r="M154" s="55" t="s">
        <v>5208</v>
      </c>
      <c r="N154" s="55" t="s">
        <v>5192</v>
      </c>
      <c r="O154" s="55" t="s">
        <v>5191</v>
      </c>
    </row>
    <row r="155" spans="1:15" ht="15.75" x14ac:dyDescent="0.25">
      <c r="A155" s="55" t="s">
        <v>5188</v>
      </c>
      <c r="B155" s="55" t="s">
        <v>6341</v>
      </c>
      <c r="C155" s="55" t="s">
        <v>6237</v>
      </c>
      <c r="D155" s="55" t="s">
        <v>6238</v>
      </c>
      <c r="E155" s="55" t="s">
        <v>6239</v>
      </c>
      <c r="F155" s="55" t="s">
        <v>6240</v>
      </c>
      <c r="G155" s="55" t="s">
        <v>6241</v>
      </c>
      <c r="H155" s="55" t="s">
        <v>6242</v>
      </c>
      <c r="I155" s="55" t="s">
        <v>6243</v>
      </c>
      <c r="J155" s="55" t="s">
        <v>5189</v>
      </c>
      <c r="K155" s="55" t="s">
        <v>6244</v>
      </c>
      <c r="L155" s="55" t="s">
        <v>6245</v>
      </c>
      <c r="M155" s="55" t="s">
        <v>4569</v>
      </c>
      <c r="N155" s="55" t="s">
        <v>5192</v>
      </c>
      <c r="O155" s="55" t="s">
        <v>5191</v>
      </c>
    </row>
    <row r="156" spans="1:15" ht="15.75" x14ac:dyDescent="0.25">
      <c r="A156" s="55" t="s">
        <v>5188</v>
      </c>
      <c r="B156" s="55" t="s">
        <v>6342</v>
      </c>
      <c r="C156" s="55" t="s">
        <v>6256</v>
      </c>
      <c r="D156" s="55" t="s">
        <v>6257</v>
      </c>
      <c r="E156" s="55" t="s">
        <v>6239</v>
      </c>
      <c r="F156" s="55" t="s">
        <v>6240</v>
      </c>
      <c r="G156" s="55" t="s">
        <v>6241</v>
      </c>
      <c r="H156" s="55" t="s">
        <v>6242</v>
      </c>
      <c r="I156" s="55" t="s">
        <v>6258</v>
      </c>
      <c r="J156" s="55" t="s">
        <v>5189</v>
      </c>
      <c r="K156" s="55" t="s">
        <v>6259</v>
      </c>
      <c r="L156" s="55" t="s">
        <v>6260</v>
      </c>
      <c r="M156" s="55" t="s">
        <v>4583</v>
      </c>
      <c r="N156" s="55" t="s">
        <v>5192</v>
      </c>
      <c r="O156" s="55" t="s">
        <v>5191</v>
      </c>
    </row>
    <row r="157" spans="1:15" ht="15.75" x14ac:dyDescent="0.25">
      <c r="A157" s="55" t="s">
        <v>5188</v>
      </c>
      <c r="B157" s="55" t="s">
        <v>6343</v>
      </c>
      <c r="C157" s="55" t="s">
        <v>6256</v>
      </c>
      <c r="D157" s="55" t="s">
        <v>6257</v>
      </c>
      <c r="E157" s="55" t="s">
        <v>6239</v>
      </c>
      <c r="F157" s="55" t="s">
        <v>6240</v>
      </c>
      <c r="G157" s="55" t="s">
        <v>6241</v>
      </c>
      <c r="H157" s="55" t="s">
        <v>6242</v>
      </c>
      <c r="I157" s="55" t="s">
        <v>6258</v>
      </c>
      <c r="J157" s="55" t="s">
        <v>5189</v>
      </c>
      <c r="K157" s="55" t="s">
        <v>6259</v>
      </c>
      <c r="L157" s="55" t="s">
        <v>6260</v>
      </c>
      <c r="M157" s="55" t="s">
        <v>4569</v>
      </c>
      <c r="N157" s="55" t="s">
        <v>5192</v>
      </c>
      <c r="O157" s="55" t="s">
        <v>5191</v>
      </c>
    </row>
    <row r="158" spans="1:15" ht="15.75" x14ac:dyDescent="0.25">
      <c r="A158" s="55" t="s">
        <v>5188</v>
      </c>
      <c r="B158" s="55" t="s">
        <v>6344</v>
      </c>
      <c r="C158" s="55" t="s">
        <v>6256</v>
      </c>
      <c r="D158" s="55" t="s">
        <v>6257</v>
      </c>
      <c r="E158" s="55" t="s">
        <v>6239</v>
      </c>
      <c r="F158" s="55" t="s">
        <v>6240</v>
      </c>
      <c r="G158" s="55" t="s">
        <v>6241</v>
      </c>
      <c r="H158" s="55" t="s">
        <v>6242</v>
      </c>
      <c r="I158" s="55" t="s">
        <v>6258</v>
      </c>
      <c r="J158" s="55" t="s">
        <v>5189</v>
      </c>
      <c r="K158" s="55" t="s">
        <v>6259</v>
      </c>
      <c r="L158" s="55" t="s">
        <v>6260</v>
      </c>
      <c r="M158" s="55" t="s">
        <v>4503</v>
      </c>
      <c r="N158" s="55" t="s">
        <v>5192</v>
      </c>
      <c r="O158" s="55" t="s">
        <v>5191</v>
      </c>
    </row>
    <row r="159" spans="1:15" ht="15.75" x14ac:dyDescent="0.25">
      <c r="A159" s="55" t="s">
        <v>5188</v>
      </c>
      <c r="B159" s="55" t="s">
        <v>6345</v>
      </c>
      <c r="C159" s="55" t="s">
        <v>6262</v>
      </c>
      <c r="D159" s="55" t="s">
        <v>6263</v>
      </c>
      <c r="E159" s="55" t="s">
        <v>6264</v>
      </c>
      <c r="F159" s="55" t="s">
        <v>6265</v>
      </c>
      <c r="G159" s="55" t="s">
        <v>6241</v>
      </c>
      <c r="H159" s="55" t="s">
        <v>6242</v>
      </c>
      <c r="I159" s="55" t="s">
        <v>6266</v>
      </c>
      <c r="J159" s="55" t="s">
        <v>5189</v>
      </c>
      <c r="K159" s="55" t="s">
        <v>6267</v>
      </c>
      <c r="L159" s="55" t="s">
        <v>6268</v>
      </c>
      <c r="M159" s="55" t="s">
        <v>965</v>
      </c>
      <c r="N159" s="55" t="s">
        <v>5192</v>
      </c>
      <c r="O159" s="55" t="s">
        <v>5191</v>
      </c>
    </row>
    <row r="160" spans="1:15" ht="15.75" x14ac:dyDescent="0.25">
      <c r="A160" s="55" t="s">
        <v>5188</v>
      </c>
      <c r="B160" s="55" t="s">
        <v>6346</v>
      </c>
      <c r="C160" s="55" t="s">
        <v>6271</v>
      </c>
      <c r="D160" s="55" t="s">
        <v>6272</v>
      </c>
      <c r="E160" s="55" t="s">
        <v>6273</v>
      </c>
      <c r="F160" s="55" t="s">
        <v>6274</v>
      </c>
      <c r="G160" s="55" t="s">
        <v>6275</v>
      </c>
      <c r="H160" s="55" t="s">
        <v>6276</v>
      </c>
      <c r="I160" s="55" t="s">
        <v>6277</v>
      </c>
      <c r="J160" s="55" t="s">
        <v>5189</v>
      </c>
      <c r="K160" s="55" t="s">
        <v>6278</v>
      </c>
      <c r="L160" s="55" t="s">
        <v>6279</v>
      </c>
      <c r="M160" s="55" t="s">
        <v>4944</v>
      </c>
      <c r="N160" s="55" t="s">
        <v>5192</v>
      </c>
      <c r="O160" s="55" t="s">
        <v>5191</v>
      </c>
    </row>
    <row r="161" spans="1:15" ht="15.75" x14ac:dyDescent="0.25">
      <c r="A161" s="55" t="s">
        <v>5188</v>
      </c>
      <c r="B161" s="55" t="s">
        <v>6347</v>
      </c>
      <c r="C161" s="55" t="s">
        <v>6271</v>
      </c>
      <c r="D161" s="55" t="s">
        <v>6272</v>
      </c>
      <c r="E161" s="55" t="s">
        <v>6273</v>
      </c>
      <c r="F161" s="55" t="s">
        <v>6274</v>
      </c>
      <c r="G161" s="55" t="s">
        <v>6275</v>
      </c>
      <c r="H161" s="55" t="s">
        <v>6276</v>
      </c>
      <c r="I161" s="55" t="s">
        <v>6277</v>
      </c>
      <c r="J161" s="55" t="s">
        <v>5189</v>
      </c>
      <c r="K161" s="55" t="s">
        <v>6278</v>
      </c>
      <c r="L161" s="55" t="s">
        <v>6279</v>
      </c>
      <c r="M161" s="55" t="s">
        <v>3551</v>
      </c>
      <c r="N161" s="55" t="s">
        <v>5192</v>
      </c>
      <c r="O161" s="55" t="s">
        <v>5191</v>
      </c>
    </row>
    <row r="162" spans="1:15" ht="15.75" x14ac:dyDescent="0.25">
      <c r="A162" s="55" t="s">
        <v>5188</v>
      </c>
      <c r="B162" s="55" t="s">
        <v>6348</v>
      </c>
      <c r="C162" s="55" t="s">
        <v>6349</v>
      </c>
      <c r="D162" s="55" t="s">
        <v>6350</v>
      </c>
      <c r="E162" s="55" t="s">
        <v>6150</v>
      </c>
      <c r="F162" s="55" t="s">
        <v>6151</v>
      </c>
      <c r="G162" s="55" t="s">
        <v>6152</v>
      </c>
      <c r="H162" s="55" t="s">
        <v>6153</v>
      </c>
      <c r="I162" s="55" t="s">
        <v>6351</v>
      </c>
      <c r="J162" s="55" t="s">
        <v>5189</v>
      </c>
      <c r="K162" s="55" t="s">
        <v>6352</v>
      </c>
      <c r="L162" s="55" t="s">
        <v>6353</v>
      </c>
      <c r="M162" s="55" t="s">
        <v>2943</v>
      </c>
      <c r="N162" s="55" t="s">
        <v>5192</v>
      </c>
      <c r="O162" s="55" t="s">
        <v>5191</v>
      </c>
    </row>
    <row r="163" spans="1:15" ht="15.75" x14ac:dyDescent="0.25">
      <c r="A163" s="55" t="s">
        <v>5188</v>
      </c>
      <c r="B163" s="55" t="s">
        <v>6354</v>
      </c>
      <c r="C163" s="55" t="s">
        <v>6295</v>
      </c>
      <c r="D163" s="55" t="s">
        <v>6296</v>
      </c>
      <c r="E163" s="55" t="s">
        <v>6297</v>
      </c>
      <c r="F163" s="55" t="s">
        <v>6298</v>
      </c>
      <c r="G163" s="55" t="s">
        <v>6299</v>
      </c>
      <c r="H163" s="55" t="s">
        <v>6300</v>
      </c>
      <c r="I163" s="55" t="s">
        <v>6301</v>
      </c>
      <c r="J163" s="55" t="s">
        <v>5189</v>
      </c>
      <c r="K163" s="55" t="s">
        <v>6302</v>
      </c>
      <c r="L163" s="55" t="s">
        <v>6303</v>
      </c>
      <c r="M163" s="55" t="s">
        <v>5316</v>
      </c>
      <c r="N163" s="55" t="s">
        <v>5192</v>
      </c>
      <c r="O163" s="55" t="s">
        <v>5191</v>
      </c>
    </row>
    <row r="164" spans="1:15" ht="15.75" x14ac:dyDescent="0.25">
      <c r="A164" s="55" t="s">
        <v>5188</v>
      </c>
      <c r="B164" s="55" t="s">
        <v>6355</v>
      </c>
      <c r="C164" s="55" t="s">
        <v>6356</v>
      </c>
      <c r="D164" s="55" t="s">
        <v>6357</v>
      </c>
      <c r="E164" s="55" t="s">
        <v>6358</v>
      </c>
      <c r="F164" s="55" t="s">
        <v>6359</v>
      </c>
      <c r="G164" s="55" t="s">
        <v>6299</v>
      </c>
      <c r="H164" s="55" t="s">
        <v>6300</v>
      </c>
      <c r="I164" s="55" t="s">
        <v>6360</v>
      </c>
      <c r="J164" s="55" t="s">
        <v>5189</v>
      </c>
      <c r="K164" s="55" t="s">
        <v>6361</v>
      </c>
      <c r="L164" s="55" t="s">
        <v>6362</v>
      </c>
      <c r="M164" s="55" t="s">
        <v>5231</v>
      </c>
      <c r="N164" s="55" t="s">
        <v>5192</v>
      </c>
      <c r="O164" s="55" t="s">
        <v>5191</v>
      </c>
    </row>
    <row r="165" spans="1:15" ht="15.75" x14ac:dyDescent="0.25">
      <c r="A165" s="55" t="s">
        <v>5188</v>
      </c>
      <c r="B165" s="55" t="s">
        <v>6363</v>
      </c>
      <c r="C165" s="55" t="s">
        <v>6364</v>
      </c>
      <c r="D165" s="55" t="s">
        <v>6365</v>
      </c>
      <c r="E165" s="55" t="s">
        <v>6366</v>
      </c>
      <c r="F165" s="55" t="s">
        <v>6367</v>
      </c>
      <c r="G165" s="55" t="s">
        <v>6368</v>
      </c>
      <c r="H165" s="55" t="s">
        <v>6369</v>
      </c>
      <c r="I165" s="55" t="s">
        <v>6370</v>
      </c>
      <c r="J165" s="55" t="s">
        <v>5189</v>
      </c>
      <c r="K165" s="55" t="s">
        <v>6371</v>
      </c>
      <c r="L165" s="55" t="s">
        <v>6372</v>
      </c>
      <c r="M165" s="55" t="s">
        <v>5316</v>
      </c>
      <c r="N165" s="55" t="s">
        <v>5192</v>
      </c>
      <c r="O165" s="55" t="s">
        <v>5191</v>
      </c>
    </row>
    <row r="166" spans="1:15" ht="15.75" x14ac:dyDescent="0.25">
      <c r="A166" s="55" t="s">
        <v>5188</v>
      </c>
      <c r="B166" s="55" t="s">
        <v>6373</v>
      </c>
      <c r="C166" s="55" t="s">
        <v>6364</v>
      </c>
      <c r="D166" s="55" t="s">
        <v>6365</v>
      </c>
      <c r="E166" s="55" t="s">
        <v>6366</v>
      </c>
      <c r="F166" s="55" t="s">
        <v>6367</v>
      </c>
      <c r="G166" s="55" t="s">
        <v>6368</v>
      </c>
      <c r="H166" s="55" t="s">
        <v>6369</v>
      </c>
      <c r="I166" s="55" t="s">
        <v>6370</v>
      </c>
      <c r="J166" s="55" t="s">
        <v>5189</v>
      </c>
      <c r="K166" s="55" t="s">
        <v>6371</v>
      </c>
      <c r="L166" s="55" t="s">
        <v>6372</v>
      </c>
      <c r="M166" s="55" t="s">
        <v>5208</v>
      </c>
      <c r="N166" s="55" t="s">
        <v>5192</v>
      </c>
      <c r="O166" s="55" t="s">
        <v>5191</v>
      </c>
    </row>
    <row r="167" spans="1:15" ht="15.75" x14ac:dyDescent="0.25">
      <c r="A167" s="55" t="s">
        <v>5188</v>
      </c>
      <c r="B167" s="55" t="s">
        <v>6374</v>
      </c>
      <c r="C167" s="55" t="s">
        <v>6375</v>
      </c>
      <c r="D167" s="55" t="s">
        <v>6376</v>
      </c>
      <c r="E167" s="55" t="s">
        <v>6377</v>
      </c>
      <c r="F167" s="55" t="s">
        <v>6378</v>
      </c>
      <c r="G167" s="55" t="s">
        <v>6379</v>
      </c>
      <c r="H167" s="55" t="s">
        <v>6380</v>
      </c>
      <c r="I167" s="55" t="s">
        <v>6381</v>
      </c>
      <c r="J167" s="55" t="s">
        <v>5189</v>
      </c>
      <c r="K167" s="55" t="s">
        <v>6382</v>
      </c>
      <c r="L167" s="55" t="s">
        <v>6383</v>
      </c>
      <c r="M167" s="55" t="s">
        <v>4758</v>
      </c>
      <c r="N167" s="55" t="s">
        <v>5192</v>
      </c>
      <c r="O167" s="55" t="s">
        <v>5191</v>
      </c>
    </row>
    <row r="168" spans="1:15" ht="15.75" x14ac:dyDescent="0.25">
      <c r="A168" s="55" t="s">
        <v>5188</v>
      </c>
      <c r="B168" s="55" t="s">
        <v>6384</v>
      </c>
      <c r="C168" s="55" t="s">
        <v>6385</v>
      </c>
      <c r="D168" s="55" t="s">
        <v>6386</v>
      </c>
      <c r="E168" s="55" t="s">
        <v>6387</v>
      </c>
      <c r="F168" s="55" t="s">
        <v>6388</v>
      </c>
      <c r="G168" s="55" t="s">
        <v>5200</v>
      </c>
      <c r="H168" s="55" t="s">
        <v>5201</v>
      </c>
      <c r="I168" s="55" t="s">
        <v>6389</v>
      </c>
      <c r="J168" s="55" t="s">
        <v>5189</v>
      </c>
      <c r="K168" s="55" t="s">
        <v>6390</v>
      </c>
      <c r="L168" s="55" t="s">
        <v>6391</v>
      </c>
      <c r="M168" s="55" t="s">
        <v>921</v>
      </c>
      <c r="N168" s="55" t="s">
        <v>5192</v>
      </c>
      <c r="O168" s="55" t="s">
        <v>5191</v>
      </c>
    </row>
    <row r="169" spans="1:15" ht="15.75" x14ac:dyDescent="0.25">
      <c r="A169" s="55" t="s">
        <v>5188</v>
      </c>
      <c r="B169" s="55" t="s">
        <v>6406</v>
      </c>
      <c r="C169" s="55" t="s">
        <v>6407</v>
      </c>
      <c r="D169" s="55" t="s">
        <v>6408</v>
      </c>
      <c r="E169" s="55" t="s">
        <v>6409</v>
      </c>
      <c r="F169" s="55" t="s">
        <v>6410</v>
      </c>
      <c r="G169" s="55" t="s">
        <v>6411</v>
      </c>
      <c r="H169" s="55" t="s">
        <v>6412</v>
      </c>
      <c r="I169" s="55" t="s">
        <v>6413</v>
      </c>
      <c r="J169" s="55" t="s">
        <v>5189</v>
      </c>
      <c r="K169" s="55" t="s">
        <v>6414</v>
      </c>
      <c r="L169" s="55" t="s">
        <v>6415</v>
      </c>
      <c r="M169" s="55" t="s">
        <v>5476</v>
      </c>
      <c r="N169" s="55" t="s">
        <v>5192</v>
      </c>
      <c r="O169" s="55" t="s">
        <v>5191</v>
      </c>
    </row>
    <row r="170" spans="1:15" ht="15.75" x14ac:dyDescent="0.25">
      <c r="A170" s="55" t="s">
        <v>5188</v>
      </c>
      <c r="B170" s="55" t="s">
        <v>7602</v>
      </c>
      <c r="C170" s="55" t="s">
        <v>7603</v>
      </c>
      <c r="D170" s="55" t="s">
        <v>7604</v>
      </c>
      <c r="E170" s="55" t="s">
        <v>7605</v>
      </c>
      <c r="F170" s="55" t="s">
        <v>7606</v>
      </c>
      <c r="G170" s="55" t="s">
        <v>7607</v>
      </c>
      <c r="H170" s="55" t="s">
        <v>7608</v>
      </c>
      <c r="I170" s="55" t="s">
        <v>7609</v>
      </c>
      <c r="J170" s="55" t="s">
        <v>5189</v>
      </c>
      <c r="K170" s="55" t="s">
        <v>7610</v>
      </c>
      <c r="L170" s="55" t="s">
        <v>7611</v>
      </c>
      <c r="M170" s="55" t="s">
        <v>2872</v>
      </c>
      <c r="N170" s="55" t="s">
        <v>5192</v>
      </c>
      <c r="O170" s="55" t="s">
        <v>5191</v>
      </c>
    </row>
    <row r="171" spans="1:15" ht="15.75" x14ac:dyDescent="0.25">
      <c r="A171" s="55" t="s">
        <v>5188</v>
      </c>
      <c r="B171" s="55" t="s">
        <v>7612</v>
      </c>
      <c r="C171" s="55" t="s">
        <v>7613</v>
      </c>
      <c r="D171" s="55" t="s">
        <v>7614</v>
      </c>
      <c r="E171" s="55" t="s">
        <v>7615</v>
      </c>
      <c r="F171" s="55" t="s">
        <v>7616</v>
      </c>
      <c r="G171" s="55" t="s">
        <v>7617</v>
      </c>
      <c r="H171" s="55" t="s">
        <v>7618</v>
      </c>
      <c r="I171" s="55" t="s">
        <v>7619</v>
      </c>
      <c r="J171" s="55" t="s">
        <v>5189</v>
      </c>
      <c r="K171" s="55" t="s">
        <v>7620</v>
      </c>
      <c r="L171" s="55" t="s">
        <v>7621</v>
      </c>
      <c r="M171" s="55" t="s">
        <v>4621</v>
      </c>
      <c r="N171" s="55" t="s">
        <v>5192</v>
      </c>
      <c r="O171" s="55" t="s">
        <v>5191</v>
      </c>
    </row>
    <row r="172" spans="1:15" ht="15.75" x14ac:dyDescent="0.25">
      <c r="A172" s="55" t="s">
        <v>5188</v>
      </c>
      <c r="B172" s="55" t="s">
        <v>7622</v>
      </c>
      <c r="C172" s="55" t="s">
        <v>7623</v>
      </c>
      <c r="D172" s="55" t="s">
        <v>7624</v>
      </c>
      <c r="E172" s="55" t="s">
        <v>7625</v>
      </c>
      <c r="F172" s="55" t="s">
        <v>7626</v>
      </c>
      <c r="G172" s="55" t="s">
        <v>7627</v>
      </c>
      <c r="H172" s="55" t="s">
        <v>7628</v>
      </c>
      <c r="I172" s="55" t="s">
        <v>7629</v>
      </c>
      <c r="J172" s="55" t="s">
        <v>5189</v>
      </c>
      <c r="K172" s="55" t="s">
        <v>7630</v>
      </c>
      <c r="L172" s="55" t="s">
        <v>7631</v>
      </c>
      <c r="M172" s="55" t="s">
        <v>4944</v>
      </c>
      <c r="N172" s="55" t="s">
        <v>5192</v>
      </c>
      <c r="O172" s="55" t="s">
        <v>5191</v>
      </c>
    </row>
    <row r="173" spans="1:15" ht="15.75" x14ac:dyDescent="0.25">
      <c r="A173" s="55" t="s">
        <v>5188</v>
      </c>
      <c r="B173" s="55" t="s">
        <v>7632</v>
      </c>
      <c r="C173" s="55" t="s">
        <v>7633</v>
      </c>
      <c r="D173" s="55" t="s">
        <v>7634</v>
      </c>
      <c r="E173" s="55" t="s">
        <v>7635</v>
      </c>
      <c r="F173" s="55" t="s">
        <v>7636</v>
      </c>
      <c r="G173" s="55" t="s">
        <v>6299</v>
      </c>
      <c r="H173" s="55" t="s">
        <v>6300</v>
      </c>
      <c r="I173" s="55" t="s">
        <v>7637</v>
      </c>
      <c r="J173" s="55" t="s">
        <v>5189</v>
      </c>
      <c r="K173" s="55" t="s">
        <v>7638</v>
      </c>
      <c r="L173" s="55" t="s">
        <v>7639</v>
      </c>
      <c r="M173" s="55" t="s">
        <v>4754</v>
      </c>
      <c r="N173" s="55" t="s">
        <v>5192</v>
      </c>
      <c r="O173" s="55" t="s">
        <v>5191</v>
      </c>
    </row>
    <row r="174" spans="1:15" ht="15.75" x14ac:dyDescent="0.25">
      <c r="A174" s="55" t="s">
        <v>5188</v>
      </c>
      <c r="B174" s="55" t="s">
        <v>7640</v>
      </c>
      <c r="C174" s="55" t="s">
        <v>7641</v>
      </c>
      <c r="D174" s="55" t="s">
        <v>7642</v>
      </c>
      <c r="E174" s="55" t="s">
        <v>7643</v>
      </c>
      <c r="F174" s="55" t="s">
        <v>7644</v>
      </c>
      <c r="G174" s="55" t="s">
        <v>6411</v>
      </c>
      <c r="H174" s="55" t="s">
        <v>6412</v>
      </c>
      <c r="I174" s="55" t="s">
        <v>7645</v>
      </c>
      <c r="J174" s="55" t="s">
        <v>5189</v>
      </c>
      <c r="K174" s="55" t="s">
        <v>7646</v>
      </c>
      <c r="L174" s="55" t="s">
        <v>7647</v>
      </c>
      <c r="M174" s="55" t="s">
        <v>4944</v>
      </c>
      <c r="N174" s="55" t="s">
        <v>5192</v>
      </c>
      <c r="O174" s="55" t="s">
        <v>5191</v>
      </c>
    </row>
    <row r="175" spans="1:15" ht="15.75" x14ac:dyDescent="0.25">
      <c r="A175" s="55" t="s">
        <v>5188</v>
      </c>
      <c r="B175" s="55" t="s">
        <v>5506</v>
      </c>
      <c r="C175" s="55" t="s">
        <v>5507</v>
      </c>
      <c r="D175" s="55" t="s">
        <v>5390</v>
      </c>
      <c r="E175" s="55" t="s">
        <v>5393</v>
      </c>
      <c r="F175" s="55" t="s">
        <v>5301</v>
      </c>
      <c r="G175" s="55" t="s">
        <v>5394</v>
      </c>
      <c r="H175" s="55" t="s">
        <v>5395</v>
      </c>
      <c r="I175" s="55" t="s">
        <v>5508</v>
      </c>
      <c r="J175" s="55" t="s">
        <v>5189</v>
      </c>
      <c r="K175" s="55" t="s">
        <v>5480</v>
      </c>
      <c r="L175" s="55" t="s">
        <v>5509</v>
      </c>
      <c r="M175" s="55" t="s">
        <v>4545</v>
      </c>
      <c r="N175" s="55" t="s">
        <v>5192</v>
      </c>
      <c r="O175" s="55" t="s">
        <v>5191</v>
      </c>
    </row>
    <row r="176" spans="1:15" ht="15.75" x14ac:dyDescent="0.25">
      <c r="A176" s="55" t="s">
        <v>5188</v>
      </c>
      <c r="B176" s="55" t="s">
        <v>5514</v>
      </c>
      <c r="C176" s="55" t="s">
        <v>5515</v>
      </c>
      <c r="D176" s="55" t="s">
        <v>5516</v>
      </c>
      <c r="E176" s="55" t="s">
        <v>5517</v>
      </c>
      <c r="F176" s="55" t="s">
        <v>5518</v>
      </c>
      <c r="G176" s="55" t="s">
        <v>5433</v>
      </c>
      <c r="H176" s="55" t="s">
        <v>5434</v>
      </c>
      <c r="I176" s="55" t="s">
        <v>5519</v>
      </c>
      <c r="J176" s="55" t="s">
        <v>5189</v>
      </c>
      <c r="K176" s="55" t="s">
        <v>5520</v>
      </c>
      <c r="L176" s="55" t="s">
        <v>5521</v>
      </c>
      <c r="M176" s="55" t="s">
        <v>4340</v>
      </c>
      <c r="N176" s="55" t="s">
        <v>5192</v>
      </c>
      <c r="O176" s="55" t="s">
        <v>5191</v>
      </c>
    </row>
    <row r="177" spans="1:15" ht="15.75" x14ac:dyDescent="0.25">
      <c r="A177" s="55" t="s">
        <v>5188</v>
      </c>
      <c r="B177" s="55" t="s">
        <v>5522</v>
      </c>
      <c r="C177" s="55" t="s">
        <v>5523</v>
      </c>
      <c r="D177" s="55" t="s">
        <v>5524</v>
      </c>
      <c r="E177" s="55" t="s">
        <v>5525</v>
      </c>
      <c r="F177" s="55" t="s">
        <v>5526</v>
      </c>
      <c r="G177" s="55" t="s">
        <v>5527</v>
      </c>
      <c r="H177" s="55" t="s">
        <v>5528</v>
      </c>
      <c r="I177" s="55" t="s">
        <v>5529</v>
      </c>
      <c r="J177" s="55" t="s">
        <v>5189</v>
      </c>
      <c r="K177" s="55" t="s">
        <v>5530</v>
      </c>
      <c r="L177" s="55" t="s">
        <v>5531</v>
      </c>
      <c r="M177" s="55" t="s">
        <v>5208</v>
      </c>
      <c r="N177" s="55" t="s">
        <v>5192</v>
      </c>
      <c r="O177" s="55" t="s">
        <v>5191</v>
      </c>
    </row>
    <row r="178" spans="1:15" ht="15.75" x14ac:dyDescent="0.25">
      <c r="A178" s="55" t="s">
        <v>5188</v>
      </c>
      <c r="B178" s="55" t="s">
        <v>5571</v>
      </c>
      <c r="C178" s="55" t="s">
        <v>5532</v>
      </c>
      <c r="D178" s="55" t="s">
        <v>5533</v>
      </c>
      <c r="E178" s="55" t="s">
        <v>5534</v>
      </c>
      <c r="F178" s="55" t="s">
        <v>5535</v>
      </c>
      <c r="G178" s="55" t="s">
        <v>5269</v>
      </c>
      <c r="H178" s="55" t="s">
        <v>5270</v>
      </c>
      <c r="I178" s="55" t="s">
        <v>5536</v>
      </c>
      <c r="J178" s="55" t="s">
        <v>5189</v>
      </c>
      <c r="K178" s="55" t="s">
        <v>5537</v>
      </c>
      <c r="L178" s="55" t="s">
        <v>5538</v>
      </c>
      <c r="M178" s="55" t="s">
        <v>4758</v>
      </c>
      <c r="N178" s="55" t="s">
        <v>5192</v>
      </c>
      <c r="O178" s="55" t="s">
        <v>5191</v>
      </c>
    </row>
    <row r="179" spans="1:15" ht="15.75" x14ac:dyDescent="0.25">
      <c r="A179" s="55" t="s">
        <v>5188</v>
      </c>
      <c r="B179" s="55" t="s">
        <v>5572</v>
      </c>
      <c r="C179" s="55" t="s">
        <v>5532</v>
      </c>
      <c r="D179" s="55" t="s">
        <v>5533</v>
      </c>
      <c r="E179" s="55" t="s">
        <v>5534</v>
      </c>
      <c r="F179" s="55" t="s">
        <v>5535</v>
      </c>
      <c r="G179" s="55" t="s">
        <v>5269</v>
      </c>
      <c r="H179" s="55" t="s">
        <v>5270</v>
      </c>
      <c r="I179" s="55" t="s">
        <v>5536</v>
      </c>
      <c r="J179" s="55" t="s">
        <v>5189</v>
      </c>
      <c r="K179" s="55" t="s">
        <v>5537</v>
      </c>
      <c r="L179" s="55" t="s">
        <v>5538</v>
      </c>
      <c r="M179" s="55" t="s">
        <v>5232</v>
      </c>
      <c r="N179" s="55" t="s">
        <v>5192</v>
      </c>
      <c r="O179" s="55" t="s">
        <v>5191</v>
      </c>
    </row>
    <row r="180" spans="1:15" ht="15.75" x14ac:dyDescent="0.25">
      <c r="A180" s="55" t="s">
        <v>5188</v>
      </c>
      <c r="B180" s="55" t="s">
        <v>5573</v>
      </c>
      <c r="C180" s="55" t="s">
        <v>5574</v>
      </c>
      <c r="D180" s="55" t="s">
        <v>5575</v>
      </c>
      <c r="E180" s="55" t="s">
        <v>5576</v>
      </c>
      <c r="F180" s="55" t="s">
        <v>5577</v>
      </c>
      <c r="G180" s="55" t="s">
        <v>5578</v>
      </c>
      <c r="H180" s="55" t="s">
        <v>5579</v>
      </c>
      <c r="I180" s="55" t="s">
        <v>5580</v>
      </c>
      <c r="J180" s="55" t="s">
        <v>5189</v>
      </c>
      <c r="K180" s="55" t="s">
        <v>5581</v>
      </c>
      <c r="L180" s="55" t="s">
        <v>5582</v>
      </c>
      <c r="M180" s="55" t="s">
        <v>4501</v>
      </c>
      <c r="N180" s="55" t="s">
        <v>5192</v>
      </c>
      <c r="O180" s="55" t="s">
        <v>5191</v>
      </c>
    </row>
    <row r="181" spans="1:15" ht="15.75" x14ac:dyDescent="0.25">
      <c r="A181" s="55" t="s">
        <v>5188</v>
      </c>
      <c r="B181" s="55" t="s">
        <v>5583</v>
      </c>
      <c r="C181" s="55" t="s">
        <v>5584</v>
      </c>
      <c r="D181" s="55" t="s">
        <v>5585</v>
      </c>
      <c r="E181" s="55" t="s">
        <v>5586</v>
      </c>
      <c r="F181" s="55" t="s">
        <v>5587</v>
      </c>
      <c r="G181" s="55" t="s">
        <v>5463</v>
      </c>
      <c r="H181" s="55" t="s">
        <v>5464</v>
      </c>
      <c r="I181" s="55" t="s">
        <v>5588</v>
      </c>
      <c r="J181" s="55" t="s">
        <v>5189</v>
      </c>
      <c r="K181" s="55" t="s">
        <v>5589</v>
      </c>
      <c r="L181" s="55" t="s">
        <v>5590</v>
      </c>
      <c r="M181" s="55" t="s">
        <v>4569</v>
      </c>
      <c r="N181" s="55" t="s">
        <v>5192</v>
      </c>
      <c r="O181" s="55" t="s">
        <v>5191</v>
      </c>
    </row>
    <row r="182" spans="1:15" ht="15.75" x14ac:dyDescent="0.25">
      <c r="A182" s="55" t="s">
        <v>5188</v>
      </c>
      <c r="B182" s="55" t="s">
        <v>5591</v>
      </c>
      <c r="C182" s="55" t="s">
        <v>5584</v>
      </c>
      <c r="D182" s="55" t="s">
        <v>5585</v>
      </c>
      <c r="E182" s="55" t="s">
        <v>5586</v>
      </c>
      <c r="F182" s="55" t="s">
        <v>5587</v>
      </c>
      <c r="G182" s="55" t="s">
        <v>5463</v>
      </c>
      <c r="H182" s="55" t="s">
        <v>5464</v>
      </c>
      <c r="I182" s="55" t="s">
        <v>5588</v>
      </c>
      <c r="J182" s="55" t="s">
        <v>5189</v>
      </c>
      <c r="K182" s="55" t="s">
        <v>5589</v>
      </c>
      <c r="L182" s="55" t="s">
        <v>5590</v>
      </c>
      <c r="M182" s="55" t="s">
        <v>965</v>
      </c>
      <c r="N182" s="55" t="s">
        <v>5192</v>
      </c>
      <c r="O182" s="55" t="s">
        <v>5191</v>
      </c>
    </row>
    <row r="183" spans="1:15" ht="15.75" x14ac:dyDescent="0.25">
      <c r="A183" s="55" t="s">
        <v>5188</v>
      </c>
      <c r="B183" s="55" t="s">
        <v>5592</v>
      </c>
      <c r="C183" s="55" t="s">
        <v>5552</v>
      </c>
      <c r="D183" s="55" t="s">
        <v>5553</v>
      </c>
      <c r="E183" s="55" t="s">
        <v>5554</v>
      </c>
      <c r="F183" s="55" t="s">
        <v>5555</v>
      </c>
      <c r="G183" s="55" t="s">
        <v>5414</v>
      </c>
      <c r="H183" s="55" t="s">
        <v>5415</v>
      </c>
      <c r="I183" s="55" t="s">
        <v>5556</v>
      </c>
      <c r="J183" s="55" t="s">
        <v>5189</v>
      </c>
      <c r="K183" s="55" t="s">
        <v>5557</v>
      </c>
      <c r="L183" s="55" t="s">
        <v>5558</v>
      </c>
      <c r="M183" s="55" t="s">
        <v>4569</v>
      </c>
      <c r="N183" s="55" t="s">
        <v>5192</v>
      </c>
      <c r="O183" s="55" t="s">
        <v>5191</v>
      </c>
    </row>
    <row r="184" spans="1:15" ht="15.75" x14ac:dyDescent="0.25">
      <c r="A184" s="55" t="s">
        <v>5188</v>
      </c>
      <c r="B184" s="55" t="s">
        <v>5593</v>
      </c>
      <c r="C184" s="55" t="s">
        <v>5594</v>
      </c>
      <c r="D184" s="55" t="s">
        <v>5595</v>
      </c>
      <c r="E184" s="55" t="s">
        <v>5596</v>
      </c>
      <c r="F184" s="55" t="s">
        <v>5597</v>
      </c>
      <c r="G184" s="55" t="s">
        <v>5246</v>
      </c>
      <c r="H184" s="55" t="s">
        <v>5247</v>
      </c>
      <c r="I184" s="55" t="s">
        <v>5598</v>
      </c>
      <c r="J184" s="55" t="s">
        <v>5189</v>
      </c>
      <c r="K184" s="55" t="s">
        <v>5599</v>
      </c>
      <c r="L184" s="55" t="s">
        <v>5600</v>
      </c>
      <c r="M184" s="55" t="s">
        <v>4942</v>
      </c>
      <c r="N184" s="55" t="s">
        <v>5192</v>
      </c>
      <c r="O184" s="55" t="s">
        <v>5191</v>
      </c>
    </row>
    <row r="185" spans="1:15" ht="15.75" x14ac:dyDescent="0.25">
      <c r="A185" s="55" t="s">
        <v>5188</v>
      </c>
      <c r="B185" s="55" t="s">
        <v>5601</v>
      </c>
      <c r="C185" s="55" t="s">
        <v>5594</v>
      </c>
      <c r="D185" s="55" t="s">
        <v>5595</v>
      </c>
      <c r="E185" s="55" t="s">
        <v>5596</v>
      </c>
      <c r="F185" s="55" t="s">
        <v>5597</v>
      </c>
      <c r="G185" s="55" t="s">
        <v>5246</v>
      </c>
      <c r="H185" s="55" t="s">
        <v>5247</v>
      </c>
      <c r="I185" s="55" t="s">
        <v>5598</v>
      </c>
      <c r="J185" s="55" t="s">
        <v>5189</v>
      </c>
      <c r="K185" s="55" t="s">
        <v>5599</v>
      </c>
      <c r="L185" s="55" t="s">
        <v>5600</v>
      </c>
      <c r="M185" s="55" t="s">
        <v>4944</v>
      </c>
      <c r="N185" s="55" t="s">
        <v>5192</v>
      </c>
      <c r="O185" s="55" t="s">
        <v>5191</v>
      </c>
    </row>
    <row r="186" spans="1:15" ht="15.75" x14ac:dyDescent="0.25">
      <c r="A186" s="55" t="s">
        <v>5188</v>
      </c>
      <c r="B186" s="55" t="s">
        <v>5602</v>
      </c>
      <c r="C186" s="55" t="s">
        <v>5594</v>
      </c>
      <c r="D186" s="55" t="s">
        <v>5595</v>
      </c>
      <c r="E186" s="55" t="s">
        <v>5596</v>
      </c>
      <c r="F186" s="55" t="s">
        <v>5597</v>
      </c>
      <c r="G186" s="55" t="s">
        <v>5246</v>
      </c>
      <c r="H186" s="55" t="s">
        <v>5247</v>
      </c>
      <c r="I186" s="55" t="s">
        <v>5598</v>
      </c>
      <c r="J186" s="55" t="s">
        <v>5189</v>
      </c>
      <c r="K186" s="55" t="s">
        <v>5599</v>
      </c>
      <c r="L186" s="55" t="s">
        <v>5600</v>
      </c>
      <c r="M186" s="55" t="s">
        <v>4940</v>
      </c>
      <c r="N186" s="55" t="s">
        <v>5192</v>
      </c>
      <c r="O186" s="55" t="s">
        <v>5191</v>
      </c>
    </row>
    <row r="187" spans="1:15" ht="15.75" x14ac:dyDescent="0.25">
      <c r="A187" s="55" t="s">
        <v>5188</v>
      </c>
      <c r="B187" s="55" t="s">
        <v>6421</v>
      </c>
      <c r="C187" s="55" t="s">
        <v>6422</v>
      </c>
      <c r="D187" s="55" t="s">
        <v>6423</v>
      </c>
      <c r="E187" s="55" t="s">
        <v>6424</v>
      </c>
      <c r="F187" s="55" t="s">
        <v>6425</v>
      </c>
      <c r="G187" s="55" t="s">
        <v>6426</v>
      </c>
      <c r="H187" s="55" t="s">
        <v>6427</v>
      </c>
      <c r="I187" s="55" t="s">
        <v>6428</v>
      </c>
      <c r="J187" s="55" t="s">
        <v>5189</v>
      </c>
      <c r="K187" s="55" t="s">
        <v>6429</v>
      </c>
      <c r="L187" s="55" t="s">
        <v>6430</v>
      </c>
      <c r="M187" s="55" t="s">
        <v>5231</v>
      </c>
      <c r="N187" s="55" t="s">
        <v>5192</v>
      </c>
      <c r="O187" s="55" t="s">
        <v>5191</v>
      </c>
    </row>
    <row r="188" spans="1:15" ht="15.75" x14ac:dyDescent="0.25">
      <c r="A188" s="55" t="s">
        <v>5188</v>
      </c>
      <c r="B188" s="55" t="s">
        <v>6431</v>
      </c>
      <c r="C188" s="55" t="s">
        <v>6432</v>
      </c>
      <c r="D188" s="55" t="s">
        <v>5219</v>
      </c>
      <c r="E188" s="55" t="s">
        <v>5194</v>
      </c>
      <c r="F188" s="55" t="s">
        <v>5195</v>
      </c>
      <c r="G188" s="55" t="s">
        <v>5198</v>
      </c>
      <c r="H188" s="55" t="s">
        <v>5199</v>
      </c>
      <c r="I188" s="55" t="s">
        <v>6433</v>
      </c>
      <c r="J188" s="55" t="s">
        <v>5189</v>
      </c>
      <c r="K188" s="55" t="s">
        <v>6434</v>
      </c>
      <c r="L188" s="55" t="s">
        <v>6435</v>
      </c>
      <c r="M188" s="55" t="s">
        <v>906</v>
      </c>
      <c r="N188" s="55" t="s">
        <v>5192</v>
      </c>
      <c r="O188" s="55" t="s">
        <v>5191</v>
      </c>
    </row>
    <row r="189" spans="1:15" ht="15.75" x14ac:dyDescent="0.25">
      <c r="A189" s="55" t="s">
        <v>5188</v>
      </c>
      <c r="B189" s="55" t="s">
        <v>6436</v>
      </c>
      <c r="C189" s="55" t="s">
        <v>6432</v>
      </c>
      <c r="D189" s="55" t="s">
        <v>5219</v>
      </c>
      <c r="E189" s="55" t="s">
        <v>5194</v>
      </c>
      <c r="F189" s="55" t="s">
        <v>5195</v>
      </c>
      <c r="G189" s="55" t="s">
        <v>5198</v>
      </c>
      <c r="H189" s="55" t="s">
        <v>5199</v>
      </c>
      <c r="I189" s="55" t="s">
        <v>6433</v>
      </c>
      <c r="J189" s="55" t="s">
        <v>5189</v>
      </c>
      <c r="K189" s="55" t="s">
        <v>6434</v>
      </c>
      <c r="L189" s="55" t="s">
        <v>6435</v>
      </c>
      <c r="M189" s="55" t="s">
        <v>4453</v>
      </c>
      <c r="N189" s="55" t="s">
        <v>5192</v>
      </c>
      <c r="O189" s="55" t="s">
        <v>5191</v>
      </c>
    </row>
    <row r="190" spans="1:15" ht="15.75" x14ac:dyDescent="0.25">
      <c r="A190" s="55" t="s">
        <v>5188</v>
      </c>
      <c r="B190" s="55" t="s">
        <v>6437</v>
      </c>
      <c r="C190" s="55" t="s">
        <v>6438</v>
      </c>
      <c r="D190" s="55" t="s">
        <v>5390</v>
      </c>
      <c r="E190" s="55" t="s">
        <v>5569</v>
      </c>
      <c r="F190" s="55" t="s">
        <v>5570</v>
      </c>
      <c r="G190" s="55" t="s">
        <v>5396</v>
      </c>
      <c r="H190" s="55" t="s">
        <v>5397</v>
      </c>
      <c r="I190" s="55" t="s">
        <v>6439</v>
      </c>
      <c r="J190" s="55" t="s">
        <v>5189</v>
      </c>
      <c r="K190" s="55" t="s">
        <v>6440</v>
      </c>
      <c r="L190" s="55" t="s">
        <v>6441</v>
      </c>
      <c r="M190" s="55" t="s">
        <v>403</v>
      </c>
      <c r="N190" s="55" t="s">
        <v>5192</v>
      </c>
      <c r="O190" s="55" t="s">
        <v>5191</v>
      </c>
    </row>
    <row r="191" spans="1:15" ht="15.75" x14ac:dyDescent="0.25">
      <c r="A191" s="55" t="s">
        <v>5188</v>
      </c>
      <c r="B191" s="55" t="s">
        <v>7648</v>
      </c>
      <c r="C191" s="55" t="s">
        <v>7649</v>
      </c>
      <c r="D191" s="55" t="s">
        <v>5219</v>
      </c>
      <c r="E191" s="55" t="s">
        <v>7650</v>
      </c>
      <c r="F191" s="55" t="s">
        <v>7651</v>
      </c>
      <c r="G191" s="55" t="s">
        <v>7652</v>
      </c>
      <c r="H191" s="55" t="s">
        <v>7653</v>
      </c>
      <c r="I191" s="55" t="s">
        <v>7654</v>
      </c>
      <c r="J191" s="55" t="s">
        <v>5189</v>
      </c>
      <c r="K191" s="55" t="s">
        <v>7655</v>
      </c>
      <c r="L191" s="55" t="s">
        <v>7656</v>
      </c>
      <c r="M191" s="55" t="s">
        <v>4866</v>
      </c>
      <c r="N191" s="55" t="s">
        <v>5192</v>
      </c>
      <c r="O191" s="55" t="s">
        <v>5191</v>
      </c>
    </row>
    <row r="192" spans="1:15" ht="15.75" x14ac:dyDescent="0.25">
      <c r="A192" s="55" t="s">
        <v>5188</v>
      </c>
      <c r="B192" s="55" t="s">
        <v>7657</v>
      </c>
      <c r="C192" s="55" t="s">
        <v>7658</v>
      </c>
      <c r="D192" s="55" t="s">
        <v>5219</v>
      </c>
      <c r="E192" s="55" t="s">
        <v>7650</v>
      </c>
      <c r="F192" s="55" t="s">
        <v>7651</v>
      </c>
      <c r="G192" s="55" t="s">
        <v>7652</v>
      </c>
      <c r="H192" s="55" t="s">
        <v>7653</v>
      </c>
      <c r="I192" s="55" t="s">
        <v>7659</v>
      </c>
      <c r="J192" s="55" t="s">
        <v>5189</v>
      </c>
      <c r="K192" s="55" t="s">
        <v>7660</v>
      </c>
      <c r="L192" s="55" t="s">
        <v>7661</v>
      </c>
      <c r="M192" s="55" t="s">
        <v>4866</v>
      </c>
      <c r="N192" s="55" t="s">
        <v>5192</v>
      </c>
      <c r="O192" s="55" t="s">
        <v>5191</v>
      </c>
    </row>
    <row r="193" spans="1:15" ht="15.75" x14ac:dyDescent="0.25">
      <c r="A193" s="55" t="s">
        <v>5188</v>
      </c>
      <c r="B193" s="55" t="s">
        <v>7662</v>
      </c>
      <c r="C193" s="55" t="s">
        <v>7663</v>
      </c>
      <c r="D193" s="55" t="s">
        <v>7664</v>
      </c>
      <c r="E193" s="55" t="s">
        <v>7665</v>
      </c>
      <c r="F193" s="55" t="s">
        <v>7666</v>
      </c>
      <c r="G193" s="55" t="s">
        <v>7667</v>
      </c>
      <c r="H193" s="55" t="s">
        <v>7668</v>
      </c>
      <c r="I193" s="55" t="s">
        <v>7669</v>
      </c>
      <c r="J193" s="55" t="s">
        <v>5189</v>
      </c>
      <c r="K193" s="55" t="s">
        <v>7670</v>
      </c>
      <c r="L193" s="55" t="s">
        <v>7671</v>
      </c>
      <c r="M193" s="55" t="s">
        <v>4569</v>
      </c>
      <c r="N193" s="55" t="s">
        <v>5192</v>
      </c>
      <c r="O193" s="55" t="s">
        <v>5191</v>
      </c>
    </row>
    <row r="194" spans="1:15" ht="15.75" x14ac:dyDescent="0.25">
      <c r="A194" s="55" t="s">
        <v>5188</v>
      </c>
      <c r="B194" s="55" t="s">
        <v>7672</v>
      </c>
      <c r="C194" s="55" t="s">
        <v>7673</v>
      </c>
      <c r="D194" s="55" t="s">
        <v>7674</v>
      </c>
      <c r="E194" s="55" t="s">
        <v>7675</v>
      </c>
      <c r="F194" s="55" t="s">
        <v>7676</v>
      </c>
      <c r="G194" s="55" t="s">
        <v>5549</v>
      </c>
      <c r="H194" s="55" t="s">
        <v>5550</v>
      </c>
      <c r="I194" s="55" t="s">
        <v>7677</v>
      </c>
      <c r="J194" s="55" t="s">
        <v>5189</v>
      </c>
      <c r="K194" s="55" t="s">
        <v>7678</v>
      </c>
      <c r="L194" s="55" t="s">
        <v>7679</v>
      </c>
      <c r="M194" s="55" t="s">
        <v>5084</v>
      </c>
      <c r="N194" s="55" t="s">
        <v>5192</v>
      </c>
      <c r="O194" s="55" t="s">
        <v>5191</v>
      </c>
    </row>
    <row r="195" spans="1:15" ht="15.75" x14ac:dyDescent="0.25">
      <c r="A195" s="55" t="s">
        <v>5188</v>
      </c>
      <c r="B195" s="55" t="s">
        <v>7680</v>
      </c>
      <c r="C195" s="55" t="s">
        <v>7681</v>
      </c>
      <c r="D195" s="55" t="s">
        <v>7682</v>
      </c>
      <c r="E195" s="55" t="s">
        <v>7683</v>
      </c>
      <c r="F195" s="55" t="s">
        <v>7684</v>
      </c>
      <c r="G195" s="55" t="s">
        <v>5217</v>
      </c>
      <c r="H195" s="55" t="s">
        <v>5218</v>
      </c>
      <c r="I195" s="55" t="s">
        <v>7685</v>
      </c>
      <c r="J195" s="55" t="s">
        <v>5189</v>
      </c>
      <c r="K195" s="55" t="s">
        <v>7686</v>
      </c>
      <c r="L195" s="55" t="s">
        <v>7687</v>
      </c>
      <c r="M195" s="55" t="s">
        <v>4662</v>
      </c>
      <c r="N195" s="55" t="s">
        <v>5192</v>
      </c>
      <c r="O195" s="55" t="s">
        <v>5191</v>
      </c>
    </row>
    <row r="196" spans="1:15" ht="15.75" x14ac:dyDescent="0.25">
      <c r="A196" s="55" t="s">
        <v>5188</v>
      </c>
      <c r="B196" s="55" t="s">
        <v>7688</v>
      </c>
      <c r="C196" s="55" t="s">
        <v>7689</v>
      </c>
      <c r="D196" s="55" t="s">
        <v>7690</v>
      </c>
      <c r="E196" s="55" t="s">
        <v>7691</v>
      </c>
      <c r="F196" s="55" t="s">
        <v>7692</v>
      </c>
      <c r="G196" s="55" t="s">
        <v>7693</v>
      </c>
      <c r="H196" s="55" t="s">
        <v>7694</v>
      </c>
      <c r="I196" s="55" t="s">
        <v>7695</v>
      </c>
      <c r="J196" s="55" t="s">
        <v>5189</v>
      </c>
      <c r="K196" s="55" t="s">
        <v>7696</v>
      </c>
      <c r="L196" s="55" t="s">
        <v>7697</v>
      </c>
      <c r="M196" s="55" t="s">
        <v>4503</v>
      </c>
      <c r="N196" s="55" t="s">
        <v>5192</v>
      </c>
      <c r="O196" s="55" t="s">
        <v>5191</v>
      </c>
    </row>
    <row r="197" spans="1:15" ht="15.75" x14ac:dyDescent="0.25">
      <c r="A197" s="55" t="s">
        <v>5188</v>
      </c>
      <c r="B197" s="55" t="s">
        <v>7698</v>
      </c>
      <c r="C197" s="55" t="s">
        <v>7699</v>
      </c>
      <c r="D197" s="55" t="s">
        <v>7700</v>
      </c>
      <c r="E197" s="55" t="s">
        <v>7701</v>
      </c>
      <c r="F197" s="55" t="s">
        <v>7702</v>
      </c>
      <c r="G197" s="55" t="s">
        <v>7703</v>
      </c>
      <c r="H197" s="55" t="s">
        <v>7704</v>
      </c>
      <c r="I197" s="55" t="s">
        <v>7705</v>
      </c>
      <c r="J197" s="55" t="s">
        <v>5189</v>
      </c>
      <c r="K197" s="55" t="s">
        <v>7706</v>
      </c>
      <c r="L197" s="55" t="s">
        <v>7707</v>
      </c>
      <c r="M197" s="55" t="s">
        <v>3551</v>
      </c>
      <c r="N197" s="55" t="s">
        <v>5192</v>
      </c>
      <c r="O197" s="55" t="s">
        <v>5191</v>
      </c>
    </row>
    <row r="198" spans="1:15" ht="15.75" x14ac:dyDescent="0.25">
      <c r="A198" s="55" t="s">
        <v>5188</v>
      </c>
      <c r="B198" s="55" t="s">
        <v>7708</v>
      </c>
      <c r="C198" s="55" t="s">
        <v>7709</v>
      </c>
      <c r="D198" s="55" t="s">
        <v>7710</v>
      </c>
      <c r="E198" s="55" t="s">
        <v>7711</v>
      </c>
      <c r="F198" s="55" t="s">
        <v>7712</v>
      </c>
      <c r="G198" s="55" t="s">
        <v>5273</v>
      </c>
      <c r="H198" s="55" t="s">
        <v>5274</v>
      </c>
      <c r="I198" s="55" t="s">
        <v>7713</v>
      </c>
      <c r="J198" s="55" t="s">
        <v>5189</v>
      </c>
      <c r="K198" s="55" t="s">
        <v>7714</v>
      </c>
      <c r="L198" s="55" t="s">
        <v>7715</v>
      </c>
      <c r="M198" s="55" t="s">
        <v>965</v>
      </c>
      <c r="N198" s="55" t="s">
        <v>5192</v>
      </c>
      <c r="O198" s="55" t="s">
        <v>5191</v>
      </c>
    </row>
    <row r="199" spans="1:15" ht="15.75" x14ac:dyDescent="0.25">
      <c r="A199" s="55" t="s">
        <v>5188</v>
      </c>
      <c r="B199" s="55" t="s">
        <v>7716</v>
      </c>
      <c r="C199" s="55" t="s">
        <v>7709</v>
      </c>
      <c r="D199" s="55" t="s">
        <v>7710</v>
      </c>
      <c r="E199" s="55" t="s">
        <v>7711</v>
      </c>
      <c r="F199" s="55" t="s">
        <v>7712</v>
      </c>
      <c r="G199" s="55" t="s">
        <v>5273</v>
      </c>
      <c r="H199" s="55" t="s">
        <v>5274</v>
      </c>
      <c r="I199" s="55" t="s">
        <v>7713</v>
      </c>
      <c r="J199" s="55" t="s">
        <v>5189</v>
      </c>
      <c r="K199" s="55" t="s">
        <v>7714</v>
      </c>
      <c r="L199" s="55" t="s">
        <v>7715</v>
      </c>
      <c r="M199" s="55" t="s">
        <v>3551</v>
      </c>
      <c r="N199" s="55" t="s">
        <v>5192</v>
      </c>
      <c r="O199" s="55" t="s">
        <v>5191</v>
      </c>
    </row>
    <row r="200" spans="1:15" ht="15.75" x14ac:dyDescent="0.25">
      <c r="A200" s="55" t="s">
        <v>5188</v>
      </c>
      <c r="B200" s="55" t="s">
        <v>7717</v>
      </c>
      <c r="C200" s="55" t="s">
        <v>7709</v>
      </c>
      <c r="D200" s="55" t="s">
        <v>7710</v>
      </c>
      <c r="E200" s="55" t="s">
        <v>7711</v>
      </c>
      <c r="F200" s="55" t="s">
        <v>7712</v>
      </c>
      <c r="G200" s="55" t="s">
        <v>5273</v>
      </c>
      <c r="H200" s="55" t="s">
        <v>5274</v>
      </c>
      <c r="I200" s="55" t="s">
        <v>7713</v>
      </c>
      <c r="J200" s="55" t="s">
        <v>5189</v>
      </c>
      <c r="K200" s="55" t="s">
        <v>7714</v>
      </c>
      <c r="L200" s="55" t="s">
        <v>7715</v>
      </c>
      <c r="M200" s="55" t="s">
        <v>4567</v>
      </c>
      <c r="N200" s="55" t="s">
        <v>5192</v>
      </c>
      <c r="O200" s="55" t="s">
        <v>5191</v>
      </c>
    </row>
    <row r="201" spans="1:15" ht="15.75" x14ac:dyDescent="0.25">
      <c r="A201" s="55" t="s">
        <v>5188</v>
      </c>
      <c r="B201" s="55" t="s">
        <v>7718</v>
      </c>
      <c r="C201" s="55" t="s">
        <v>7709</v>
      </c>
      <c r="D201" s="55" t="s">
        <v>7710</v>
      </c>
      <c r="E201" s="55" t="s">
        <v>7711</v>
      </c>
      <c r="F201" s="55" t="s">
        <v>7712</v>
      </c>
      <c r="G201" s="55" t="s">
        <v>5273</v>
      </c>
      <c r="H201" s="55" t="s">
        <v>5274</v>
      </c>
      <c r="I201" s="55" t="s">
        <v>7713</v>
      </c>
      <c r="J201" s="55" t="s">
        <v>5189</v>
      </c>
      <c r="K201" s="55" t="s">
        <v>7714</v>
      </c>
      <c r="L201" s="55" t="s">
        <v>7715</v>
      </c>
      <c r="M201" s="55" t="s">
        <v>4684</v>
      </c>
      <c r="N201" s="55" t="s">
        <v>5192</v>
      </c>
      <c r="O201" s="55" t="s">
        <v>5191</v>
      </c>
    </row>
    <row r="202" spans="1:15" ht="15.75" x14ac:dyDescent="0.25">
      <c r="A202" s="55" t="s">
        <v>5188</v>
      </c>
      <c r="B202" s="55" t="s">
        <v>7719</v>
      </c>
      <c r="C202" s="55" t="s">
        <v>7709</v>
      </c>
      <c r="D202" s="55" t="s">
        <v>7710</v>
      </c>
      <c r="E202" s="55" t="s">
        <v>7711</v>
      </c>
      <c r="F202" s="55" t="s">
        <v>7712</v>
      </c>
      <c r="G202" s="55" t="s">
        <v>5273</v>
      </c>
      <c r="H202" s="55" t="s">
        <v>5274</v>
      </c>
      <c r="I202" s="55" t="s">
        <v>7713</v>
      </c>
      <c r="J202" s="55" t="s">
        <v>5189</v>
      </c>
      <c r="K202" s="55" t="s">
        <v>7714</v>
      </c>
      <c r="L202" s="55" t="s">
        <v>7715</v>
      </c>
      <c r="M202" s="55" t="s">
        <v>4521</v>
      </c>
      <c r="N202" s="55" t="s">
        <v>5192</v>
      </c>
      <c r="O202" s="55" t="s">
        <v>5191</v>
      </c>
    </row>
    <row r="203" spans="1:15" ht="15.75" x14ac:dyDescent="0.25">
      <c r="A203" s="55" t="s">
        <v>5188</v>
      </c>
      <c r="B203" s="55" t="s">
        <v>7720</v>
      </c>
      <c r="C203" s="55" t="s">
        <v>7721</v>
      </c>
      <c r="D203" s="55" t="s">
        <v>7722</v>
      </c>
      <c r="E203" s="55" t="s">
        <v>7723</v>
      </c>
      <c r="F203" s="55" t="s">
        <v>7724</v>
      </c>
      <c r="G203" s="55" t="s">
        <v>7725</v>
      </c>
      <c r="H203" s="55" t="s">
        <v>7726</v>
      </c>
      <c r="I203" s="55" t="s">
        <v>7727</v>
      </c>
      <c r="J203" s="55" t="s">
        <v>5189</v>
      </c>
      <c r="K203" s="55" t="s">
        <v>7728</v>
      </c>
      <c r="L203" s="55" t="s">
        <v>7729</v>
      </c>
      <c r="M203" s="55" t="s">
        <v>4573</v>
      </c>
      <c r="N203" s="55" t="s">
        <v>5192</v>
      </c>
      <c r="O203" s="55" t="s">
        <v>5191</v>
      </c>
    </row>
    <row r="204" spans="1:15" ht="15.75" x14ac:dyDescent="0.25">
      <c r="A204" s="55" t="s">
        <v>5188</v>
      </c>
      <c r="B204" s="55" t="s">
        <v>7730</v>
      </c>
      <c r="C204" s="55" t="s">
        <v>7731</v>
      </c>
      <c r="D204" s="55" t="s">
        <v>7732</v>
      </c>
      <c r="E204" s="55" t="s">
        <v>7733</v>
      </c>
      <c r="F204" s="55" t="s">
        <v>7734</v>
      </c>
      <c r="G204" s="55" t="s">
        <v>7735</v>
      </c>
      <c r="H204" s="55" t="s">
        <v>7736</v>
      </c>
      <c r="I204" s="55" t="s">
        <v>7737</v>
      </c>
      <c r="J204" s="55" t="s">
        <v>5189</v>
      </c>
      <c r="K204" s="55" t="s">
        <v>7738</v>
      </c>
      <c r="L204" s="55" t="s">
        <v>7739</v>
      </c>
      <c r="M204" s="55" t="s">
        <v>906</v>
      </c>
      <c r="N204" s="55" t="s">
        <v>5192</v>
      </c>
      <c r="O204" s="55" t="s">
        <v>5191</v>
      </c>
    </row>
    <row r="205" spans="1:15" ht="15.75" x14ac:dyDescent="0.25">
      <c r="A205" s="55" t="s">
        <v>5188</v>
      </c>
      <c r="B205" s="55" t="s">
        <v>7740</v>
      </c>
      <c r="C205" s="55" t="s">
        <v>7731</v>
      </c>
      <c r="D205" s="55" t="s">
        <v>7732</v>
      </c>
      <c r="E205" s="55" t="s">
        <v>7733</v>
      </c>
      <c r="F205" s="55" t="s">
        <v>7734</v>
      </c>
      <c r="G205" s="55" t="s">
        <v>7735</v>
      </c>
      <c r="H205" s="55" t="s">
        <v>7736</v>
      </c>
      <c r="I205" s="55" t="s">
        <v>7737</v>
      </c>
      <c r="J205" s="55" t="s">
        <v>5189</v>
      </c>
      <c r="K205" s="55" t="s">
        <v>7738</v>
      </c>
      <c r="L205" s="55" t="s">
        <v>7739</v>
      </c>
      <c r="M205" s="55" t="s">
        <v>965</v>
      </c>
      <c r="N205" s="55" t="s">
        <v>5192</v>
      </c>
      <c r="O205" s="55" t="s">
        <v>5191</v>
      </c>
    </row>
    <row r="206" spans="1:15" ht="15.75" x14ac:dyDescent="0.25">
      <c r="A206" s="55" t="s">
        <v>5188</v>
      </c>
      <c r="B206" s="55" t="s">
        <v>7741</v>
      </c>
      <c r="C206" s="55" t="s">
        <v>7742</v>
      </c>
      <c r="D206" s="55" t="s">
        <v>5219</v>
      </c>
      <c r="E206" s="55" t="s">
        <v>5215</v>
      </c>
      <c r="F206" s="55" t="s">
        <v>5216</v>
      </c>
      <c r="G206" s="55" t="s">
        <v>5217</v>
      </c>
      <c r="H206" s="55" t="s">
        <v>5218</v>
      </c>
      <c r="I206" s="55" t="s">
        <v>7743</v>
      </c>
      <c r="J206" s="55" t="s">
        <v>5189</v>
      </c>
      <c r="K206" s="55" t="s">
        <v>7744</v>
      </c>
      <c r="L206" s="55" t="s">
        <v>7745</v>
      </c>
      <c r="M206" s="55" t="s">
        <v>4503</v>
      </c>
      <c r="N206" s="55" t="s">
        <v>5192</v>
      </c>
      <c r="O206" s="55" t="s">
        <v>5191</v>
      </c>
    </row>
    <row r="207" spans="1:15" ht="15.75" x14ac:dyDescent="0.25">
      <c r="A207" s="55" t="s">
        <v>5188</v>
      </c>
      <c r="B207" s="55" t="s">
        <v>7746</v>
      </c>
      <c r="C207" s="55" t="s">
        <v>7742</v>
      </c>
      <c r="D207" s="55" t="s">
        <v>5219</v>
      </c>
      <c r="E207" s="55" t="s">
        <v>5215</v>
      </c>
      <c r="F207" s="55" t="s">
        <v>5216</v>
      </c>
      <c r="G207" s="55" t="s">
        <v>5217</v>
      </c>
      <c r="H207" s="55" t="s">
        <v>5218</v>
      </c>
      <c r="I207" s="55" t="s">
        <v>7743</v>
      </c>
      <c r="J207" s="55" t="s">
        <v>5189</v>
      </c>
      <c r="K207" s="55" t="s">
        <v>7744</v>
      </c>
      <c r="L207" s="55" t="s">
        <v>7745</v>
      </c>
      <c r="M207" s="55" t="s">
        <v>4575</v>
      </c>
      <c r="N207" s="55" t="s">
        <v>5192</v>
      </c>
      <c r="O207" s="55" t="s">
        <v>5191</v>
      </c>
    </row>
    <row r="208" spans="1:15" ht="15.75" x14ac:dyDescent="0.25">
      <c r="A208" s="55" t="s">
        <v>5188</v>
      </c>
      <c r="B208" s="55" t="s">
        <v>7747</v>
      </c>
      <c r="C208" s="55" t="s">
        <v>7742</v>
      </c>
      <c r="D208" s="55" t="s">
        <v>5219</v>
      </c>
      <c r="E208" s="55" t="s">
        <v>5215</v>
      </c>
      <c r="F208" s="55" t="s">
        <v>5216</v>
      </c>
      <c r="G208" s="55" t="s">
        <v>5217</v>
      </c>
      <c r="H208" s="55" t="s">
        <v>5218</v>
      </c>
      <c r="I208" s="55" t="s">
        <v>7743</v>
      </c>
      <c r="J208" s="55" t="s">
        <v>5189</v>
      </c>
      <c r="K208" s="55" t="s">
        <v>7744</v>
      </c>
      <c r="L208" s="55" t="s">
        <v>7745</v>
      </c>
      <c r="M208" s="55" t="s">
        <v>5084</v>
      </c>
      <c r="N208" s="55" t="s">
        <v>5192</v>
      </c>
      <c r="O208" s="55" t="s">
        <v>5191</v>
      </c>
    </row>
    <row r="209" spans="1:15" ht="15.75" x14ac:dyDescent="0.25">
      <c r="A209" s="55" t="s">
        <v>5188</v>
      </c>
      <c r="B209" s="55" t="s">
        <v>7748</v>
      </c>
      <c r="C209" s="55" t="s">
        <v>7749</v>
      </c>
      <c r="D209" s="55" t="s">
        <v>5219</v>
      </c>
      <c r="E209" s="55" t="s">
        <v>5215</v>
      </c>
      <c r="F209" s="55" t="s">
        <v>5216</v>
      </c>
      <c r="G209" s="55" t="s">
        <v>5217</v>
      </c>
      <c r="H209" s="55" t="s">
        <v>5218</v>
      </c>
      <c r="I209" s="55" t="s">
        <v>7750</v>
      </c>
      <c r="J209" s="55" t="s">
        <v>5189</v>
      </c>
      <c r="K209" s="55" t="s">
        <v>7751</v>
      </c>
      <c r="L209" s="55" t="s">
        <v>7752</v>
      </c>
      <c r="M209" s="55" t="s">
        <v>4575</v>
      </c>
      <c r="N209" s="55" t="s">
        <v>5192</v>
      </c>
      <c r="O209" s="55" t="s">
        <v>5191</v>
      </c>
    </row>
    <row r="210" spans="1:15" ht="15.75" x14ac:dyDescent="0.25">
      <c r="A210" s="55" t="s">
        <v>5188</v>
      </c>
      <c r="B210" s="55" t="s">
        <v>7753</v>
      </c>
      <c r="C210" s="55" t="s">
        <v>7749</v>
      </c>
      <c r="D210" s="55" t="s">
        <v>5219</v>
      </c>
      <c r="E210" s="55" t="s">
        <v>5215</v>
      </c>
      <c r="F210" s="55" t="s">
        <v>5216</v>
      </c>
      <c r="G210" s="55" t="s">
        <v>5217</v>
      </c>
      <c r="H210" s="55" t="s">
        <v>5218</v>
      </c>
      <c r="I210" s="55" t="s">
        <v>7750</v>
      </c>
      <c r="J210" s="55" t="s">
        <v>5189</v>
      </c>
      <c r="K210" s="55" t="s">
        <v>7751</v>
      </c>
      <c r="L210" s="55" t="s">
        <v>7752</v>
      </c>
      <c r="M210" s="55" t="s">
        <v>5084</v>
      </c>
      <c r="N210" s="55" t="s">
        <v>5192</v>
      </c>
      <c r="O210" s="55" t="s">
        <v>5191</v>
      </c>
    </row>
    <row r="211" spans="1:15" ht="15.75" x14ac:dyDescent="0.25">
      <c r="A211" s="55" t="s">
        <v>5188</v>
      </c>
      <c r="B211" s="55" t="s">
        <v>7754</v>
      </c>
      <c r="C211" s="55" t="s">
        <v>7749</v>
      </c>
      <c r="D211" s="55" t="s">
        <v>5219</v>
      </c>
      <c r="E211" s="55" t="s">
        <v>5215</v>
      </c>
      <c r="F211" s="55" t="s">
        <v>5216</v>
      </c>
      <c r="G211" s="55" t="s">
        <v>5217</v>
      </c>
      <c r="H211" s="55" t="s">
        <v>5218</v>
      </c>
      <c r="I211" s="55" t="s">
        <v>7750</v>
      </c>
      <c r="J211" s="55" t="s">
        <v>5189</v>
      </c>
      <c r="K211" s="55" t="s">
        <v>7751</v>
      </c>
      <c r="L211" s="55" t="s">
        <v>7752</v>
      </c>
      <c r="M211" s="55" t="s">
        <v>4609</v>
      </c>
      <c r="N211" s="55" t="s">
        <v>5192</v>
      </c>
      <c r="O211" s="55" t="s">
        <v>5191</v>
      </c>
    </row>
    <row r="212" spans="1:15" ht="15.75" x14ac:dyDescent="0.25">
      <c r="A212" s="55" t="s">
        <v>5188</v>
      </c>
      <c r="B212" s="55" t="s">
        <v>7755</v>
      </c>
      <c r="C212" s="55" t="s">
        <v>7756</v>
      </c>
      <c r="D212" s="55" t="s">
        <v>5219</v>
      </c>
      <c r="E212" s="55" t="s">
        <v>5215</v>
      </c>
      <c r="F212" s="55" t="s">
        <v>5216</v>
      </c>
      <c r="G212" s="55" t="s">
        <v>5217</v>
      </c>
      <c r="H212" s="55" t="s">
        <v>5218</v>
      </c>
      <c r="I212" s="55" t="s">
        <v>7757</v>
      </c>
      <c r="J212" s="55" t="s">
        <v>5189</v>
      </c>
      <c r="K212" s="55" t="s">
        <v>7758</v>
      </c>
      <c r="L212" s="55" t="s">
        <v>7759</v>
      </c>
      <c r="M212" s="55" t="s">
        <v>4575</v>
      </c>
      <c r="N212" s="55" t="s">
        <v>5192</v>
      </c>
      <c r="O212" s="55" t="s">
        <v>5191</v>
      </c>
    </row>
    <row r="213" spans="1:15" ht="15.75" x14ac:dyDescent="0.25">
      <c r="A213" s="55" t="s">
        <v>5188</v>
      </c>
      <c r="B213" s="55" t="s">
        <v>7760</v>
      </c>
      <c r="C213" s="55" t="s">
        <v>7761</v>
      </c>
      <c r="D213" s="55" t="s">
        <v>5219</v>
      </c>
      <c r="E213" s="55" t="s">
        <v>5215</v>
      </c>
      <c r="F213" s="55" t="s">
        <v>5216</v>
      </c>
      <c r="G213" s="55" t="s">
        <v>5217</v>
      </c>
      <c r="H213" s="55" t="s">
        <v>5218</v>
      </c>
      <c r="I213" s="55" t="s">
        <v>7762</v>
      </c>
      <c r="J213" s="55" t="s">
        <v>5189</v>
      </c>
      <c r="K213" s="55" t="s">
        <v>7763</v>
      </c>
      <c r="L213" s="55" t="s">
        <v>7764</v>
      </c>
      <c r="M213" s="55" t="s">
        <v>4503</v>
      </c>
      <c r="N213" s="55" t="s">
        <v>5192</v>
      </c>
      <c r="O213" s="55" t="s">
        <v>5191</v>
      </c>
    </row>
    <row r="214" spans="1:15" ht="15.75" x14ac:dyDescent="0.25">
      <c r="A214" s="55" t="s">
        <v>5188</v>
      </c>
      <c r="B214" s="55" t="s">
        <v>7765</v>
      </c>
      <c r="C214" s="55" t="s">
        <v>7761</v>
      </c>
      <c r="D214" s="55" t="s">
        <v>5219</v>
      </c>
      <c r="E214" s="55" t="s">
        <v>5215</v>
      </c>
      <c r="F214" s="55" t="s">
        <v>5216</v>
      </c>
      <c r="G214" s="55" t="s">
        <v>5217</v>
      </c>
      <c r="H214" s="55" t="s">
        <v>5218</v>
      </c>
      <c r="I214" s="55" t="s">
        <v>7762</v>
      </c>
      <c r="J214" s="55" t="s">
        <v>5189</v>
      </c>
      <c r="K214" s="55" t="s">
        <v>7763</v>
      </c>
      <c r="L214" s="55" t="s">
        <v>7764</v>
      </c>
      <c r="M214" s="55" t="s">
        <v>4575</v>
      </c>
      <c r="N214" s="55" t="s">
        <v>5192</v>
      </c>
      <c r="O214" s="55" t="s">
        <v>5191</v>
      </c>
    </row>
    <row r="215" spans="1:15" ht="15.75" x14ac:dyDescent="0.25">
      <c r="A215" s="55" t="s">
        <v>5188</v>
      </c>
      <c r="B215" s="55" t="s">
        <v>7766</v>
      </c>
      <c r="C215" s="55" t="s">
        <v>7761</v>
      </c>
      <c r="D215" s="55" t="s">
        <v>5219</v>
      </c>
      <c r="E215" s="55" t="s">
        <v>5215</v>
      </c>
      <c r="F215" s="55" t="s">
        <v>5216</v>
      </c>
      <c r="G215" s="55" t="s">
        <v>5217</v>
      </c>
      <c r="H215" s="55" t="s">
        <v>5218</v>
      </c>
      <c r="I215" s="55" t="s">
        <v>7762</v>
      </c>
      <c r="J215" s="55" t="s">
        <v>5189</v>
      </c>
      <c r="K215" s="55" t="s">
        <v>7763</v>
      </c>
      <c r="L215" s="55" t="s">
        <v>7764</v>
      </c>
      <c r="M215" s="55" t="s">
        <v>5084</v>
      </c>
      <c r="N215" s="55" t="s">
        <v>5192</v>
      </c>
      <c r="O215" s="55" t="s">
        <v>5191</v>
      </c>
    </row>
    <row r="216" spans="1:15" ht="15.75" x14ac:dyDescent="0.25">
      <c r="A216" s="55" t="s">
        <v>5188</v>
      </c>
      <c r="B216" s="55" t="s">
        <v>7767</v>
      </c>
      <c r="C216" s="55" t="s">
        <v>7761</v>
      </c>
      <c r="D216" s="55" t="s">
        <v>5219</v>
      </c>
      <c r="E216" s="55" t="s">
        <v>5215</v>
      </c>
      <c r="F216" s="55" t="s">
        <v>5216</v>
      </c>
      <c r="G216" s="55" t="s">
        <v>5217</v>
      </c>
      <c r="H216" s="55" t="s">
        <v>5218</v>
      </c>
      <c r="I216" s="55" t="s">
        <v>7762</v>
      </c>
      <c r="J216" s="55" t="s">
        <v>5189</v>
      </c>
      <c r="K216" s="55" t="s">
        <v>7763</v>
      </c>
      <c r="L216" s="55" t="s">
        <v>7764</v>
      </c>
      <c r="M216" s="55" t="s">
        <v>4609</v>
      </c>
      <c r="N216" s="55" t="s">
        <v>5192</v>
      </c>
      <c r="O216" s="55" t="s">
        <v>5191</v>
      </c>
    </row>
    <row r="217" spans="1:15" ht="15.75" x14ac:dyDescent="0.25">
      <c r="A217" s="55" t="s">
        <v>5188</v>
      </c>
      <c r="B217" s="55" t="s">
        <v>7768</v>
      </c>
      <c r="C217" s="55" t="s">
        <v>7769</v>
      </c>
      <c r="D217" s="55" t="s">
        <v>5219</v>
      </c>
      <c r="E217" s="55" t="s">
        <v>5215</v>
      </c>
      <c r="F217" s="55" t="s">
        <v>5216</v>
      </c>
      <c r="G217" s="55" t="s">
        <v>5217</v>
      </c>
      <c r="H217" s="55" t="s">
        <v>5218</v>
      </c>
      <c r="I217" s="55" t="s">
        <v>7770</v>
      </c>
      <c r="J217" s="55" t="s">
        <v>5189</v>
      </c>
      <c r="K217" s="55" t="s">
        <v>7771</v>
      </c>
      <c r="L217" s="55" t="s">
        <v>7772</v>
      </c>
      <c r="M217" s="55" t="s">
        <v>4503</v>
      </c>
      <c r="N217" s="55" t="s">
        <v>5192</v>
      </c>
      <c r="O217" s="55" t="s">
        <v>5191</v>
      </c>
    </row>
    <row r="218" spans="1:15" ht="15.75" x14ac:dyDescent="0.25">
      <c r="A218" s="55" t="s">
        <v>5188</v>
      </c>
      <c r="B218" s="55" t="s">
        <v>7773</v>
      </c>
      <c r="C218" s="55" t="s">
        <v>7769</v>
      </c>
      <c r="D218" s="55" t="s">
        <v>5219</v>
      </c>
      <c r="E218" s="55" t="s">
        <v>5215</v>
      </c>
      <c r="F218" s="55" t="s">
        <v>5216</v>
      </c>
      <c r="G218" s="55" t="s">
        <v>5217</v>
      </c>
      <c r="H218" s="55" t="s">
        <v>5218</v>
      </c>
      <c r="I218" s="55" t="s">
        <v>7770</v>
      </c>
      <c r="J218" s="55" t="s">
        <v>5189</v>
      </c>
      <c r="K218" s="55" t="s">
        <v>7771</v>
      </c>
      <c r="L218" s="55" t="s">
        <v>7772</v>
      </c>
      <c r="M218" s="55" t="s">
        <v>4575</v>
      </c>
      <c r="N218" s="55" t="s">
        <v>5192</v>
      </c>
      <c r="O218" s="55" t="s">
        <v>5191</v>
      </c>
    </row>
    <row r="219" spans="1:15" ht="15.75" x14ac:dyDescent="0.25">
      <c r="A219" s="55" t="s">
        <v>5188</v>
      </c>
      <c r="B219" s="55" t="s">
        <v>7774</v>
      </c>
      <c r="C219" s="55" t="s">
        <v>7769</v>
      </c>
      <c r="D219" s="55" t="s">
        <v>5219</v>
      </c>
      <c r="E219" s="55" t="s">
        <v>5215</v>
      </c>
      <c r="F219" s="55" t="s">
        <v>5216</v>
      </c>
      <c r="G219" s="55" t="s">
        <v>5217</v>
      </c>
      <c r="H219" s="55" t="s">
        <v>5218</v>
      </c>
      <c r="I219" s="55" t="s">
        <v>7770</v>
      </c>
      <c r="J219" s="55" t="s">
        <v>5189</v>
      </c>
      <c r="K219" s="55" t="s">
        <v>7771</v>
      </c>
      <c r="L219" s="55" t="s">
        <v>7772</v>
      </c>
      <c r="M219" s="55" t="s">
        <v>5084</v>
      </c>
      <c r="N219" s="55" t="s">
        <v>5192</v>
      </c>
      <c r="O219" s="55" t="s">
        <v>5191</v>
      </c>
    </row>
    <row r="220" spans="1:15" ht="15.75" x14ac:dyDescent="0.25">
      <c r="A220" s="55" t="s">
        <v>5188</v>
      </c>
      <c r="B220" s="55" t="s">
        <v>7775</v>
      </c>
      <c r="C220" s="55" t="s">
        <v>7769</v>
      </c>
      <c r="D220" s="55" t="s">
        <v>5219</v>
      </c>
      <c r="E220" s="55" t="s">
        <v>5215</v>
      </c>
      <c r="F220" s="55" t="s">
        <v>5216</v>
      </c>
      <c r="G220" s="55" t="s">
        <v>5217</v>
      </c>
      <c r="H220" s="55" t="s">
        <v>5218</v>
      </c>
      <c r="I220" s="55" t="s">
        <v>7770</v>
      </c>
      <c r="J220" s="55" t="s">
        <v>5189</v>
      </c>
      <c r="K220" s="55" t="s">
        <v>7771</v>
      </c>
      <c r="L220" s="55" t="s">
        <v>7772</v>
      </c>
      <c r="M220" s="55" t="s">
        <v>4609</v>
      </c>
      <c r="N220" s="55" t="s">
        <v>5192</v>
      </c>
      <c r="O220" s="55" t="s">
        <v>5191</v>
      </c>
    </row>
    <row r="221" spans="1:15" ht="15.75" x14ac:dyDescent="0.25">
      <c r="A221" s="55" t="s">
        <v>5188</v>
      </c>
      <c r="B221" s="55" t="s">
        <v>7776</v>
      </c>
      <c r="C221" s="55" t="s">
        <v>7777</v>
      </c>
      <c r="D221" s="55" t="s">
        <v>5219</v>
      </c>
      <c r="E221" s="55" t="s">
        <v>5215</v>
      </c>
      <c r="F221" s="55" t="s">
        <v>5216</v>
      </c>
      <c r="G221" s="55" t="s">
        <v>5217</v>
      </c>
      <c r="H221" s="55" t="s">
        <v>5218</v>
      </c>
      <c r="I221" s="55" t="s">
        <v>7778</v>
      </c>
      <c r="J221" s="55" t="s">
        <v>5189</v>
      </c>
      <c r="K221" s="55" t="s">
        <v>7779</v>
      </c>
      <c r="L221" s="55" t="s">
        <v>7780</v>
      </c>
      <c r="M221" s="55" t="s">
        <v>4609</v>
      </c>
      <c r="N221" s="55" t="s">
        <v>5192</v>
      </c>
      <c r="O221" s="55" t="s">
        <v>5191</v>
      </c>
    </row>
    <row r="222" spans="1:15" ht="15.75" x14ac:dyDescent="0.25">
      <c r="A222" s="55" t="s">
        <v>5188</v>
      </c>
      <c r="B222" s="55" t="s">
        <v>6442</v>
      </c>
      <c r="C222" s="55" t="s">
        <v>6443</v>
      </c>
      <c r="D222" s="55" t="s">
        <v>6444</v>
      </c>
      <c r="E222" s="55" t="s">
        <v>6445</v>
      </c>
      <c r="F222" s="55" t="s">
        <v>6446</v>
      </c>
      <c r="G222" s="55" t="s">
        <v>5424</v>
      </c>
      <c r="H222" s="55" t="s">
        <v>5425</v>
      </c>
      <c r="I222" s="55" t="s">
        <v>6447</v>
      </c>
      <c r="J222" s="55" t="s">
        <v>5189</v>
      </c>
      <c r="K222" s="55" t="s">
        <v>6448</v>
      </c>
      <c r="L222" s="55" t="s">
        <v>6449</v>
      </c>
      <c r="M222" s="55" t="s">
        <v>5232</v>
      </c>
      <c r="N222" s="55" t="s">
        <v>5190</v>
      </c>
      <c r="O222" s="55" t="s">
        <v>5191</v>
      </c>
    </row>
    <row r="223" spans="1:15" ht="15.75" x14ac:dyDescent="0.25">
      <c r="A223" s="55" t="s">
        <v>5188</v>
      </c>
      <c r="B223" s="55" t="s">
        <v>6457</v>
      </c>
      <c r="C223" s="55" t="s">
        <v>6458</v>
      </c>
      <c r="D223" s="55" t="s">
        <v>5407</v>
      </c>
      <c r="E223" s="55" t="s">
        <v>5408</v>
      </c>
      <c r="F223" s="55" t="s">
        <v>5305</v>
      </c>
      <c r="G223" s="55" t="s">
        <v>5235</v>
      </c>
      <c r="H223" s="55" t="s">
        <v>5236</v>
      </c>
      <c r="I223" s="55" t="s">
        <v>6459</v>
      </c>
      <c r="J223" s="55" t="s">
        <v>5189</v>
      </c>
      <c r="K223" s="55" t="s">
        <v>6460</v>
      </c>
      <c r="L223" s="55" t="s">
        <v>6461</v>
      </c>
      <c r="M223" s="55" t="s">
        <v>4501</v>
      </c>
      <c r="N223" s="55" t="s">
        <v>5192</v>
      </c>
      <c r="O223" s="55" t="s">
        <v>5191</v>
      </c>
    </row>
    <row r="224" spans="1:15" ht="15.75" x14ac:dyDescent="0.25">
      <c r="A224" s="55" t="s">
        <v>5188</v>
      </c>
      <c r="B224" s="55" t="s">
        <v>6466</v>
      </c>
      <c r="C224" s="55" t="s">
        <v>6467</v>
      </c>
      <c r="D224" s="55" t="s">
        <v>6468</v>
      </c>
      <c r="E224" s="55" t="s">
        <v>6469</v>
      </c>
      <c r="F224" s="55" t="s">
        <v>6470</v>
      </c>
      <c r="G224" s="55" t="s">
        <v>5229</v>
      </c>
      <c r="H224" s="55" t="s">
        <v>5230</v>
      </c>
      <c r="I224" s="55" t="s">
        <v>6471</v>
      </c>
      <c r="J224" s="55" t="s">
        <v>5189</v>
      </c>
      <c r="K224" s="55" t="s">
        <v>6472</v>
      </c>
      <c r="L224" s="55" t="s">
        <v>6473</v>
      </c>
      <c r="M224" s="55" t="s">
        <v>4501</v>
      </c>
      <c r="N224" s="55" t="s">
        <v>5192</v>
      </c>
      <c r="O224" s="55" t="s">
        <v>5191</v>
      </c>
    </row>
    <row r="225" spans="1:15" ht="15.75" x14ac:dyDescent="0.25">
      <c r="A225" s="55" t="s">
        <v>5188</v>
      </c>
      <c r="B225" s="55" t="s">
        <v>5987</v>
      </c>
      <c r="C225" s="55" t="s">
        <v>5946</v>
      </c>
      <c r="D225" s="55" t="s">
        <v>5947</v>
      </c>
      <c r="E225" s="55" t="s">
        <v>5948</v>
      </c>
      <c r="F225" s="55" t="s">
        <v>5949</v>
      </c>
      <c r="G225" s="55" t="s">
        <v>5950</v>
      </c>
      <c r="H225" s="55" t="s">
        <v>5951</v>
      </c>
      <c r="I225" s="55" t="s">
        <v>5952</v>
      </c>
      <c r="J225" s="55" t="s">
        <v>5189</v>
      </c>
      <c r="K225" s="55" t="s">
        <v>5953</v>
      </c>
      <c r="L225" s="55" t="s">
        <v>5954</v>
      </c>
      <c r="M225" s="55" t="s">
        <v>5141</v>
      </c>
      <c r="N225" s="55" t="s">
        <v>5192</v>
      </c>
      <c r="O225" s="55" t="s">
        <v>5191</v>
      </c>
    </row>
    <row r="226" spans="1:15" ht="15.75" x14ac:dyDescent="0.25">
      <c r="A226" s="55" t="s">
        <v>5188</v>
      </c>
      <c r="B226" s="55" t="s">
        <v>5988</v>
      </c>
      <c r="C226" s="55" t="s">
        <v>5946</v>
      </c>
      <c r="D226" s="55" t="s">
        <v>5947</v>
      </c>
      <c r="E226" s="55" t="s">
        <v>5948</v>
      </c>
      <c r="F226" s="55" t="s">
        <v>5949</v>
      </c>
      <c r="G226" s="55" t="s">
        <v>5950</v>
      </c>
      <c r="H226" s="55" t="s">
        <v>5951</v>
      </c>
      <c r="I226" s="55" t="s">
        <v>5952</v>
      </c>
      <c r="J226" s="55" t="s">
        <v>5189</v>
      </c>
      <c r="K226" s="55" t="s">
        <v>5953</v>
      </c>
      <c r="L226" s="55" t="s">
        <v>5954</v>
      </c>
      <c r="M226" s="55" t="s">
        <v>5960</v>
      </c>
      <c r="N226" s="55" t="s">
        <v>5192</v>
      </c>
      <c r="O226" s="55" t="s">
        <v>5191</v>
      </c>
    </row>
    <row r="227" spans="1:15" ht="15.75" x14ac:dyDescent="0.25">
      <c r="A227" s="55" t="s">
        <v>5188</v>
      </c>
      <c r="B227" s="55" t="s">
        <v>5989</v>
      </c>
      <c r="C227" s="55" t="s">
        <v>5956</v>
      </c>
      <c r="D227" s="55" t="s">
        <v>5957</v>
      </c>
      <c r="E227" s="55" t="s">
        <v>5948</v>
      </c>
      <c r="F227" s="55" t="s">
        <v>5949</v>
      </c>
      <c r="G227" s="55" t="s">
        <v>5950</v>
      </c>
      <c r="H227" s="55" t="s">
        <v>5951</v>
      </c>
      <c r="I227" s="55" t="s">
        <v>5952</v>
      </c>
      <c r="J227" s="55" t="s">
        <v>5189</v>
      </c>
      <c r="K227" s="55" t="s">
        <v>5958</v>
      </c>
      <c r="L227" s="55" t="s">
        <v>5959</v>
      </c>
      <c r="M227" s="55" t="s">
        <v>4884</v>
      </c>
      <c r="N227" s="55" t="s">
        <v>5192</v>
      </c>
      <c r="O227" s="55" t="s">
        <v>5191</v>
      </c>
    </row>
    <row r="228" spans="1:15" ht="15.75" x14ac:dyDescent="0.25">
      <c r="A228" s="55" t="s">
        <v>5188</v>
      </c>
      <c r="B228" s="55" t="s">
        <v>5990</v>
      </c>
      <c r="C228" s="55" t="s">
        <v>5991</v>
      </c>
      <c r="D228" s="55" t="s">
        <v>5992</v>
      </c>
      <c r="E228" s="55" t="s">
        <v>5993</v>
      </c>
      <c r="F228" s="55" t="s">
        <v>5994</v>
      </c>
      <c r="G228" s="55" t="s">
        <v>5623</v>
      </c>
      <c r="H228" s="55" t="s">
        <v>5624</v>
      </c>
      <c r="I228" s="55" t="s">
        <v>5995</v>
      </c>
      <c r="J228" s="55" t="s">
        <v>5189</v>
      </c>
      <c r="K228" s="55" t="s">
        <v>5996</v>
      </c>
      <c r="L228" s="55" t="s">
        <v>5997</v>
      </c>
      <c r="M228" s="55" t="s">
        <v>4569</v>
      </c>
      <c r="N228" s="55" t="s">
        <v>5192</v>
      </c>
      <c r="O228" s="55" t="s">
        <v>5191</v>
      </c>
    </row>
    <row r="229" spans="1:15" ht="15.75" x14ac:dyDescent="0.25">
      <c r="A229" s="55" t="s">
        <v>5188</v>
      </c>
      <c r="B229" s="55" t="s">
        <v>5998</v>
      </c>
      <c r="C229" s="55" t="s">
        <v>5991</v>
      </c>
      <c r="D229" s="55" t="s">
        <v>5992</v>
      </c>
      <c r="E229" s="55" t="s">
        <v>5993</v>
      </c>
      <c r="F229" s="55" t="s">
        <v>5994</v>
      </c>
      <c r="G229" s="55" t="s">
        <v>5623</v>
      </c>
      <c r="H229" s="55" t="s">
        <v>5624</v>
      </c>
      <c r="I229" s="55" t="s">
        <v>5995</v>
      </c>
      <c r="J229" s="55" t="s">
        <v>5189</v>
      </c>
      <c r="K229" s="55" t="s">
        <v>5996</v>
      </c>
      <c r="L229" s="55" t="s">
        <v>5997</v>
      </c>
      <c r="M229" s="55" t="s">
        <v>5960</v>
      </c>
      <c r="N229" s="55" t="s">
        <v>5192</v>
      </c>
      <c r="O229" s="55" t="s">
        <v>5191</v>
      </c>
    </row>
    <row r="230" spans="1:15" ht="15.75" x14ac:dyDescent="0.25">
      <c r="A230" s="55" t="s">
        <v>5188</v>
      </c>
      <c r="B230" s="55" t="s">
        <v>5999</v>
      </c>
      <c r="C230" s="55" t="s">
        <v>6000</v>
      </c>
      <c r="D230" s="55" t="s">
        <v>6001</v>
      </c>
      <c r="E230" s="55" t="s">
        <v>6002</v>
      </c>
      <c r="F230" s="55" t="s">
        <v>6003</v>
      </c>
      <c r="G230" s="55" t="s">
        <v>6004</v>
      </c>
      <c r="H230" s="55" t="s">
        <v>6005</v>
      </c>
      <c r="I230" s="55" t="s">
        <v>6006</v>
      </c>
      <c r="J230" s="55" t="s">
        <v>5189</v>
      </c>
      <c r="K230" s="55" t="s">
        <v>6007</v>
      </c>
      <c r="L230" s="55" t="s">
        <v>6008</v>
      </c>
      <c r="M230" s="55" t="s">
        <v>4746</v>
      </c>
      <c r="N230" s="55" t="s">
        <v>5192</v>
      </c>
      <c r="O230" s="55" t="s">
        <v>5191</v>
      </c>
    </row>
    <row r="231" spans="1:15" ht="15.75" x14ac:dyDescent="0.25">
      <c r="A231" s="55" t="s">
        <v>5188</v>
      </c>
      <c r="B231" s="55" t="s">
        <v>6009</v>
      </c>
      <c r="C231" s="55" t="s">
        <v>6010</v>
      </c>
      <c r="D231" s="55" t="s">
        <v>6011</v>
      </c>
      <c r="E231" s="55" t="s">
        <v>5734</v>
      </c>
      <c r="F231" s="55" t="s">
        <v>5735</v>
      </c>
      <c r="G231" s="55" t="s">
        <v>5736</v>
      </c>
      <c r="H231" s="55" t="s">
        <v>5737</v>
      </c>
      <c r="I231" s="55" t="s">
        <v>6012</v>
      </c>
      <c r="J231" s="55" t="s">
        <v>5189</v>
      </c>
      <c r="K231" s="55" t="s">
        <v>6013</v>
      </c>
      <c r="L231" s="55" t="s">
        <v>6014</v>
      </c>
      <c r="M231" s="55" t="s">
        <v>5208</v>
      </c>
      <c r="N231" s="55" t="s">
        <v>5192</v>
      </c>
      <c r="O231" s="55" t="s">
        <v>5191</v>
      </c>
    </row>
    <row r="232" spans="1:15" ht="15.75" x14ac:dyDescent="0.25">
      <c r="A232" s="55" t="s">
        <v>5188</v>
      </c>
      <c r="B232" s="55" t="s">
        <v>6015</v>
      </c>
      <c r="C232" s="55" t="s">
        <v>6010</v>
      </c>
      <c r="D232" s="55" t="s">
        <v>6011</v>
      </c>
      <c r="E232" s="55" t="s">
        <v>5734</v>
      </c>
      <c r="F232" s="55" t="s">
        <v>5735</v>
      </c>
      <c r="G232" s="55" t="s">
        <v>5736</v>
      </c>
      <c r="H232" s="55" t="s">
        <v>5737</v>
      </c>
      <c r="I232" s="55" t="s">
        <v>6012</v>
      </c>
      <c r="J232" s="55" t="s">
        <v>5189</v>
      </c>
      <c r="K232" s="55" t="s">
        <v>6013</v>
      </c>
      <c r="L232" s="55" t="s">
        <v>6014</v>
      </c>
      <c r="M232" s="55" t="s">
        <v>5745</v>
      </c>
      <c r="N232" s="55" t="s">
        <v>5192</v>
      </c>
      <c r="O232" s="55" t="s">
        <v>5191</v>
      </c>
    </row>
    <row r="233" spans="1:15" ht="15.75" x14ac:dyDescent="0.25">
      <c r="A233" s="55" t="s">
        <v>5188</v>
      </c>
      <c r="B233" s="55" t="s">
        <v>6016</v>
      </c>
      <c r="C233" s="55" t="s">
        <v>6010</v>
      </c>
      <c r="D233" s="55" t="s">
        <v>6011</v>
      </c>
      <c r="E233" s="55" t="s">
        <v>5734</v>
      </c>
      <c r="F233" s="55" t="s">
        <v>5735</v>
      </c>
      <c r="G233" s="55" t="s">
        <v>5736</v>
      </c>
      <c r="H233" s="55" t="s">
        <v>5737</v>
      </c>
      <c r="I233" s="55" t="s">
        <v>6012</v>
      </c>
      <c r="J233" s="55" t="s">
        <v>5189</v>
      </c>
      <c r="K233" s="55" t="s">
        <v>6013</v>
      </c>
      <c r="L233" s="55" t="s">
        <v>6014</v>
      </c>
      <c r="M233" s="55" t="s">
        <v>5208</v>
      </c>
      <c r="N233" s="55" t="s">
        <v>5192</v>
      </c>
      <c r="O233" s="55" t="s">
        <v>5191</v>
      </c>
    </row>
    <row r="234" spans="1:15" ht="15.75" x14ac:dyDescent="0.25">
      <c r="A234" s="55" t="s">
        <v>5188</v>
      </c>
      <c r="B234" s="55" t="s">
        <v>6017</v>
      </c>
      <c r="C234" s="55" t="s">
        <v>6018</v>
      </c>
      <c r="D234" s="55" t="s">
        <v>6019</v>
      </c>
      <c r="E234" s="55" t="s">
        <v>6020</v>
      </c>
      <c r="F234" s="55" t="s">
        <v>6021</v>
      </c>
      <c r="G234" s="55" t="s">
        <v>6022</v>
      </c>
      <c r="H234" s="55" t="s">
        <v>6023</v>
      </c>
      <c r="I234" s="55" t="s">
        <v>6024</v>
      </c>
      <c r="J234" s="55" t="s">
        <v>5189</v>
      </c>
      <c r="K234" s="55" t="s">
        <v>6025</v>
      </c>
      <c r="L234" s="55" t="s">
        <v>6026</v>
      </c>
      <c r="M234" s="55" t="s">
        <v>871</v>
      </c>
      <c r="N234" s="55" t="s">
        <v>5192</v>
      </c>
      <c r="O234" s="55" t="s">
        <v>5191</v>
      </c>
    </row>
    <row r="235" spans="1:15" ht="15.75" x14ac:dyDescent="0.25">
      <c r="A235" s="55" t="s">
        <v>5188</v>
      </c>
      <c r="B235" s="55" t="s">
        <v>6027</v>
      </c>
      <c r="C235" s="55" t="s">
        <v>6028</v>
      </c>
      <c r="D235" s="55" t="s">
        <v>6029</v>
      </c>
      <c r="E235" s="55" t="s">
        <v>5977</v>
      </c>
      <c r="F235" s="55" t="s">
        <v>5978</v>
      </c>
      <c r="G235" s="55" t="s">
        <v>5979</v>
      </c>
      <c r="H235" s="55" t="s">
        <v>5980</v>
      </c>
      <c r="I235" s="55" t="s">
        <v>6030</v>
      </c>
      <c r="J235" s="55" t="s">
        <v>5189</v>
      </c>
      <c r="K235" s="55" t="s">
        <v>6031</v>
      </c>
      <c r="L235" s="55" t="s">
        <v>6032</v>
      </c>
      <c r="M235" s="55" t="s">
        <v>4583</v>
      </c>
      <c r="N235" s="55" t="s">
        <v>5192</v>
      </c>
      <c r="O235" s="55" t="s">
        <v>5191</v>
      </c>
    </row>
    <row r="236" spans="1:15" ht="15.75" x14ac:dyDescent="0.25">
      <c r="A236" s="55" t="s">
        <v>5188</v>
      </c>
      <c r="B236" s="55" t="s">
        <v>6033</v>
      </c>
      <c r="C236" s="55" t="s">
        <v>6034</v>
      </c>
      <c r="D236" s="55" t="s">
        <v>6035</v>
      </c>
      <c r="E236" s="55" t="s">
        <v>6036</v>
      </c>
      <c r="F236" s="55" t="s">
        <v>6037</v>
      </c>
      <c r="G236" s="55" t="s">
        <v>5701</v>
      </c>
      <c r="H236" s="55" t="s">
        <v>5702</v>
      </c>
      <c r="I236" s="55" t="s">
        <v>6038</v>
      </c>
      <c r="J236" s="55" t="s">
        <v>5189</v>
      </c>
      <c r="K236" s="55" t="s">
        <v>6039</v>
      </c>
      <c r="L236" s="55" t="s">
        <v>6040</v>
      </c>
      <c r="M236" s="55" t="s">
        <v>4794</v>
      </c>
      <c r="N236" s="55" t="s">
        <v>5192</v>
      </c>
      <c r="O236" s="55" t="s">
        <v>5191</v>
      </c>
    </row>
    <row r="237" spans="1:15" ht="15.75" x14ac:dyDescent="0.25">
      <c r="A237" s="55" t="s">
        <v>5188</v>
      </c>
      <c r="B237" s="55" t="s">
        <v>6041</v>
      </c>
      <c r="C237" s="55" t="s">
        <v>6042</v>
      </c>
      <c r="D237" s="55" t="s">
        <v>6043</v>
      </c>
      <c r="E237" s="55" t="s">
        <v>6044</v>
      </c>
      <c r="F237" s="55" t="s">
        <v>6045</v>
      </c>
      <c r="G237" s="55" t="s">
        <v>6046</v>
      </c>
      <c r="H237" s="55" t="s">
        <v>6047</v>
      </c>
      <c r="I237" s="55" t="s">
        <v>6048</v>
      </c>
      <c r="J237" s="55" t="s">
        <v>5189</v>
      </c>
      <c r="K237" s="55" t="s">
        <v>6049</v>
      </c>
      <c r="L237" s="55" t="s">
        <v>6050</v>
      </c>
      <c r="M237" s="55" t="s">
        <v>4567</v>
      </c>
      <c r="N237" s="55" t="s">
        <v>5192</v>
      </c>
      <c r="O237" s="55" t="s">
        <v>5191</v>
      </c>
    </row>
    <row r="238" spans="1:15" ht="15.75" x14ac:dyDescent="0.25">
      <c r="A238" s="55" t="s">
        <v>5188</v>
      </c>
      <c r="B238" s="55" t="s">
        <v>6051</v>
      </c>
      <c r="C238" s="55" t="s">
        <v>6052</v>
      </c>
      <c r="D238" s="55" t="s">
        <v>6053</v>
      </c>
      <c r="E238" s="55" t="s">
        <v>6054</v>
      </c>
      <c r="F238" s="55" t="s">
        <v>6055</v>
      </c>
      <c r="G238" s="55" t="s">
        <v>6056</v>
      </c>
      <c r="H238" s="55" t="s">
        <v>6057</v>
      </c>
      <c r="I238" s="55" t="s">
        <v>6058</v>
      </c>
      <c r="J238" s="55" t="s">
        <v>5189</v>
      </c>
      <c r="K238" s="55" t="s">
        <v>6059</v>
      </c>
      <c r="L238" s="55" t="s">
        <v>6060</v>
      </c>
      <c r="M238" s="55" t="s">
        <v>4581</v>
      </c>
      <c r="N238" s="55" t="s">
        <v>5192</v>
      </c>
      <c r="O238" s="55" t="s">
        <v>5191</v>
      </c>
    </row>
    <row r="239" spans="1:15" ht="15.75" x14ac:dyDescent="0.25">
      <c r="A239" s="55" t="s">
        <v>5188</v>
      </c>
      <c r="B239" s="55" t="s">
        <v>6061</v>
      </c>
      <c r="C239" s="55" t="s">
        <v>6052</v>
      </c>
      <c r="D239" s="55" t="s">
        <v>6053</v>
      </c>
      <c r="E239" s="55" t="s">
        <v>6054</v>
      </c>
      <c r="F239" s="55" t="s">
        <v>6055</v>
      </c>
      <c r="G239" s="55" t="s">
        <v>6056</v>
      </c>
      <c r="H239" s="55" t="s">
        <v>6057</v>
      </c>
      <c r="I239" s="55" t="s">
        <v>6058</v>
      </c>
      <c r="J239" s="55" t="s">
        <v>5189</v>
      </c>
      <c r="K239" s="55" t="s">
        <v>6059</v>
      </c>
      <c r="L239" s="55" t="s">
        <v>6060</v>
      </c>
      <c r="M239" s="55" t="s">
        <v>4561</v>
      </c>
      <c r="N239" s="55" t="s">
        <v>5192</v>
      </c>
      <c r="O239" s="55" t="s">
        <v>5191</v>
      </c>
    </row>
    <row r="240" spans="1:15" ht="15.75" x14ac:dyDescent="0.25">
      <c r="A240" s="55" t="s">
        <v>5188</v>
      </c>
      <c r="B240" s="55" t="s">
        <v>6117</v>
      </c>
      <c r="C240" s="55" t="s">
        <v>6106</v>
      </c>
      <c r="D240" s="55" t="s">
        <v>6107</v>
      </c>
      <c r="E240" s="55" t="s">
        <v>6108</v>
      </c>
      <c r="F240" s="55" t="s">
        <v>6109</v>
      </c>
      <c r="G240" s="55" t="s">
        <v>6110</v>
      </c>
      <c r="H240" s="55" t="s">
        <v>6111</v>
      </c>
      <c r="I240" s="55" t="s">
        <v>6112</v>
      </c>
      <c r="J240" s="55" t="s">
        <v>5189</v>
      </c>
      <c r="K240" s="55" t="s">
        <v>6113</v>
      </c>
      <c r="L240" s="55" t="s">
        <v>6114</v>
      </c>
      <c r="M240" s="55" t="s">
        <v>5232</v>
      </c>
      <c r="N240" s="55" t="s">
        <v>5192</v>
      </c>
      <c r="O240" s="55" t="s">
        <v>5191</v>
      </c>
    </row>
    <row r="241" spans="1:15" ht="15.75" x14ac:dyDescent="0.25">
      <c r="A241" s="55" t="s">
        <v>5188</v>
      </c>
      <c r="B241" s="55" t="s">
        <v>7781</v>
      </c>
      <c r="C241" s="55" t="s">
        <v>7782</v>
      </c>
      <c r="D241" s="55" t="s">
        <v>7783</v>
      </c>
      <c r="E241" s="55" t="s">
        <v>7784</v>
      </c>
      <c r="F241" s="55" t="s">
        <v>7785</v>
      </c>
      <c r="G241" s="55" t="s">
        <v>7786</v>
      </c>
      <c r="H241" s="55" t="s">
        <v>7787</v>
      </c>
      <c r="I241" s="55" t="s">
        <v>7788</v>
      </c>
      <c r="J241" s="55" t="s">
        <v>5189</v>
      </c>
      <c r="K241" s="55" t="s">
        <v>7789</v>
      </c>
      <c r="L241" s="55" t="s">
        <v>7790</v>
      </c>
      <c r="M241" s="55" t="s">
        <v>2782</v>
      </c>
      <c r="N241" s="55" t="s">
        <v>5192</v>
      </c>
      <c r="O241" s="55" t="s">
        <v>5191</v>
      </c>
    </row>
    <row r="242" spans="1:15" ht="15.75" x14ac:dyDescent="0.25">
      <c r="A242" s="55" t="s">
        <v>5188</v>
      </c>
      <c r="B242" s="55" t="s">
        <v>7791</v>
      </c>
      <c r="C242" s="55" t="s">
        <v>7782</v>
      </c>
      <c r="D242" s="55" t="s">
        <v>7783</v>
      </c>
      <c r="E242" s="55" t="s">
        <v>7784</v>
      </c>
      <c r="F242" s="55" t="s">
        <v>7785</v>
      </c>
      <c r="G242" s="55" t="s">
        <v>7786</v>
      </c>
      <c r="H242" s="55" t="s">
        <v>7787</v>
      </c>
      <c r="I242" s="55" t="s">
        <v>7792</v>
      </c>
      <c r="J242" s="55" t="s">
        <v>5189</v>
      </c>
      <c r="K242" s="55" t="s">
        <v>7789</v>
      </c>
      <c r="L242" s="55" t="s">
        <v>7790</v>
      </c>
      <c r="M242" s="55" t="s">
        <v>2794</v>
      </c>
      <c r="N242" s="55" t="s">
        <v>5192</v>
      </c>
      <c r="O242" s="55" t="s">
        <v>5191</v>
      </c>
    </row>
    <row r="243" spans="1:15" ht="15.75" x14ac:dyDescent="0.25">
      <c r="A243" s="55" t="s">
        <v>5188</v>
      </c>
      <c r="B243" s="55" t="s">
        <v>7793</v>
      </c>
      <c r="C243" s="55" t="s">
        <v>7418</v>
      </c>
      <c r="D243" s="55" t="s">
        <v>7419</v>
      </c>
      <c r="E243" s="55" t="s">
        <v>7420</v>
      </c>
      <c r="F243" s="55" t="s">
        <v>7421</v>
      </c>
      <c r="G243" s="55" t="s">
        <v>6022</v>
      </c>
      <c r="H243" s="55" t="s">
        <v>6023</v>
      </c>
      <c r="I243" s="55" t="s">
        <v>7426</v>
      </c>
      <c r="J243" s="55" t="s">
        <v>5189</v>
      </c>
      <c r="K243" s="55" t="s">
        <v>7423</v>
      </c>
      <c r="L243" s="55" t="s">
        <v>7424</v>
      </c>
      <c r="M243" s="55" t="s">
        <v>5202</v>
      </c>
      <c r="N243" s="55" t="s">
        <v>5192</v>
      </c>
      <c r="O243" s="55" t="s">
        <v>5191</v>
      </c>
    </row>
    <row r="244" spans="1:15" ht="15.75" x14ac:dyDescent="0.25">
      <c r="A244" s="55" t="s">
        <v>5188</v>
      </c>
      <c r="B244" s="55" t="s">
        <v>7794</v>
      </c>
      <c r="C244" s="55" t="s">
        <v>7795</v>
      </c>
      <c r="D244" s="55" t="s">
        <v>7796</v>
      </c>
      <c r="E244" s="55" t="s">
        <v>7797</v>
      </c>
      <c r="F244" s="55" t="s">
        <v>7798</v>
      </c>
      <c r="G244" s="55" t="s">
        <v>5701</v>
      </c>
      <c r="H244" s="55" t="s">
        <v>5702</v>
      </c>
      <c r="I244" s="55" t="s">
        <v>7799</v>
      </c>
      <c r="J244" s="55" t="s">
        <v>5189</v>
      </c>
      <c r="K244" s="55" t="s">
        <v>7800</v>
      </c>
      <c r="L244" s="55" t="s">
        <v>7801</v>
      </c>
      <c r="M244" s="55" t="s">
        <v>4569</v>
      </c>
      <c r="N244" s="55" t="s">
        <v>5192</v>
      </c>
      <c r="O244" s="55" t="s">
        <v>5191</v>
      </c>
    </row>
    <row r="245" spans="1:15" ht="15.75" x14ac:dyDescent="0.25">
      <c r="A245" s="55" t="s">
        <v>5188</v>
      </c>
      <c r="B245" s="55" t="s">
        <v>7802</v>
      </c>
      <c r="C245" s="55" t="s">
        <v>7428</v>
      </c>
      <c r="D245" s="55" t="s">
        <v>7429</v>
      </c>
      <c r="E245" s="55" t="s">
        <v>7430</v>
      </c>
      <c r="F245" s="55" t="s">
        <v>7431</v>
      </c>
      <c r="G245" s="55" t="s">
        <v>7432</v>
      </c>
      <c r="H245" s="55" t="s">
        <v>7433</v>
      </c>
      <c r="I245" s="55" t="s">
        <v>7434</v>
      </c>
      <c r="J245" s="55" t="s">
        <v>5189</v>
      </c>
      <c r="K245" s="55" t="s">
        <v>7435</v>
      </c>
      <c r="L245" s="55" t="s">
        <v>7436</v>
      </c>
      <c r="M245" s="55" t="s">
        <v>5231</v>
      </c>
      <c r="N245" s="55" t="s">
        <v>5192</v>
      </c>
      <c r="O245" s="55" t="s">
        <v>5191</v>
      </c>
    </row>
    <row r="246" spans="1:15" ht="15.75" x14ac:dyDescent="0.25">
      <c r="A246" s="55" t="s">
        <v>5188</v>
      </c>
      <c r="B246" s="55" t="s">
        <v>7803</v>
      </c>
      <c r="C246" s="55" t="s">
        <v>7428</v>
      </c>
      <c r="D246" s="55" t="s">
        <v>7429</v>
      </c>
      <c r="E246" s="55" t="s">
        <v>7430</v>
      </c>
      <c r="F246" s="55" t="s">
        <v>7431</v>
      </c>
      <c r="G246" s="55" t="s">
        <v>7432</v>
      </c>
      <c r="H246" s="55" t="s">
        <v>7433</v>
      </c>
      <c r="I246" s="55" t="s">
        <v>7434</v>
      </c>
      <c r="J246" s="55" t="s">
        <v>5189</v>
      </c>
      <c r="K246" s="55" t="s">
        <v>7435</v>
      </c>
      <c r="L246" s="55" t="s">
        <v>7436</v>
      </c>
      <c r="M246" s="55" t="s">
        <v>4944</v>
      </c>
      <c r="N246" s="55" t="s">
        <v>5192</v>
      </c>
      <c r="O246" s="55" t="s">
        <v>5191</v>
      </c>
    </row>
    <row r="247" spans="1:15" ht="15.75" x14ac:dyDescent="0.25">
      <c r="A247" s="55" t="s">
        <v>5188</v>
      </c>
      <c r="B247" s="55" t="s">
        <v>7804</v>
      </c>
      <c r="C247" s="55" t="s">
        <v>7428</v>
      </c>
      <c r="D247" s="55" t="s">
        <v>7429</v>
      </c>
      <c r="E247" s="55" t="s">
        <v>7430</v>
      </c>
      <c r="F247" s="55" t="s">
        <v>7431</v>
      </c>
      <c r="G247" s="55" t="s">
        <v>7432</v>
      </c>
      <c r="H247" s="55" t="s">
        <v>7433</v>
      </c>
      <c r="I247" s="55" t="s">
        <v>7434</v>
      </c>
      <c r="J247" s="55" t="s">
        <v>5189</v>
      </c>
      <c r="K247" s="55" t="s">
        <v>7435</v>
      </c>
      <c r="L247" s="55" t="s">
        <v>7436</v>
      </c>
      <c r="M247" s="55" t="s">
        <v>4752</v>
      </c>
      <c r="N247" s="55" t="s">
        <v>5192</v>
      </c>
      <c r="O247" s="55" t="s">
        <v>5191</v>
      </c>
    </row>
    <row r="248" spans="1:15" ht="15.75" x14ac:dyDescent="0.25">
      <c r="A248" s="55" t="s">
        <v>5188</v>
      </c>
      <c r="B248" s="55" t="s">
        <v>7805</v>
      </c>
      <c r="C248" s="55" t="s">
        <v>7428</v>
      </c>
      <c r="D248" s="55" t="s">
        <v>7429</v>
      </c>
      <c r="E248" s="55" t="s">
        <v>7430</v>
      </c>
      <c r="F248" s="55" t="s">
        <v>7431</v>
      </c>
      <c r="G248" s="55" t="s">
        <v>7432</v>
      </c>
      <c r="H248" s="55" t="s">
        <v>7433</v>
      </c>
      <c r="I248" s="55" t="s">
        <v>7434</v>
      </c>
      <c r="J248" s="55" t="s">
        <v>5189</v>
      </c>
      <c r="K248" s="55" t="s">
        <v>7435</v>
      </c>
      <c r="L248" s="55" t="s">
        <v>7436</v>
      </c>
      <c r="M248" s="55" t="s">
        <v>4940</v>
      </c>
      <c r="N248" s="55" t="s">
        <v>5192</v>
      </c>
      <c r="O248" s="55" t="s">
        <v>5191</v>
      </c>
    </row>
    <row r="249" spans="1:15" ht="15.75" x14ac:dyDescent="0.25">
      <c r="A249" s="55" t="s">
        <v>5188</v>
      </c>
      <c r="B249" s="55" t="s">
        <v>7059</v>
      </c>
      <c r="C249" s="55" t="s">
        <v>7060</v>
      </c>
      <c r="D249" s="55" t="s">
        <v>7061</v>
      </c>
      <c r="E249" s="55" t="s">
        <v>7062</v>
      </c>
      <c r="F249" s="55" t="s">
        <v>7063</v>
      </c>
      <c r="G249" s="55" t="s">
        <v>5314</v>
      </c>
      <c r="H249" s="55" t="s">
        <v>5315</v>
      </c>
      <c r="I249" s="55" t="s">
        <v>6921</v>
      </c>
      <c r="J249" s="55" t="s">
        <v>5189</v>
      </c>
      <c r="K249" s="55" t="s">
        <v>7064</v>
      </c>
      <c r="L249" s="55" t="s">
        <v>7065</v>
      </c>
      <c r="M249" s="55" t="s">
        <v>4944</v>
      </c>
      <c r="N249" s="55" t="s">
        <v>5190</v>
      </c>
      <c r="O249" s="55" t="s">
        <v>5191</v>
      </c>
    </row>
    <row r="250" spans="1:15" ht="15.75" x14ac:dyDescent="0.25">
      <c r="A250" s="55" t="s">
        <v>5188</v>
      </c>
      <c r="B250" s="55" t="s">
        <v>6474</v>
      </c>
      <c r="C250" s="55" t="s">
        <v>6475</v>
      </c>
      <c r="D250" s="55" t="s">
        <v>6476</v>
      </c>
      <c r="E250" s="55" t="s">
        <v>6477</v>
      </c>
      <c r="F250" s="55" t="s">
        <v>6478</v>
      </c>
      <c r="G250" s="55" t="s">
        <v>5424</v>
      </c>
      <c r="H250" s="55" t="s">
        <v>5425</v>
      </c>
      <c r="I250" s="55" t="s">
        <v>6479</v>
      </c>
      <c r="J250" s="55" t="s">
        <v>5189</v>
      </c>
      <c r="K250" s="55" t="s">
        <v>6480</v>
      </c>
      <c r="L250" s="55" t="s">
        <v>6481</v>
      </c>
      <c r="M250" s="55" t="s">
        <v>4926</v>
      </c>
      <c r="N250" s="55" t="s">
        <v>5192</v>
      </c>
      <c r="O250" s="55" t="s">
        <v>5191</v>
      </c>
    </row>
    <row r="251" spans="1:15" ht="15.75" x14ac:dyDescent="0.25">
      <c r="A251" s="55" t="s">
        <v>5188</v>
      </c>
      <c r="B251" s="55" t="s">
        <v>6489</v>
      </c>
      <c r="C251" s="55" t="s">
        <v>6482</v>
      </c>
      <c r="D251" s="55" t="s">
        <v>6483</v>
      </c>
      <c r="E251" s="55" t="s">
        <v>6484</v>
      </c>
      <c r="F251" s="55" t="s">
        <v>6485</v>
      </c>
      <c r="G251" s="55" t="s">
        <v>5314</v>
      </c>
      <c r="H251" s="55" t="s">
        <v>5315</v>
      </c>
      <c r="I251" s="55" t="s">
        <v>6486</v>
      </c>
      <c r="J251" s="55" t="s">
        <v>5189</v>
      </c>
      <c r="K251" s="55" t="s">
        <v>6487</v>
      </c>
      <c r="L251" s="55" t="s">
        <v>6488</v>
      </c>
      <c r="M251" s="55" t="s">
        <v>4575</v>
      </c>
      <c r="N251" s="55" t="s">
        <v>5192</v>
      </c>
      <c r="O251" s="55" t="s">
        <v>5191</v>
      </c>
    </row>
    <row r="252" spans="1:15" ht="15.75" x14ac:dyDescent="0.25">
      <c r="A252" s="55" t="s">
        <v>5188</v>
      </c>
      <c r="B252" s="55" t="s">
        <v>6492</v>
      </c>
      <c r="C252" s="55" t="s">
        <v>6493</v>
      </c>
      <c r="D252" s="55" t="s">
        <v>6494</v>
      </c>
      <c r="E252" s="55" t="s">
        <v>5367</v>
      </c>
      <c r="F252" s="55" t="s">
        <v>5368</v>
      </c>
      <c r="G252" s="55" t="s">
        <v>5365</v>
      </c>
      <c r="H252" s="55" t="s">
        <v>5366</v>
      </c>
      <c r="I252" s="55" t="s">
        <v>6495</v>
      </c>
      <c r="J252" s="55" t="s">
        <v>5189</v>
      </c>
      <c r="K252" s="55" t="s">
        <v>6496</v>
      </c>
      <c r="L252" s="55" t="s">
        <v>6497</v>
      </c>
      <c r="M252" s="55" t="s">
        <v>3551</v>
      </c>
      <c r="N252" s="55" t="s">
        <v>5192</v>
      </c>
      <c r="O252" s="55" t="s">
        <v>5191</v>
      </c>
    </row>
    <row r="253" spans="1:15" ht="15.75" x14ac:dyDescent="0.25">
      <c r="A253" s="55" t="s">
        <v>5188</v>
      </c>
      <c r="B253" s="55" t="s">
        <v>6498</v>
      </c>
      <c r="C253" s="55" t="s">
        <v>6499</v>
      </c>
      <c r="D253" s="55" t="s">
        <v>6500</v>
      </c>
      <c r="E253" s="55" t="s">
        <v>5220</v>
      </c>
      <c r="F253" s="55" t="s">
        <v>5221</v>
      </c>
      <c r="G253" s="55" t="s">
        <v>5222</v>
      </c>
      <c r="H253" s="55" t="s">
        <v>5223</v>
      </c>
      <c r="I253" s="55" t="s">
        <v>6501</v>
      </c>
      <c r="J253" s="55" t="s">
        <v>5189</v>
      </c>
      <c r="K253" s="55" t="s">
        <v>6502</v>
      </c>
      <c r="L253" s="55" t="s">
        <v>6503</v>
      </c>
      <c r="M253" s="55" t="s">
        <v>4503</v>
      </c>
      <c r="N253" s="55" t="s">
        <v>5192</v>
      </c>
      <c r="O253" s="55" t="s">
        <v>5191</v>
      </c>
    </row>
    <row r="254" spans="1:15" ht="15.75" x14ac:dyDescent="0.25">
      <c r="A254" s="55" t="s">
        <v>5188</v>
      </c>
      <c r="B254" s="55" t="s">
        <v>6504</v>
      </c>
      <c r="C254" s="55" t="s">
        <v>6505</v>
      </c>
      <c r="D254" s="55" t="s">
        <v>6506</v>
      </c>
      <c r="E254" s="55" t="s">
        <v>6507</v>
      </c>
      <c r="F254" s="55" t="s">
        <v>6508</v>
      </c>
      <c r="G254" s="55" t="s">
        <v>5237</v>
      </c>
      <c r="H254" s="55" t="s">
        <v>5238</v>
      </c>
      <c r="I254" s="55" t="s">
        <v>6509</v>
      </c>
      <c r="J254" s="55" t="s">
        <v>5189</v>
      </c>
      <c r="K254" s="55" t="s">
        <v>6510</v>
      </c>
      <c r="L254" s="55" t="s">
        <v>6511</v>
      </c>
      <c r="M254" s="55" t="s">
        <v>3411</v>
      </c>
      <c r="N254" s="55" t="s">
        <v>5192</v>
      </c>
      <c r="O254" s="55" t="s">
        <v>5191</v>
      </c>
    </row>
    <row r="255" spans="1:15" ht="15.75" x14ac:dyDescent="0.25">
      <c r="A255" s="55" t="s">
        <v>5188</v>
      </c>
      <c r="B255" s="55" t="s">
        <v>6512</v>
      </c>
      <c r="C255" s="55" t="s">
        <v>6513</v>
      </c>
      <c r="D255" s="55" t="s">
        <v>6514</v>
      </c>
      <c r="E255" s="55" t="s">
        <v>6515</v>
      </c>
      <c r="F255" s="55" t="s">
        <v>6516</v>
      </c>
      <c r="G255" s="55" t="s">
        <v>6490</v>
      </c>
      <c r="H255" s="55" t="s">
        <v>6491</v>
      </c>
      <c r="I255" s="55" t="s">
        <v>6517</v>
      </c>
      <c r="J255" s="55" t="s">
        <v>5189</v>
      </c>
      <c r="K255" s="55" t="s">
        <v>6518</v>
      </c>
      <c r="L255" s="55" t="s">
        <v>6519</v>
      </c>
      <c r="M255" s="55" t="s">
        <v>4752</v>
      </c>
      <c r="N255" s="55" t="s">
        <v>5192</v>
      </c>
      <c r="O255" s="55" t="s">
        <v>5191</v>
      </c>
    </row>
    <row r="256" spans="1:15" ht="15.75" x14ac:dyDescent="0.25">
      <c r="A256" s="55" t="s">
        <v>5188</v>
      </c>
      <c r="B256" s="55" t="s">
        <v>6527</v>
      </c>
      <c r="C256" s="55" t="s">
        <v>6520</v>
      </c>
      <c r="D256" s="55" t="s">
        <v>6521</v>
      </c>
      <c r="E256" s="55" t="s">
        <v>6522</v>
      </c>
      <c r="F256" s="55" t="s">
        <v>6523</v>
      </c>
      <c r="G256" s="55" t="s">
        <v>5369</v>
      </c>
      <c r="H256" s="55" t="s">
        <v>5370</v>
      </c>
      <c r="I256" s="55" t="s">
        <v>6524</v>
      </c>
      <c r="J256" s="55" t="s">
        <v>5189</v>
      </c>
      <c r="K256" s="55" t="s">
        <v>6525</v>
      </c>
      <c r="L256" s="55" t="s">
        <v>6526</v>
      </c>
      <c r="M256" s="55" t="s">
        <v>4690</v>
      </c>
      <c r="N256" s="55" t="s">
        <v>5192</v>
      </c>
      <c r="O256" s="55" t="s">
        <v>5191</v>
      </c>
    </row>
    <row r="257" spans="1:15" ht="15.75" x14ac:dyDescent="0.25">
      <c r="A257" s="55" t="s">
        <v>5188</v>
      </c>
      <c r="B257" s="55" t="s">
        <v>6528</v>
      </c>
      <c r="C257" s="55" t="s">
        <v>6520</v>
      </c>
      <c r="D257" s="55" t="s">
        <v>6521</v>
      </c>
      <c r="E257" s="55" t="s">
        <v>6522</v>
      </c>
      <c r="F257" s="55" t="s">
        <v>6523</v>
      </c>
      <c r="G257" s="55" t="s">
        <v>5369</v>
      </c>
      <c r="H257" s="55" t="s">
        <v>5370</v>
      </c>
      <c r="I257" s="55" t="s">
        <v>6524</v>
      </c>
      <c r="J257" s="55" t="s">
        <v>5189</v>
      </c>
      <c r="K257" s="55" t="s">
        <v>6525</v>
      </c>
      <c r="L257" s="55" t="s">
        <v>6526</v>
      </c>
      <c r="M257" s="55" t="s">
        <v>4587</v>
      </c>
      <c r="N257" s="55" t="s">
        <v>5192</v>
      </c>
      <c r="O257" s="55" t="s">
        <v>5191</v>
      </c>
    </row>
    <row r="258" spans="1:15" ht="15.75" x14ac:dyDescent="0.25">
      <c r="A258" s="55" t="s">
        <v>5188</v>
      </c>
      <c r="B258" s="55" t="s">
        <v>6538</v>
      </c>
      <c r="C258" s="55" t="s">
        <v>6529</v>
      </c>
      <c r="D258" s="55" t="s">
        <v>6530</v>
      </c>
      <c r="E258" s="55" t="s">
        <v>6531</v>
      </c>
      <c r="F258" s="55" t="s">
        <v>6532</v>
      </c>
      <c r="G258" s="55" t="s">
        <v>6533</v>
      </c>
      <c r="H258" s="55" t="s">
        <v>6534</v>
      </c>
      <c r="I258" s="55" t="s">
        <v>6535</v>
      </c>
      <c r="J258" s="55" t="s">
        <v>5189</v>
      </c>
      <c r="K258" s="55" t="s">
        <v>6536</v>
      </c>
      <c r="L258" s="55" t="s">
        <v>6537</v>
      </c>
      <c r="M258" s="55" t="s">
        <v>2782</v>
      </c>
      <c r="N258" s="55" t="s">
        <v>5192</v>
      </c>
      <c r="O258" s="55" t="s">
        <v>5191</v>
      </c>
    </row>
    <row r="259" spans="1:15" ht="15.75" x14ac:dyDescent="0.25">
      <c r="A259" s="55" t="s">
        <v>5188</v>
      </c>
      <c r="B259" s="55" t="s">
        <v>6539</v>
      </c>
      <c r="C259" s="55" t="s">
        <v>6529</v>
      </c>
      <c r="D259" s="55" t="s">
        <v>6530</v>
      </c>
      <c r="E259" s="55" t="s">
        <v>6531</v>
      </c>
      <c r="F259" s="55" t="s">
        <v>6532</v>
      </c>
      <c r="G259" s="55" t="s">
        <v>6533</v>
      </c>
      <c r="H259" s="55" t="s">
        <v>6534</v>
      </c>
      <c r="I259" s="55" t="s">
        <v>6535</v>
      </c>
      <c r="J259" s="55" t="s">
        <v>5189</v>
      </c>
      <c r="K259" s="55" t="s">
        <v>6536</v>
      </c>
      <c r="L259" s="55" t="s">
        <v>6537</v>
      </c>
      <c r="M259" s="55" t="s">
        <v>5193</v>
      </c>
      <c r="N259" s="55" t="s">
        <v>5192</v>
      </c>
      <c r="O259" s="55" t="s">
        <v>5191</v>
      </c>
    </row>
    <row r="260" spans="1:15" ht="15.75" x14ac:dyDescent="0.25">
      <c r="A260" s="55" t="s">
        <v>5188</v>
      </c>
      <c r="B260" s="55" t="s">
        <v>6540</v>
      </c>
      <c r="C260" s="55" t="s">
        <v>6541</v>
      </c>
      <c r="D260" s="55" t="s">
        <v>6542</v>
      </c>
      <c r="E260" s="55" t="s">
        <v>6543</v>
      </c>
      <c r="F260" s="55" t="s">
        <v>6544</v>
      </c>
      <c r="G260" s="55" t="s">
        <v>6545</v>
      </c>
      <c r="H260" s="55" t="s">
        <v>6546</v>
      </c>
      <c r="I260" s="55" t="s">
        <v>6547</v>
      </c>
      <c r="J260" s="55" t="s">
        <v>5189</v>
      </c>
      <c r="K260" s="55" t="s">
        <v>6548</v>
      </c>
      <c r="L260" s="55" t="s">
        <v>6549</v>
      </c>
      <c r="M260" s="55" t="s">
        <v>4503</v>
      </c>
      <c r="N260" s="55" t="s">
        <v>5192</v>
      </c>
      <c r="O260" s="55" t="s">
        <v>5191</v>
      </c>
    </row>
    <row r="261" spans="1:15" ht="15.75" x14ac:dyDescent="0.25">
      <c r="A261" s="55" t="s">
        <v>5188</v>
      </c>
      <c r="B261" s="55" t="s">
        <v>6550</v>
      </c>
      <c r="C261" s="55" t="s">
        <v>6551</v>
      </c>
      <c r="D261" s="55" t="s">
        <v>6552</v>
      </c>
      <c r="E261" s="55" t="s">
        <v>6553</v>
      </c>
      <c r="F261" s="55" t="s">
        <v>6554</v>
      </c>
      <c r="G261" s="55" t="s">
        <v>5233</v>
      </c>
      <c r="H261" s="55" t="s">
        <v>5234</v>
      </c>
      <c r="I261" s="55" t="s">
        <v>6555</v>
      </c>
      <c r="J261" s="55" t="s">
        <v>5189</v>
      </c>
      <c r="K261" s="55" t="s">
        <v>6556</v>
      </c>
      <c r="L261" s="55" t="s">
        <v>6557</v>
      </c>
      <c r="M261" s="55" t="s">
        <v>3551</v>
      </c>
      <c r="N261" s="55" t="s">
        <v>5192</v>
      </c>
      <c r="O261" s="55" t="s">
        <v>5191</v>
      </c>
    </row>
    <row r="262" spans="1:15" ht="15.75" x14ac:dyDescent="0.25">
      <c r="A262" s="55" t="s">
        <v>5188</v>
      </c>
      <c r="B262" s="55" t="s">
        <v>6558</v>
      </c>
      <c r="C262" s="55" t="s">
        <v>6551</v>
      </c>
      <c r="D262" s="55" t="s">
        <v>6552</v>
      </c>
      <c r="E262" s="55" t="s">
        <v>6553</v>
      </c>
      <c r="F262" s="55" t="s">
        <v>6554</v>
      </c>
      <c r="G262" s="55" t="s">
        <v>5233</v>
      </c>
      <c r="H262" s="55" t="s">
        <v>5234</v>
      </c>
      <c r="I262" s="55" t="s">
        <v>6555</v>
      </c>
      <c r="J262" s="55" t="s">
        <v>5189</v>
      </c>
      <c r="K262" s="55" t="s">
        <v>6556</v>
      </c>
      <c r="L262" s="55" t="s">
        <v>6557</v>
      </c>
      <c r="M262" s="55" t="s">
        <v>4575</v>
      </c>
      <c r="N262" s="55" t="s">
        <v>5192</v>
      </c>
      <c r="O262" s="55" t="s">
        <v>5191</v>
      </c>
    </row>
    <row r="263" spans="1:15" ht="15.75" x14ac:dyDescent="0.25">
      <c r="A263" s="55" t="s">
        <v>5188</v>
      </c>
      <c r="B263" s="55" t="s">
        <v>6559</v>
      </c>
      <c r="C263" s="55" t="s">
        <v>6560</v>
      </c>
      <c r="D263" s="55" t="s">
        <v>6561</v>
      </c>
      <c r="E263" s="55" t="s">
        <v>6562</v>
      </c>
      <c r="F263" s="55" t="s">
        <v>6563</v>
      </c>
      <c r="G263" s="55" t="s">
        <v>5365</v>
      </c>
      <c r="H263" s="55" t="s">
        <v>5366</v>
      </c>
      <c r="I263" s="55" t="s">
        <v>6564</v>
      </c>
      <c r="J263" s="55" t="s">
        <v>5189</v>
      </c>
      <c r="K263" s="55" t="s">
        <v>6565</v>
      </c>
      <c r="L263" s="55" t="s">
        <v>6566</v>
      </c>
      <c r="M263" s="55" t="s">
        <v>4503</v>
      </c>
      <c r="N263" s="55" t="s">
        <v>5192</v>
      </c>
      <c r="O263" s="55" t="s">
        <v>5191</v>
      </c>
    </row>
    <row r="264" spans="1:15" ht="15.75" x14ac:dyDescent="0.25">
      <c r="A264" s="55" t="s">
        <v>5188</v>
      </c>
      <c r="B264" s="55" t="s">
        <v>6567</v>
      </c>
      <c r="C264" s="55" t="s">
        <v>6560</v>
      </c>
      <c r="D264" s="55" t="s">
        <v>6561</v>
      </c>
      <c r="E264" s="55" t="s">
        <v>6562</v>
      </c>
      <c r="F264" s="55" t="s">
        <v>6563</v>
      </c>
      <c r="G264" s="55" t="s">
        <v>5365</v>
      </c>
      <c r="H264" s="55" t="s">
        <v>5366</v>
      </c>
      <c r="I264" s="55" t="s">
        <v>6564</v>
      </c>
      <c r="J264" s="55" t="s">
        <v>5189</v>
      </c>
      <c r="K264" s="55" t="s">
        <v>6565</v>
      </c>
      <c r="L264" s="55" t="s">
        <v>6566</v>
      </c>
      <c r="M264" s="55" t="s">
        <v>921</v>
      </c>
      <c r="N264" s="55" t="s">
        <v>5192</v>
      </c>
      <c r="O264" s="55" t="s">
        <v>5191</v>
      </c>
    </row>
    <row r="265" spans="1:15" ht="15.75" x14ac:dyDescent="0.25">
      <c r="A265" s="55" t="s">
        <v>5188</v>
      </c>
      <c r="B265" s="55" t="s">
        <v>6568</v>
      </c>
      <c r="C265" s="55" t="s">
        <v>6569</v>
      </c>
      <c r="D265" s="55" t="s">
        <v>6570</v>
      </c>
      <c r="E265" s="55" t="s">
        <v>5401</v>
      </c>
      <c r="F265" s="55" t="s">
        <v>5402</v>
      </c>
      <c r="G265" s="55" t="s">
        <v>5403</v>
      </c>
      <c r="H265" s="55" t="s">
        <v>5404</v>
      </c>
      <c r="I265" s="55" t="s">
        <v>6571</v>
      </c>
      <c r="J265" s="55" t="s">
        <v>5189</v>
      </c>
      <c r="K265" s="55" t="s">
        <v>6572</v>
      </c>
      <c r="L265" s="55" t="s">
        <v>6573</v>
      </c>
      <c r="M265" s="55" t="s">
        <v>4501</v>
      </c>
      <c r="N265" s="55" t="s">
        <v>5192</v>
      </c>
      <c r="O265" s="55" t="s">
        <v>5191</v>
      </c>
    </row>
    <row r="266" spans="1:15" ht="15.75" x14ac:dyDescent="0.25">
      <c r="A266" s="55" t="s">
        <v>5188</v>
      </c>
      <c r="B266" s="55" t="s">
        <v>6574</v>
      </c>
      <c r="C266" s="55" t="s">
        <v>6569</v>
      </c>
      <c r="D266" s="55" t="s">
        <v>6570</v>
      </c>
      <c r="E266" s="55" t="s">
        <v>5401</v>
      </c>
      <c r="F266" s="55" t="s">
        <v>5402</v>
      </c>
      <c r="G266" s="55" t="s">
        <v>5403</v>
      </c>
      <c r="H266" s="55" t="s">
        <v>5404</v>
      </c>
      <c r="I266" s="55" t="s">
        <v>6571</v>
      </c>
      <c r="J266" s="55" t="s">
        <v>5189</v>
      </c>
      <c r="K266" s="55" t="s">
        <v>6572</v>
      </c>
      <c r="L266" s="55" t="s">
        <v>6573</v>
      </c>
      <c r="M266" s="55" t="s">
        <v>5026</v>
      </c>
      <c r="N266" s="55" t="s">
        <v>5192</v>
      </c>
      <c r="O266" s="55" t="s">
        <v>5191</v>
      </c>
    </row>
    <row r="267" spans="1:15" ht="15.75" x14ac:dyDescent="0.25">
      <c r="A267" s="55" t="s">
        <v>5188</v>
      </c>
      <c r="B267" s="55" t="s">
        <v>6575</v>
      </c>
      <c r="C267" s="55" t="s">
        <v>6576</v>
      </c>
      <c r="D267" s="55" t="s">
        <v>6577</v>
      </c>
      <c r="E267" s="55" t="s">
        <v>5401</v>
      </c>
      <c r="F267" s="55" t="s">
        <v>5402</v>
      </c>
      <c r="G267" s="55" t="s">
        <v>5403</v>
      </c>
      <c r="H267" s="55" t="s">
        <v>5404</v>
      </c>
      <c r="I267" s="55" t="s">
        <v>6578</v>
      </c>
      <c r="J267" s="55" t="s">
        <v>5189</v>
      </c>
      <c r="K267" s="55" t="s">
        <v>6579</v>
      </c>
      <c r="L267" s="55" t="s">
        <v>6580</v>
      </c>
      <c r="M267" s="55" t="s">
        <v>4501</v>
      </c>
      <c r="N267" s="55" t="s">
        <v>5192</v>
      </c>
      <c r="O267" s="55" t="s">
        <v>5191</v>
      </c>
    </row>
    <row r="268" spans="1:15" ht="15.75" x14ac:dyDescent="0.25">
      <c r="A268" s="55" t="s">
        <v>5188</v>
      </c>
      <c r="B268" s="55" t="s">
        <v>6581</v>
      </c>
      <c r="C268" s="55" t="s">
        <v>6582</v>
      </c>
      <c r="D268" s="55" t="s">
        <v>6583</v>
      </c>
      <c r="E268" s="55" t="s">
        <v>5401</v>
      </c>
      <c r="F268" s="55" t="s">
        <v>5402</v>
      </c>
      <c r="G268" s="55" t="s">
        <v>5403</v>
      </c>
      <c r="H268" s="55" t="s">
        <v>5404</v>
      </c>
      <c r="I268" s="55" t="s">
        <v>6584</v>
      </c>
      <c r="J268" s="55" t="s">
        <v>5189</v>
      </c>
      <c r="K268" s="55" t="s">
        <v>6585</v>
      </c>
      <c r="L268" s="55" t="s">
        <v>6586</v>
      </c>
      <c r="M268" s="55" t="s">
        <v>4501</v>
      </c>
      <c r="N268" s="55" t="s">
        <v>5192</v>
      </c>
      <c r="O268" s="55" t="s">
        <v>5191</v>
      </c>
    </row>
    <row r="269" spans="1:15" ht="15.75" x14ac:dyDescent="0.25">
      <c r="A269" s="55" t="s">
        <v>5188</v>
      </c>
      <c r="B269" s="55" t="s">
        <v>6587</v>
      </c>
      <c r="C269" s="55" t="s">
        <v>6588</v>
      </c>
      <c r="D269" s="55" t="s">
        <v>6589</v>
      </c>
      <c r="E269" s="55" t="s">
        <v>5416</v>
      </c>
      <c r="F269" s="55" t="s">
        <v>5417</v>
      </c>
      <c r="G269" s="55" t="s">
        <v>5233</v>
      </c>
      <c r="H269" s="55" t="s">
        <v>5234</v>
      </c>
      <c r="I269" s="55" t="s">
        <v>6590</v>
      </c>
      <c r="J269" s="55" t="s">
        <v>5189</v>
      </c>
      <c r="K269" s="55" t="s">
        <v>6591</v>
      </c>
      <c r="L269" s="55" t="s">
        <v>6592</v>
      </c>
      <c r="M269" s="55" t="s">
        <v>4567</v>
      </c>
      <c r="N269" s="55" t="s">
        <v>5192</v>
      </c>
      <c r="O269" s="55" t="s">
        <v>5191</v>
      </c>
    </row>
    <row r="270" spans="1:15" ht="15.75" x14ac:dyDescent="0.25">
      <c r="A270" s="55" t="s">
        <v>5188</v>
      </c>
      <c r="B270" s="55" t="s">
        <v>6593</v>
      </c>
      <c r="C270" s="55" t="s">
        <v>6594</v>
      </c>
      <c r="D270" s="55" t="s">
        <v>6595</v>
      </c>
      <c r="E270" s="55" t="s">
        <v>5401</v>
      </c>
      <c r="F270" s="55" t="s">
        <v>5402</v>
      </c>
      <c r="G270" s="55" t="s">
        <v>5403</v>
      </c>
      <c r="H270" s="55" t="s">
        <v>5404</v>
      </c>
      <c r="I270" s="55" t="s">
        <v>6596</v>
      </c>
      <c r="J270" s="55" t="s">
        <v>5189</v>
      </c>
      <c r="K270" s="55" t="s">
        <v>6597</v>
      </c>
      <c r="L270" s="55" t="s">
        <v>6598</v>
      </c>
      <c r="M270" s="55" t="s">
        <v>4501</v>
      </c>
      <c r="N270" s="55" t="s">
        <v>5192</v>
      </c>
      <c r="O270" s="55" t="s">
        <v>5191</v>
      </c>
    </row>
    <row r="271" spans="1:15" ht="15.75" x14ac:dyDescent="0.25">
      <c r="A271" s="55" t="s">
        <v>5188</v>
      </c>
      <c r="B271" s="55" t="s">
        <v>6599</v>
      </c>
      <c r="C271" s="55" t="s">
        <v>6600</v>
      </c>
      <c r="D271" s="55" t="s">
        <v>6601</v>
      </c>
      <c r="E271" s="55" t="s">
        <v>6602</v>
      </c>
      <c r="F271" s="55" t="s">
        <v>6603</v>
      </c>
      <c r="G271" s="55" t="s">
        <v>6604</v>
      </c>
      <c r="H271" s="55" t="s">
        <v>6605</v>
      </c>
      <c r="I271" s="55" t="s">
        <v>6606</v>
      </c>
      <c r="J271" s="55" t="s">
        <v>5189</v>
      </c>
      <c r="K271" s="55" t="s">
        <v>6607</v>
      </c>
      <c r="L271" s="55" t="s">
        <v>6608</v>
      </c>
      <c r="M271" s="55" t="s">
        <v>5382</v>
      </c>
      <c r="N271" s="55" t="s">
        <v>5192</v>
      </c>
      <c r="O271" s="55" t="s">
        <v>5191</v>
      </c>
    </row>
    <row r="272" spans="1:15" ht="15.75" x14ac:dyDescent="0.25">
      <c r="A272" s="55" t="s">
        <v>5188</v>
      </c>
      <c r="B272" s="55" t="s">
        <v>6609</v>
      </c>
      <c r="C272" s="55" t="s">
        <v>6610</v>
      </c>
      <c r="D272" s="55" t="s">
        <v>6611</v>
      </c>
      <c r="E272" s="55" t="s">
        <v>6612</v>
      </c>
      <c r="F272" s="55" t="s">
        <v>6613</v>
      </c>
      <c r="G272" s="55" t="s">
        <v>6614</v>
      </c>
      <c r="H272" s="55" t="s">
        <v>6615</v>
      </c>
      <c r="I272" s="55" t="s">
        <v>6616</v>
      </c>
      <c r="J272" s="55" t="s">
        <v>5189</v>
      </c>
      <c r="K272" s="55" t="s">
        <v>6617</v>
      </c>
      <c r="L272" s="55" t="s">
        <v>6618</v>
      </c>
      <c r="M272" s="55" t="s">
        <v>4565</v>
      </c>
      <c r="N272" s="55" t="s">
        <v>5192</v>
      </c>
      <c r="O272" s="55" t="s">
        <v>5191</v>
      </c>
    </row>
    <row r="273" spans="1:15" ht="15.75" x14ac:dyDescent="0.25">
      <c r="A273" s="55" t="s">
        <v>5188</v>
      </c>
      <c r="B273" s="55" t="s">
        <v>6619</v>
      </c>
      <c r="C273" s="55" t="s">
        <v>6610</v>
      </c>
      <c r="D273" s="55" t="s">
        <v>6611</v>
      </c>
      <c r="E273" s="55" t="s">
        <v>6612</v>
      </c>
      <c r="F273" s="55" t="s">
        <v>6613</v>
      </c>
      <c r="G273" s="55" t="s">
        <v>6614</v>
      </c>
      <c r="H273" s="55" t="s">
        <v>6615</v>
      </c>
      <c r="I273" s="55" t="s">
        <v>6616</v>
      </c>
      <c r="J273" s="55" t="s">
        <v>5189</v>
      </c>
      <c r="K273" s="55" t="s">
        <v>6617</v>
      </c>
      <c r="L273" s="55" t="s">
        <v>6618</v>
      </c>
      <c r="M273" s="55" t="s">
        <v>3551</v>
      </c>
      <c r="N273" s="55" t="s">
        <v>5192</v>
      </c>
      <c r="O273" s="55" t="s">
        <v>5191</v>
      </c>
    </row>
    <row r="274" spans="1:15" ht="15.75" x14ac:dyDescent="0.25">
      <c r="A274" s="55" t="s">
        <v>5188</v>
      </c>
      <c r="B274" s="55" t="s">
        <v>6620</v>
      </c>
      <c r="C274" s="55" t="s">
        <v>6621</v>
      </c>
      <c r="D274" s="55" t="s">
        <v>6622</v>
      </c>
      <c r="E274" s="55" t="s">
        <v>6623</v>
      </c>
      <c r="F274" s="55" t="s">
        <v>6624</v>
      </c>
      <c r="G274" s="55" t="s">
        <v>5422</v>
      </c>
      <c r="H274" s="55" t="s">
        <v>5423</v>
      </c>
      <c r="I274" s="55" t="s">
        <v>6625</v>
      </c>
      <c r="J274" s="55" t="s">
        <v>5189</v>
      </c>
      <c r="K274" s="55" t="s">
        <v>6626</v>
      </c>
      <c r="L274" s="55" t="s">
        <v>6627</v>
      </c>
      <c r="M274" s="55" t="s">
        <v>4690</v>
      </c>
      <c r="N274" s="55" t="s">
        <v>5192</v>
      </c>
      <c r="O274" s="55" t="s">
        <v>5191</v>
      </c>
    </row>
    <row r="275" spans="1:15" ht="15.75" x14ac:dyDescent="0.25">
      <c r="A275" s="55" t="s">
        <v>5188</v>
      </c>
      <c r="B275" s="55" t="s">
        <v>6628</v>
      </c>
      <c r="C275" s="55" t="s">
        <v>6629</v>
      </c>
      <c r="D275" s="55" t="s">
        <v>6630</v>
      </c>
      <c r="E275" s="55" t="s">
        <v>6631</v>
      </c>
      <c r="F275" s="55" t="s">
        <v>6632</v>
      </c>
      <c r="G275" s="55" t="s">
        <v>5380</v>
      </c>
      <c r="H275" s="55" t="s">
        <v>5381</v>
      </c>
      <c r="I275" s="55" t="s">
        <v>6633</v>
      </c>
      <c r="J275" s="55" t="s">
        <v>5189</v>
      </c>
      <c r="K275" s="55" t="s">
        <v>6634</v>
      </c>
      <c r="L275" s="55" t="s">
        <v>6635</v>
      </c>
      <c r="M275" s="55" t="s">
        <v>5316</v>
      </c>
      <c r="N275" s="55" t="s">
        <v>5192</v>
      </c>
      <c r="O275" s="55" t="s">
        <v>5191</v>
      </c>
    </row>
    <row r="276" spans="1:15" ht="15.75" x14ac:dyDescent="0.25">
      <c r="A276" s="55" t="s">
        <v>5188</v>
      </c>
      <c r="B276" s="55" t="s">
        <v>6636</v>
      </c>
      <c r="C276" s="55" t="s">
        <v>6629</v>
      </c>
      <c r="D276" s="55" t="s">
        <v>6630</v>
      </c>
      <c r="E276" s="55" t="s">
        <v>6631</v>
      </c>
      <c r="F276" s="55" t="s">
        <v>6632</v>
      </c>
      <c r="G276" s="55" t="s">
        <v>5380</v>
      </c>
      <c r="H276" s="55" t="s">
        <v>5381</v>
      </c>
      <c r="I276" s="55" t="s">
        <v>6637</v>
      </c>
      <c r="J276" s="55" t="s">
        <v>5189</v>
      </c>
      <c r="K276" s="55" t="s">
        <v>6634</v>
      </c>
      <c r="L276" s="55" t="s">
        <v>6635</v>
      </c>
      <c r="M276" s="55" t="s">
        <v>5208</v>
      </c>
      <c r="N276" s="55" t="s">
        <v>5192</v>
      </c>
      <c r="O276" s="55" t="s">
        <v>5191</v>
      </c>
    </row>
    <row r="277" spans="1:15" ht="15.75" x14ac:dyDescent="0.25">
      <c r="A277" s="55" t="s">
        <v>5188</v>
      </c>
      <c r="B277" s="55" t="s">
        <v>6638</v>
      </c>
      <c r="C277" s="55" t="s">
        <v>6639</v>
      </c>
      <c r="D277" s="55" t="s">
        <v>6640</v>
      </c>
      <c r="E277" s="55" t="s">
        <v>6641</v>
      </c>
      <c r="F277" s="55" t="s">
        <v>6642</v>
      </c>
      <c r="G277" s="55" t="s">
        <v>5235</v>
      </c>
      <c r="H277" s="55" t="s">
        <v>5236</v>
      </c>
      <c r="I277" s="55" t="s">
        <v>6643</v>
      </c>
      <c r="J277" s="55" t="s">
        <v>5189</v>
      </c>
      <c r="K277" s="55" t="s">
        <v>6644</v>
      </c>
      <c r="L277" s="55" t="s">
        <v>6645</v>
      </c>
      <c r="M277" s="55" t="s">
        <v>5232</v>
      </c>
      <c r="N277" s="55" t="s">
        <v>5192</v>
      </c>
      <c r="O277" s="55" t="s">
        <v>5191</v>
      </c>
    </row>
    <row r="278" spans="1:15" ht="15.75" x14ac:dyDescent="0.25">
      <c r="A278" s="55" t="s">
        <v>5188</v>
      </c>
      <c r="B278" s="55" t="s">
        <v>6646</v>
      </c>
      <c r="C278" s="55" t="s">
        <v>6647</v>
      </c>
      <c r="D278" s="55" t="s">
        <v>6648</v>
      </c>
      <c r="E278" s="55" t="s">
        <v>5401</v>
      </c>
      <c r="F278" s="55" t="s">
        <v>5402</v>
      </c>
      <c r="G278" s="55" t="s">
        <v>5403</v>
      </c>
      <c r="H278" s="55" t="s">
        <v>5404</v>
      </c>
      <c r="I278" s="55" t="s">
        <v>6316</v>
      </c>
      <c r="J278" s="55" t="s">
        <v>5189</v>
      </c>
      <c r="K278" s="55" t="s">
        <v>6649</v>
      </c>
      <c r="L278" s="55" t="s">
        <v>6650</v>
      </c>
      <c r="M278" s="55" t="s">
        <v>4501</v>
      </c>
      <c r="N278" s="55" t="s">
        <v>5192</v>
      </c>
      <c r="O278" s="55" t="s">
        <v>5191</v>
      </c>
    </row>
    <row r="279" spans="1:15" ht="15.75" x14ac:dyDescent="0.25">
      <c r="A279" s="55" t="s">
        <v>5188</v>
      </c>
      <c r="B279" s="55" t="s">
        <v>6651</v>
      </c>
      <c r="C279" s="55" t="s">
        <v>6652</v>
      </c>
      <c r="D279" s="55" t="s">
        <v>6653</v>
      </c>
      <c r="E279" s="55" t="s">
        <v>5401</v>
      </c>
      <c r="F279" s="55" t="s">
        <v>5402</v>
      </c>
      <c r="G279" s="55" t="s">
        <v>5403</v>
      </c>
      <c r="H279" s="55" t="s">
        <v>5404</v>
      </c>
      <c r="I279" s="55" t="s">
        <v>6654</v>
      </c>
      <c r="J279" s="55" t="s">
        <v>5189</v>
      </c>
      <c r="K279" s="55" t="s">
        <v>6649</v>
      </c>
      <c r="L279" s="55" t="s">
        <v>6655</v>
      </c>
      <c r="M279" s="55" t="s">
        <v>4501</v>
      </c>
      <c r="N279" s="55" t="s">
        <v>5192</v>
      </c>
      <c r="O279" s="55" t="s">
        <v>5191</v>
      </c>
    </row>
    <row r="280" spans="1:15" ht="15.75" x14ac:dyDescent="0.25">
      <c r="A280" s="55" t="s">
        <v>5188</v>
      </c>
      <c r="B280" s="55" t="s">
        <v>6656</v>
      </c>
      <c r="C280" s="55" t="s">
        <v>6657</v>
      </c>
      <c r="D280" s="55" t="s">
        <v>6658</v>
      </c>
      <c r="E280" s="55" t="s">
        <v>6659</v>
      </c>
      <c r="F280" s="55" t="s">
        <v>6660</v>
      </c>
      <c r="G280" s="55" t="s">
        <v>6661</v>
      </c>
      <c r="H280" s="55" t="s">
        <v>6662</v>
      </c>
      <c r="I280" s="55" t="s">
        <v>6663</v>
      </c>
      <c r="J280" s="55" t="s">
        <v>5189</v>
      </c>
      <c r="K280" s="55" t="s">
        <v>6664</v>
      </c>
      <c r="L280" s="55" t="s">
        <v>6665</v>
      </c>
      <c r="M280" s="55" t="s">
        <v>3551</v>
      </c>
      <c r="N280" s="55" t="s">
        <v>5192</v>
      </c>
      <c r="O280" s="55" t="s">
        <v>5191</v>
      </c>
    </row>
    <row r="281" spans="1:15" ht="15.75" x14ac:dyDescent="0.25">
      <c r="A281" s="55" t="s">
        <v>5188</v>
      </c>
      <c r="B281" s="55" t="s">
        <v>6666</v>
      </c>
      <c r="C281" s="55" t="s">
        <v>6667</v>
      </c>
      <c r="D281" s="55" t="s">
        <v>6668</v>
      </c>
      <c r="E281" s="55" t="s">
        <v>5312</v>
      </c>
      <c r="F281" s="55" t="s">
        <v>5313</v>
      </c>
      <c r="G281" s="55" t="s">
        <v>5229</v>
      </c>
      <c r="H281" s="55" t="s">
        <v>5230</v>
      </c>
      <c r="I281" s="55" t="s">
        <v>6669</v>
      </c>
      <c r="J281" s="55" t="s">
        <v>5189</v>
      </c>
      <c r="K281" s="55" t="s">
        <v>6670</v>
      </c>
      <c r="L281" s="55" t="s">
        <v>6671</v>
      </c>
      <c r="M281" s="55" t="s">
        <v>4565</v>
      </c>
      <c r="N281" s="55" t="s">
        <v>5192</v>
      </c>
      <c r="O281" s="55" t="s">
        <v>5191</v>
      </c>
    </row>
    <row r="282" spans="1:15" ht="15.75" x14ac:dyDescent="0.25">
      <c r="A282" s="55" t="s">
        <v>5188</v>
      </c>
      <c r="B282" s="55" t="s">
        <v>6672</v>
      </c>
      <c r="C282" s="55" t="s">
        <v>6673</v>
      </c>
      <c r="D282" s="55" t="s">
        <v>6674</v>
      </c>
      <c r="E282" s="55" t="s">
        <v>6675</v>
      </c>
      <c r="F282" s="55" t="s">
        <v>6676</v>
      </c>
      <c r="G282" s="55" t="s">
        <v>5369</v>
      </c>
      <c r="H282" s="55" t="s">
        <v>5370</v>
      </c>
      <c r="I282" s="55" t="s">
        <v>6677</v>
      </c>
      <c r="J282" s="55" t="s">
        <v>5189</v>
      </c>
      <c r="K282" s="55" t="s">
        <v>6678</v>
      </c>
      <c r="L282" s="55" t="s">
        <v>6679</v>
      </c>
      <c r="M282" s="55" t="s">
        <v>6680</v>
      </c>
      <c r="N282" s="55" t="s">
        <v>5192</v>
      </c>
      <c r="O282" s="55" t="s">
        <v>5191</v>
      </c>
    </row>
    <row r="283" spans="1:15" ht="15.75" x14ac:dyDescent="0.25">
      <c r="A283" s="55" t="s">
        <v>5188</v>
      </c>
      <c r="B283" s="55" t="s">
        <v>6681</v>
      </c>
      <c r="C283" s="55" t="s">
        <v>6673</v>
      </c>
      <c r="D283" s="55" t="s">
        <v>6674</v>
      </c>
      <c r="E283" s="55" t="s">
        <v>6675</v>
      </c>
      <c r="F283" s="55" t="s">
        <v>6676</v>
      </c>
      <c r="G283" s="55" t="s">
        <v>5369</v>
      </c>
      <c r="H283" s="55" t="s">
        <v>5370</v>
      </c>
      <c r="I283" s="55" t="s">
        <v>6677</v>
      </c>
      <c r="J283" s="55" t="s">
        <v>5189</v>
      </c>
      <c r="K283" s="55" t="s">
        <v>6678</v>
      </c>
      <c r="L283" s="55" t="s">
        <v>6679</v>
      </c>
      <c r="M283" s="55" t="s">
        <v>5318</v>
      </c>
      <c r="N283" s="55" t="s">
        <v>5192</v>
      </c>
      <c r="O283" s="55" t="s">
        <v>5191</v>
      </c>
    </row>
    <row r="284" spans="1:15" ht="15.75" x14ac:dyDescent="0.25">
      <c r="A284" s="55" t="s">
        <v>5188</v>
      </c>
      <c r="B284" s="55" t="s">
        <v>6682</v>
      </c>
      <c r="C284" s="55" t="s">
        <v>6673</v>
      </c>
      <c r="D284" s="55" t="s">
        <v>6674</v>
      </c>
      <c r="E284" s="55" t="s">
        <v>6675</v>
      </c>
      <c r="F284" s="55" t="s">
        <v>6676</v>
      </c>
      <c r="G284" s="55" t="s">
        <v>5369</v>
      </c>
      <c r="H284" s="55" t="s">
        <v>5370</v>
      </c>
      <c r="I284" s="55" t="s">
        <v>6677</v>
      </c>
      <c r="J284" s="55" t="s">
        <v>5189</v>
      </c>
      <c r="K284" s="55" t="s">
        <v>6678</v>
      </c>
      <c r="L284" s="55" t="s">
        <v>6679</v>
      </c>
      <c r="M284" s="55" t="s">
        <v>5231</v>
      </c>
      <c r="N284" s="55" t="s">
        <v>5192</v>
      </c>
      <c r="O284" s="55" t="s">
        <v>5191</v>
      </c>
    </row>
    <row r="285" spans="1:15" ht="15.75" x14ac:dyDescent="0.25">
      <c r="A285" s="55" t="s">
        <v>5188</v>
      </c>
      <c r="B285" s="55" t="s">
        <v>6683</v>
      </c>
      <c r="C285" s="55" t="s">
        <v>6684</v>
      </c>
      <c r="D285" s="55" t="s">
        <v>6685</v>
      </c>
      <c r="E285" s="55" t="s">
        <v>6686</v>
      </c>
      <c r="F285" s="55" t="s">
        <v>6687</v>
      </c>
      <c r="G285" s="55" t="s">
        <v>5235</v>
      </c>
      <c r="H285" s="55" t="s">
        <v>5236</v>
      </c>
      <c r="I285" s="55" t="s">
        <v>6688</v>
      </c>
      <c r="J285" s="55" t="s">
        <v>5189</v>
      </c>
      <c r="K285" s="55" t="s">
        <v>6689</v>
      </c>
      <c r="L285" s="55" t="s">
        <v>6690</v>
      </c>
      <c r="M285" s="55" t="s">
        <v>4752</v>
      </c>
      <c r="N285" s="55" t="s">
        <v>5192</v>
      </c>
      <c r="O285" s="55" t="s">
        <v>5191</v>
      </c>
    </row>
    <row r="286" spans="1:15" ht="15.75" x14ac:dyDescent="0.25">
      <c r="A286" s="55" t="s">
        <v>5188</v>
      </c>
      <c r="B286" s="55" t="s">
        <v>7806</v>
      </c>
      <c r="C286" s="55" t="s">
        <v>7807</v>
      </c>
      <c r="D286" s="55" t="s">
        <v>7808</v>
      </c>
      <c r="E286" s="55" t="s">
        <v>7809</v>
      </c>
      <c r="F286" s="55" t="s">
        <v>7810</v>
      </c>
      <c r="G286" s="55" t="s">
        <v>5365</v>
      </c>
      <c r="H286" s="55" t="s">
        <v>5366</v>
      </c>
      <c r="I286" s="55" t="s">
        <v>7811</v>
      </c>
      <c r="J286" s="55" t="s">
        <v>5189</v>
      </c>
      <c r="K286" s="55" t="s">
        <v>7812</v>
      </c>
      <c r="L286" s="55" t="s">
        <v>7813</v>
      </c>
      <c r="M286" s="55" t="s">
        <v>4501</v>
      </c>
      <c r="N286" s="55" t="s">
        <v>5192</v>
      </c>
      <c r="O286" s="55" t="s">
        <v>5191</v>
      </c>
    </row>
    <row r="287" spans="1:15" ht="15.75" x14ac:dyDescent="0.25">
      <c r="A287" s="55" t="s">
        <v>5188</v>
      </c>
      <c r="B287" s="55" t="s">
        <v>7814</v>
      </c>
      <c r="C287" s="55" t="s">
        <v>7807</v>
      </c>
      <c r="D287" s="55" t="s">
        <v>7808</v>
      </c>
      <c r="E287" s="55" t="s">
        <v>7809</v>
      </c>
      <c r="F287" s="55" t="s">
        <v>7810</v>
      </c>
      <c r="G287" s="55" t="s">
        <v>5365</v>
      </c>
      <c r="H287" s="55" t="s">
        <v>5366</v>
      </c>
      <c r="I287" s="55" t="s">
        <v>7811</v>
      </c>
      <c r="J287" s="55" t="s">
        <v>5189</v>
      </c>
      <c r="K287" s="55" t="s">
        <v>7812</v>
      </c>
      <c r="L287" s="55" t="s">
        <v>7813</v>
      </c>
      <c r="M287" s="55" t="s">
        <v>5084</v>
      </c>
      <c r="N287" s="55" t="s">
        <v>5192</v>
      </c>
      <c r="O287" s="55" t="s">
        <v>5191</v>
      </c>
    </row>
    <row r="288" spans="1:15" ht="15.75" x14ac:dyDescent="0.25">
      <c r="A288" s="55" t="s">
        <v>5188</v>
      </c>
      <c r="B288" s="55" t="s">
        <v>7815</v>
      </c>
      <c r="C288" s="55" t="s">
        <v>7807</v>
      </c>
      <c r="D288" s="55" t="s">
        <v>7808</v>
      </c>
      <c r="E288" s="55" t="s">
        <v>7809</v>
      </c>
      <c r="F288" s="55" t="s">
        <v>7810</v>
      </c>
      <c r="G288" s="55" t="s">
        <v>5365</v>
      </c>
      <c r="H288" s="55" t="s">
        <v>5366</v>
      </c>
      <c r="I288" s="55" t="s">
        <v>7811</v>
      </c>
      <c r="J288" s="55" t="s">
        <v>5189</v>
      </c>
      <c r="K288" s="55" t="s">
        <v>7812</v>
      </c>
      <c r="L288" s="55" t="s">
        <v>7813</v>
      </c>
      <c r="M288" s="55" t="s">
        <v>4503</v>
      </c>
      <c r="N288" s="55" t="s">
        <v>5192</v>
      </c>
      <c r="O288" s="55" t="s">
        <v>5191</v>
      </c>
    </row>
    <row r="289" spans="1:15" ht="15.75" x14ac:dyDescent="0.25">
      <c r="A289" s="55" t="s">
        <v>5188</v>
      </c>
      <c r="B289" s="55" t="s">
        <v>7816</v>
      </c>
      <c r="C289" s="55" t="s">
        <v>7817</v>
      </c>
      <c r="D289" s="55" t="s">
        <v>7818</v>
      </c>
      <c r="E289" s="55" t="s">
        <v>7819</v>
      </c>
      <c r="F289" s="55" t="s">
        <v>7820</v>
      </c>
      <c r="G289" s="55" t="s">
        <v>7821</v>
      </c>
      <c r="H289" s="55" t="s">
        <v>7822</v>
      </c>
      <c r="I289" s="55" t="s">
        <v>7823</v>
      </c>
      <c r="J289" s="55" t="s">
        <v>5189</v>
      </c>
      <c r="K289" s="55" t="s">
        <v>7824</v>
      </c>
      <c r="L289" s="55" t="s">
        <v>7825</v>
      </c>
      <c r="M289" s="55" t="s">
        <v>4684</v>
      </c>
      <c r="N289" s="55" t="s">
        <v>5192</v>
      </c>
      <c r="O289" s="55" t="s">
        <v>5191</v>
      </c>
    </row>
    <row r="290" spans="1:15" ht="15.75" x14ac:dyDescent="0.25">
      <c r="A290" s="55" t="s">
        <v>5188</v>
      </c>
      <c r="B290" s="55" t="s">
        <v>7826</v>
      </c>
      <c r="C290" s="55" t="s">
        <v>7827</v>
      </c>
      <c r="D290" s="55" t="s">
        <v>7828</v>
      </c>
      <c r="E290" s="55" t="s">
        <v>7819</v>
      </c>
      <c r="F290" s="55" t="s">
        <v>7820</v>
      </c>
      <c r="G290" s="55" t="s">
        <v>7821</v>
      </c>
      <c r="H290" s="55" t="s">
        <v>7822</v>
      </c>
      <c r="I290" s="55" t="s">
        <v>7829</v>
      </c>
      <c r="J290" s="55" t="s">
        <v>5189</v>
      </c>
      <c r="K290" s="55" t="s">
        <v>7830</v>
      </c>
      <c r="L290" s="55" t="s">
        <v>7831</v>
      </c>
      <c r="M290" s="55" t="s">
        <v>921</v>
      </c>
      <c r="N290" s="55" t="s">
        <v>5192</v>
      </c>
      <c r="O290" s="55" t="s">
        <v>5191</v>
      </c>
    </row>
    <row r="291" spans="1:15" ht="15.75" x14ac:dyDescent="0.25">
      <c r="A291" s="55" t="s">
        <v>5188</v>
      </c>
      <c r="B291" s="55" t="s">
        <v>7832</v>
      </c>
      <c r="C291" s="55" t="s">
        <v>7833</v>
      </c>
      <c r="D291" s="55" t="s">
        <v>7834</v>
      </c>
      <c r="E291" s="55" t="s">
        <v>7835</v>
      </c>
      <c r="F291" s="55" t="s">
        <v>7836</v>
      </c>
      <c r="G291" s="55" t="s">
        <v>5369</v>
      </c>
      <c r="H291" s="55" t="s">
        <v>5370</v>
      </c>
      <c r="I291" s="55" t="s">
        <v>7837</v>
      </c>
      <c r="J291" s="55" t="s">
        <v>5189</v>
      </c>
      <c r="K291" s="55" t="s">
        <v>7838</v>
      </c>
      <c r="L291" s="55" t="s">
        <v>7839</v>
      </c>
      <c r="M291" s="55" t="s">
        <v>5231</v>
      </c>
      <c r="N291" s="55" t="s">
        <v>5192</v>
      </c>
      <c r="O291" s="55" t="s">
        <v>5191</v>
      </c>
    </row>
    <row r="292" spans="1:15" ht="15.75" x14ac:dyDescent="0.25">
      <c r="A292" s="55" t="s">
        <v>5188</v>
      </c>
      <c r="B292" s="55" t="s">
        <v>7840</v>
      </c>
      <c r="C292" s="55" t="s">
        <v>7833</v>
      </c>
      <c r="D292" s="55" t="s">
        <v>7834</v>
      </c>
      <c r="E292" s="55" t="s">
        <v>7835</v>
      </c>
      <c r="F292" s="55" t="s">
        <v>7836</v>
      </c>
      <c r="G292" s="55" t="s">
        <v>5369</v>
      </c>
      <c r="H292" s="55" t="s">
        <v>5370</v>
      </c>
      <c r="I292" s="55" t="s">
        <v>7837</v>
      </c>
      <c r="J292" s="55" t="s">
        <v>5189</v>
      </c>
      <c r="K292" s="55" t="s">
        <v>7838</v>
      </c>
      <c r="L292" s="55" t="s">
        <v>7839</v>
      </c>
      <c r="M292" s="55" t="s">
        <v>4944</v>
      </c>
      <c r="N292" s="55" t="s">
        <v>5192</v>
      </c>
      <c r="O292" s="55" t="s">
        <v>5191</v>
      </c>
    </row>
    <row r="293" spans="1:15" ht="15.75" x14ac:dyDescent="0.25">
      <c r="A293" s="55" t="s">
        <v>5188</v>
      </c>
      <c r="B293" s="55" t="s">
        <v>7841</v>
      </c>
      <c r="C293" s="55" t="s">
        <v>7833</v>
      </c>
      <c r="D293" s="55" t="s">
        <v>7834</v>
      </c>
      <c r="E293" s="55" t="s">
        <v>7835</v>
      </c>
      <c r="F293" s="55" t="s">
        <v>7836</v>
      </c>
      <c r="G293" s="55" t="s">
        <v>5369</v>
      </c>
      <c r="H293" s="55" t="s">
        <v>5370</v>
      </c>
      <c r="I293" s="55" t="s">
        <v>7837</v>
      </c>
      <c r="J293" s="55" t="s">
        <v>5189</v>
      </c>
      <c r="K293" s="55" t="s">
        <v>7838</v>
      </c>
      <c r="L293" s="55" t="s">
        <v>7839</v>
      </c>
      <c r="M293" s="55" t="s">
        <v>4946</v>
      </c>
      <c r="N293" s="55" t="s">
        <v>5192</v>
      </c>
      <c r="O293" s="55" t="s">
        <v>5191</v>
      </c>
    </row>
    <row r="294" spans="1:15" ht="15.75" x14ac:dyDescent="0.25">
      <c r="A294" s="55" t="s">
        <v>5188</v>
      </c>
      <c r="B294" s="55" t="s">
        <v>7842</v>
      </c>
      <c r="C294" s="55" t="s">
        <v>7843</v>
      </c>
      <c r="D294" s="55" t="s">
        <v>7844</v>
      </c>
      <c r="E294" s="55" t="s">
        <v>7845</v>
      </c>
      <c r="F294" s="55" t="s">
        <v>7846</v>
      </c>
      <c r="G294" s="55" t="s">
        <v>5222</v>
      </c>
      <c r="H294" s="55" t="s">
        <v>5223</v>
      </c>
      <c r="I294" s="55" t="s">
        <v>7847</v>
      </c>
      <c r="J294" s="55" t="s">
        <v>5189</v>
      </c>
      <c r="K294" s="55" t="s">
        <v>7848</v>
      </c>
      <c r="L294" s="55" t="s">
        <v>7849</v>
      </c>
      <c r="M294" s="55" t="s">
        <v>3415</v>
      </c>
      <c r="N294" s="55" t="s">
        <v>5192</v>
      </c>
      <c r="O294" s="55" t="s">
        <v>5191</v>
      </c>
    </row>
    <row r="295" spans="1:15" ht="15.75" x14ac:dyDescent="0.25">
      <c r="A295" s="55" t="s">
        <v>5188</v>
      </c>
      <c r="B295" s="55" t="s">
        <v>7850</v>
      </c>
      <c r="C295" s="55" t="s">
        <v>7851</v>
      </c>
      <c r="D295" s="55" t="s">
        <v>7852</v>
      </c>
      <c r="E295" s="55" t="s">
        <v>7845</v>
      </c>
      <c r="F295" s="55" t="s">
        <v>7846</v>
      </c>
      <c r="G295" s="55" t="s">
        <v>5222</v>
      </c>
      <c r="H295" s="55" t="s">
        <v>5223</v>
      </c>
      <c r="I295" s="55" t="s">
        <v>7847</v>
      </c>
      <c r="J295" s="55" t="s">
        <v>5189</v>
      </c>
      <c r="K295" s="55" t="s">
        <v>7853</v>
      </c>
      <c r="L295" s="55" t="s">
        <v>7854</v>
      </c>
      <c r="M295" s="55" t="s">
        <v>3407</v>
      </c>
      <c r="N295" s="55" t="s">
        <v>5192</v>
      </c>
      <c r="O295" s="55" t="s">
        <v>5191</v>
      </c>
    </row>
    <row r="296" spans="1:15" ht="15.75" x14ac:dyDescent="0.25">
      <c r="A296" s="55" t="s">
        <v>5188</v>
      </c>
      <c r="B296" s="55" t="s">
        <v>7855</v>
      </c>
      <c r="C296" s="55" t="s">
        <v>7851</v>
      </c>
      <c r="D296" s="55" t="s">
        <v>7852</v>
      </c>
      <c r="E296" s="55" t="s">
        <v>7845</v>
      </c>
      <c r="F296" s="55" t="s">
        <v>7846</v>
      </c>
      <c r="G296" s="55" t="s">
        <v>5222</v>
      </c>
      <c r="H296" s="55" t="s">
        <v>5223</v>
      </c>
      <c r="I296" s="55" t="s">
        <v>7847</v>
      </c>
      <c r="J296" s="55" t="s">
        <v>5189</v>
      </c>
      <c r="K296" s="55" t="s">
        <v>7853</v>
      </c>
      <c r="L296" s="55" t="s">
        <v>7854</v>
      </c>
      <c r="M296" s="55" t="s">
        <v>4567</v>
      </c>
      <c r="N296" s="55" t="s">
        <v>5192</v>
      </c>
      <c r="O296" s="55" t="s">
        <v>5191</v>
      </c>
    </row>
    <row r="297" spans="1:15" ht="15.75" x14ac:dyDescent="0.25">
      <c r="A297" s="55" t="s">
        <v>5188</v>
      </c>
      <c r="B297" s="55" t="s">
        <v>7856</v>
      </c>
      <c r="C297" s="55" t="s">
        <v>7857</v>
      </c>
      <c r="D297" s="55" t="s">
        <v>7858</v>
      </c>
      <c r="E297" s="55" t="s">
        <v>7859</v>
      </c>
      <c r="F297" s="55" t="s">
        <v>7860</v>
      </c>
      <c r="G297" s="55" t="s">
        <v>5237</v>
      </c>
      <c r="H297" s="55" t="s">
        <v>5238</v>
      </c>
      <c r="I297" s="55" t="s">
        <v>7861</v>
      </c>
      <c r="J297" s="55" t="s">
        <v>5189</v>
      </c>
      <c r="K297" s="55" t="s">
        <v>7862</v>
      </c>
      <c r="L297" s="55" t="s">
        <v>7863</v>
      </c>
      <c r="M297" s="55" t="s">
        <v>4944</v>
      </c>
      <c r="N297" s="55" t="s">
        <v>5192</v>
      </c>
      <c r="O297" s="55" t="s">
        <v>5191</v>
      </c>
    </row>
    <row r="298" spans="1:15" ht="15.75" x14ac:dyDescent="0.25">
      <c r="A298" s="55" t="s">
        <v>5188</v>
      </c>
      <c r="B298" s="55" t="s">
        <v>7864</v>
      </c>
      <c r="C298" s="55" t="s">
        <v>7857</v>
      </c>
      <c r="D298" s="55" t="s">
        <v>7858</v>
      </c>
      <c r="E298" s="55" t="s">
        <v>7859</v>
      </c>
      <c r="F298" s="55" t="s">
        <v>7860</v>
      </c>
      <c r="G298" s="55" t="s">
        <v>5237</v>
      </c>
      <c r="H298" s="55" t="s">
        <v>5238</v>
      </c>
      <c r="I298" s="55" t="s">
        <v>7861</v>
      </c>
      <c r="J298" s="55" t="s">
        <v>5189</v>
      </c>
      <c r="K298" s="55" t="s">
        <v>7862</v>
      </c>
      <c r="L298" s="55" t="s">
        <v>7863</v>
      </c>
      <c r="M298" s="55" t="s">
        <v>4752</v>
      </c>
      <c r="N298" s="55" t="s">
        <v>5192</v>
      </c>
      <c r="O298" s="55" t="s">
        <v>5191</v>
      </c>
    </row>
    <row r="299" spans="1:15" ht="15.75" x14ac:dyDescent="0.25">
      <c r="A299" s="55" t="s">
        <v>5188</v>
      </c>
      <c r="B299" s="55" t="s">
        <v>7865</v>
      </c>
      <c r="C299" s="55" t="s">
        <v>7438</v>
      </c>
      <c r="D299" s="55" t="s">
        <v>7439</v>
      </c>
      <c r="E299" s="55" t="s">
        <v>7440</v>
      </c>
      <c r="F299" s="55" t="s">
        <v>7441</v>
      </c>
      <c r="G299" s="55" t="s">
        <v>7442</v>
      </c>
      <c r="H299" s="55" t="s">
        <v>7443</v>
      </c>
      <c r="I299" s="55" t="s">
        <v>7444</v>
      </c>
      <c r="J299" s="55" t="s">
        <v>5189</v>
      </c>
      <c r="K299" s="55" t="s">
        <v>7445</v>
      </c>
      <c r="L299" s="55" t="s">
        <v>7446</v>
      </c>
      <c r="M299" s="55" t="s">
        <v>2872</v>
      </c>
      <c r="N299" s="55" t="s">
        <v>5192</v>
      </c>
      <c r="O299" s="55" t="s">
        <v>5191</v>
      </c>
    </row>
    <row r="300" spans="1:15" ht="15.75" x14ac:dyDescent="0.25">
      <c r="A300" s="55" t="s">
        <v>5188</v>
      </c>
      <c r="B300" s="55" t="s">
        <v>7866</v>
      </c>
      <c r="C300" s="55" t="s">
        <v>7448</v>
      </c>
      <c r="D300" s="55" t="s">
        <v>7449</v>
      </c>
      <c r="E300" s="55" t="s">
        <v>7450</v>
      </c>
      <c r="F300" s="55" t="s">
        <v>7451</v>
      </c>
      <c r="G300" s="55" t="s">
        <v>7452</v>
      </c>
      <c r="H300" s="55" t="s">
        <v>7453</v>
      </c>
      <c r="I300" s="55" t="s">
        <v>7454</v>
      </c>
      <c r="J300" s="55" t="s">
        <v>5189</v>
      </c>
      <c r="K300" s="55" t="s">
        <v>7455</v>
      </c>
      <c r="L300" s="55" t="s">
        <v>7456</v>
      </c>
      <c r="M300" s="55" t="s">
        <v>4750</v>
      </c>
      <c r="N300" s="55" t="s">
        <v>5192</v>
      </c>
      <c r="O300" s="55" t="s">
        <v>5191</v>
      </c>
    </row>
    <row r="301" spans="1:15" ht="15.75" x14ac:dyDescent="0.25">
      <c r="A301" s="55" t="s">
        <v>5188</v>
      </c>
      <c r="B301" s="55" t="s">
        <v>7867</v>
      </c>
      <c r="C301" s="55" t="s">
        <v>7469</v>
      </c>
      <c r="D301" s="55" t="s">
        <v>7470</v>
      </c>
      <c r="E301" s="55" t="s">
        <v>7471</v>
      </c>
      <c r="F301" s="55" t="s">
        <v>7472</v>
      </c>
      <c r="G301" s="55" t="s">
        <v>5358</v>
      </c>
      <c r="H301" s="55" t="s">
        <v>5359</v>
      </c>
      <c r="I301" s="55" t="s">
        <v>7473</v>
      </c>
      <c r="J301" s="55" t="s">
        <v>5189</v>
      </c>
      <c r="K301" s="55" t="s">
        <v>7474</v>
      </c>
      <c r="L301" s="55" t="s">
        <v>7475</v>
      </c>
      <c r="M301" s="55" t="s">
        <v>5231</v>
      </c>
      <c r="N301" s="55" t="s">
        <v>5192</v>
      </c>
      <c r="O301" s="55" t="s">
        <v>5191</v>
      </c>
    </row>
    <row r="302" spans="1:15" ht="15.75" x14ac:dyDescent="0.25">
      <c r="A302" s="55" t="s">
        <v>5188</v>
      </c>
      <c r="B302" s="55" t="s">
        <v>7868</v>
      </c>
      <c r="C302" s="55" t="s">
        <v>7489</v>
      </c>
      <c r="D302" s="55" t="s">
        <v>7490</v>
      </c>
      <c r="E302" s="55" t="s">
        <v>7491</v>
      </c>
      <c r="F302" s="55" t="s">
        <v>7492</v>
      </c>
      <c r="G302" s="55" t="s">
        <v>6314</v>
      </c>
      <c r="H302" s="55" t="s">
        <v>6315</v>
      </c>
      <c r="I302" s="55" t="s">
        <v>7493</v>
      </c>
      <c r="J302" s="55" t="s">
        <v>5189</v>
      </c>
      <c r="K302" s="55" t="s">
        <v>7494</v>
      </c>
      <c r="L302" s="55" t="s">
        <v>7495</v>
      </c>
      <c r="M302" s="55" t="s">
        <v>4561</v>
      </c>
      <c r="N302" s="55" t="s">
        <v>5192</v>
      </c>
      <c r="O302" s="55" t="s">
        <v>5191</v>
      </c>
    </row>
    <row r="303" spans="1:15" ht="15.75" x14ac:dyDescent="0.25">
      <c r="A303" s="55" t="s">
        <v>5188</v>
      </c>
      <c r="B303" s="55" t="s">
        <v>7869</v>
      </c>
      <c r="C303" s="55" t="s">
        <v>7489</v>
      </c>
      <c r="D303" s="55" t="s">
        <v>7490</v>
      </c>
      <c r="E303" s="55" t="s">
        <v>7491</v>
      </c>
      <c r="F303" s="55" t="s">
        <v>7492</v>
      </c>
      <c r="G303" s="55" t="s">
        <v>6314</v>
      </c>
      <c r="H303" s="55" t="s">
        <v>6315</v>
      </c>
      <c r="I303" s="55" t="s">
        <v>7493</v>
      </c>
      <c r="J303" s="55" t="s">
        <v>5189</v>
      </c>
      <c r="K303" s="55" t="s">
        <v>7494</v>
      </c>
      <c r="L303" s="55" t="s">
        <v>7495</v>
      </c>
      <c r="M303" s="55" t="s">
        <v>4569</v>
      </c>
      <c r="N303" s="55" t="s">
        <v>5192</v>
      </c>
      <c r="O303" s="55" t="s">
        <v>5191</v>
      </c>
    </row>
    <row r="304" spans="1:15" ht="15.75" x14ac:dyDescent="0.25">
      <c r="A304" s="55" t="s">
        <v>5188</v>
      </c>
      <c r="B304" s="55" t="s">
        <v>7870</v>
      </c>
      <c r="C304" s="55" t="s">
        <v>7489</v>
      </c>
      <c r="D304" s="55" t="s">
        <v>7490</v>
      </c>
      <c r="E304" s="55" t="s">
        <v>7491</v>
      </c>
      <c r="F304" s="55" t="s">
        <v>7492</v>
      </c>
      <c r="G304" s="55" t="s">
        <v>6314</v>
      </c>
      <c r="H304" s="55" t="s">
        <v>6315</v>
      </c>
      <c r="I304" s="55" t="s">
        <v>7493</v>
      </c>
      <c r="J304" s="55" t="s">
        <v>5189</v>
      </c>
      <c r="K304" s="55" t="s">
        <v>7494</v>
      </c>
      <c r="L304" s="55" t="s">
        <v>7495</v>
      </c>
      <c r="M304" s="55" t="s">
        <v>4662</v>
      </c>
      <c r="N304" s="55" t="s">
        <v>5192</v>
      </c>
      <c r="O304" s="55" t="s">
        <v>5191</v>
      </c>
    </row>
    <row r="305" spans="1:15" ht="15.75" x14ac:dyDescent="0.25">
      <c r="A305" s="55" t="s">
        <v>5188</v>
      </c>
      <c r="B305" s="55" t="s">
        <v>7871</v>
      </c>
      <c r="C305" s="55" t="s">
        <v>7497</v>
      </c>
      <c r="D305" s="55" t="s">
        <v>7498</v>
      </c>
      <c r="E305" s="55" t="s">
        <v>7499</v>
      </c>
      <c r="F305" s="55" t="s">
        <v>7500</v>
      </c>
      <c r="G305" s="55" t="s">
        <v>5813</v>
      </c>
      <c r="H305" s="55" t="s">
        <v>5814</v>
      </c>
      <c r="I305" s="55" t="s">
        <v>7501</v>
      </c>
      <c r="J305" s="55" t="s">
        <v>5189</v>
      </c>
      <c r="K305" s="55" t="s">
        <v>7502</v>
      </c>
      <c r="L305" s="55" t="s">
        <v>7503</v>
      </c>
      <c r="M305" s="55" t="s">
        <v>4750</v>
      </c>
      <c r="N305" s="55" t="s">
        <v>5192</v>
      </c>
      <c r="O305" s="55" t="s">
        <v>5191</v>
      </c>
    </row>
    <row r="306" spans="1:15" ht="15.75" x14ac:dyDescent="0.25">
      <c r="A306" s="55" t="s">
        <v>5188</v>
      </c>
      <c r="B306" s="55" t="s">
        <v>7872</v>
      </c>
      <c r="C306" s="55" t="s">
        <v>7497</v>
      </c>
      <c r="D306" s="55" t="s">
        <v>7498</v>
      </c>
      <c r="E306" s="55" t="s">
        <v>7499</v>
      </c>
      <c r="F306" s="55" t="s">
        <v>7500</v>
      </c>
      <c r="G306" s="55" t="s">
        <v>5813</v>
      </c>
      <c r="H306" s="55" t="s">
        <v>5814</v>
      </c>
      <c r="I306" s="55" t="s">
        <v>7501</v>
      </c>
      <c r="J306" s="55" t="s">
        <v>5189</v>
      </c>
      <c r="K306" s="55" t="s">
        <v>7502</v>
      </c>
      <c r="L306" s="55" t="s">
        <v>7503</v>
      </c>
      <c r="M306" s="55" t="s">
        <v>4906</v>
      </c>
      <c r="N306" s="55" t="s">
        <v>5192</v>
      </c>
      <c r="O306" s="55" t="s">
        <v>5191</v>
      </c>
    </row>
    <row r="307" spans="1:15" ht="15.75" x14ac:dyDescent="0.25">
      <c r="A307" s="55" t="s">
        <v>5188</v>
      </c>
      <c r="B307" s="55" t="s">
        <v>7873</v>
      </c>
      <c r="C307" s="55" t="s">
        <v>7497</v>
      </c>
      <c r="D307" s="55" t="s">
        <v>7498</v>
      </c>
      <c r="E307" s="55" t="s">
        <v>7499</v>
      </c>
      <c r="F307" s="55" t="s">
        <v>7500</v>
      </c>
      <c r="G307" s="55" t="s">
        <v>5813</v>
      </c>
      <c r="H307" s="55" t="s">
        <v>5814</v>
      </c>
      <c r="I307" s="55" t="s">
        <v>7501</v>
      </c>
      <c r="J307" s="55" t="s">
        <v>5189</v>
      </c>
      <c r="K307" s="55" t="s">
        <v>7502</v>
      </c>
      <c r="L307" s="55" t="s">
        <v>7503</v>
      </c>
      <c r="M307" s="55" t="s">
        <v>2943</v>
      </c>
      <c r="N307" s="55" t="s">
        <v>5192</v>
      </c>
      <c r="O307" s="55" t="s">
        <v>5191</v>
      </c>
    </row>
    <row r="308" spans="1:15" ht="15.75" x14ac:dyDescent="0.25">
      <c r="A308" s="55" t="s">
        <v>5188</v>
      </c>
      <c r="B308" s="55" t="s">
        <v>7874</v>
      </c>
      <c r="C308" s="55" t="s">
        <v>7497</v>
      </c>
      <c r="D308" s="55" t="s">
        <v>7498</v>
      </c>
      <c r="E308" s="55" t="s">
        <v>7499</v>
      </c>
      <c r="F308" s="55" t="s">
        <v>7500</v>
      </c>
      <c r="G308" s="55" t="s">
        <v>5813</v>
      </c>
      <c r="H308" s="55" t="s">
        <v>5814</v>
      </c>
      <c r="I308" s="55" t="s">
        <v>7501</v>
      </c>
      <c r="J308" s="55" t="s">
        <v>5189</v>
      </c>
      <c r="K308" s="55" t="s">
        <v>7502</v>
      </c>
      <c r="L308" s="55" t="s">
        <v>7503</v>
      </c>
      <c r="M308" s="55" t="s">
        <v>4007</v>
      </c>
      <c r="N308" s="55" t="s">
        <v>5192</v>
      </c>
      <c r="O308" s="55" t="s">
        <v>5191</v>
      </c>
    </row>
    <row r="309" spans="1:15" ht="15.75" x14ac:dyDescent="0.25">
      <c r="A309" s="55" t="s">
        <v>5188</v>
      </c>
      <c r="B309" s="55" t="s">
        <v>7875</v>
      </c>
      <c r="C309" s="55" t="s">
        <v>7506</v>
      </c>
      <c r="D309" s="55" t="s">
        <v>7507</v>
      </c>
      <c r="E309" s="55" t="s">
        <v>7508</v>
      </c>
      <c r="F309" s="55" t="s">
        <v>7509</v>
      </c>
      <c r="G309" s="55" t="s">
        <v>6056</v>
      </c>
      <c r="H309" s="55" t="s">
        <v>6057</v>
      </c>
      <c r="I309" s="55" t="s">
        <v>7510</v>
      </c>
      <c r="J309" s="55" t="s">
        <v>5189</v>
      </c>
      <c r="K309" s="55" t="s">
        <v>7511</v>
      </c>
      <c r="L309" s="55" t="s">
        <v>7512</v>
      </c>
      <c r="M309" s="55" t="s">
        <v>2782</v>
      </c>
      <c r="N309" s="55" t="s">
        <v>5192</v>
      </c>
      <c r="O309" s="55" t="s">
        <v>5191</v>
      </c>
    </row>
    <row r="310" spans="1:15" ht="15.75" x14ac:dyDescent="0.25">
      <c r="A310" s="55" t="s">
        <v>5188</v>
      </c>
      <c r="B310" s="55" t="s">
        <v>7876</v>
      </c>
      <c r="C310" s="55" t="s">
        <v>7506</v>
      </c>
      <c r="D310" s="55" t="s">
        <v>7507</v>
      </c>
      <c r="E310" s="55" t="s">
        <v>7508</v>
      </c>
      <c r="F310" s="55" t="s">
        <v>7509</v>
      </c>
      <c r="G310" s="55" t="s">
        <v>6056</v>
      </c>
      <c r="H310" s="55" t="s">
        <v>6057</v>
      </c>
      <c r="I310" s="55" t="s">
        <v>7510</v>
      </c>
      <c r="J310" s="55" t="s">
        <v>5189</v>
      </c>
      <c r="K310" s="55" t="s">
        <v>7511</v>
      </c>
      <c r="L310" s="55" t="s">
        <v>7512</v>
      </c>
      <c r="M310" s="55" t="s">
        <v>4521</v>
      </c>
      <c r="N310" s="55" t="s">
        <v>5192</v>
      </c>
      <c r="O310" s="55" t="s">
        <v>5191</v>
      </c>
    </row>
    <row r="311" spans="1:15" ht="15.75" x14ac:dyDescent="0.25">
      <c r="A311" s="55" t="s">
        <v>5188</v>
      </c>
      <c r="B311" s="55" t="s">
        <v>7877</v>
      </c>
      <c r="C311" s="55" t="s">
        <v>7515</v>
      </c>
      <c r="D311" s="55" t="s">
        <v>7516</v>
      </c>
      <c r="E311" s="55" t="s">
        <v>5194</v>
      </c>
      <c r="F311" s="55" t="s">
        <v>5195</v>
      </c>
      <c r="G311" s="55" t="s">
        <v>5608</v>
      </c>
      <c r="H311" s="55" t="s">
        <v>5609</v>
      </c>
      <c r="I311" s="55" t="s">
        <v>7517</v>
      </c>
      <c r="J311" s="55" t="s">
        <v>5189</v>
      </c>
      <c r="K311" s="55" t="s">
        <v>7518</v>
      </c>
      <c r="L311" s="55" t="s">
        <v>7519</v>
      </c>
      <c r="M311" s="55" t="s">
        <v>3551</v>
      </c>
      <c r="N311" s="55" t="s">
        <v>5192</v>
      </c>
      <c r="O311" s="55" t="s">
        <v>5191</v>
      </c>
    </row>
    <row r="312" spans="1:15" ht="15.75" x14ac:dyDescent="0.25">
      <c r="A312" s="55" t="s">
        <v>5188</v>
      </c>
      <c r="B312" s="55" t="s">
        <v>7878</v>
      </c>
      <c r="C312" s="55" t="s">
        <v>7515</v>
      </c>
      <c r="D312" s="55" t="s">
        <v>7516</v>
      </c>
      <c r="E312" s="55" t="s">
        <v>5194</v>
      </c>
      <c r="F312" s="55" t="s">
        <v>5195</v>
      </c>
      <c r="G312" s="55" t="s">
        <v>5608</v>
      </c>
      <c r="H312" s="55" t="s">
        <v>5609</v>
      </c>
      <c r="I312" s="55" t="s">
        <v>7517</v>
      </c>
      <c r="J312" s="55" t="s">
        <v>5189</v>
      </c>
      <c r="K312" s="55" t="s">
        <v>7518</v>
      </c>
      <c r="L312" s="55" t="s">
        <v>7519</v>
      </c>
      <c r="M312" s="55" t="s">
        <v>4503</v>
      </c>
      <c r="N312" s="55" t="s">
        <v>5192</v>
      </c>
      <c r="O312" s="55" t="s">
        <v>5191</v>
      </c>
    </row>
    <row r="313" spans="1:15" ht="15.75" x14ac:dyDescent="0.25">
      <c r="A313" s="55" t="s">
        <v>5188</v>
      </c>
      <c r="B313" s="55" t="s">
        <v>7879</v>
      </c>
      <c r="C313" s="55" t="s">
        <v>7522</v>
      </c>
      <c r="D313" s="55" t="s">
        <v>7516</v>
      </c>
      <c r="E313" s="55" t="s">
        <v>5194</v>
      </c>
      <c r="F313" s="55" t="s">
        <v>5195</v>
      </c>
      <c r="G313" s="55" t="s">
        <v>5608</v>
      </c>
      <c r="H313" s="55" t="s">
        <v>5609</v>
      </c>
      <c r="I313" s="55" t="s">
        <v>7523</v>
      </c>
      <c r="J313" s="55" t="s">
        <v>5189</v>
      </c>
      <c r="K313" s="55" t="s">
        <v>7524</v>
      </c>
      <c r="L313" s="55" t="s">
        <v>7525</v>
      </c>
      <c r="M313" s="55" t="s">
        <v>4868</v>
      </c>
      <c r="N313" s="55" t="s">
        <v>5192</v>
      </c>
      <c r="O313" s="55" t="s">
        <v>5191</v>
      </c>
    </row>
    <row r="314" spans="1:15" ht="15.75" x14ac:dyDescent="0.25">
      <c r="A314" s="55" t="s">
        <v>5188</v>
      </c>
      <c r="B314" s="55" t="s">
        <v>7880</v>
      </c>
      <c r="C314" s="55" t="s">
        <v>7522</v>
      </c>
      <c r="D314" s="55" t="s">
        <v>7516</v>
      </c>
      <c r="E314" s="55" t="s">
        <v>5194</v>
      </c>
      <c r="F314" s="55" t="s">
        <v>5195</v>
      </c>
      <c r="G314" s="55" t="s">
        <v>5608</v>
      </c>
      <c r="H314" s="55" t="s">
        <v>5609</v>
      </c>
      <c r="I314" s="55" t="s">
        <v>7523</v>
      </c>
      <c r="J314" s="55" t="s">
        <v>5189</v>
      </c>
      <c r="K314" s="55" t="s">
        <v>7524</v>
      </c>
      <c r="L314" s="55" t="s">
        <v>7525</v>
      </c>
      <c r="M314" s="55" t="s">
        <v>5096</v>
      </c>
      <c r="N314" s="55" t="s">
        <v>5192</v>
      </c>
      <c r="O314" s="55" t="s">
        <v>5191</v>
      </c>
    </row>
    <row r="315" spans="1:15" ht="15.75" x14ac:dyDescent="0.25">
      <c r="A315" s="55" t="s">
        <v>5188</v>
      </c>
      <c r="B315" s="55" t="s">
        <v>7881</v>
      </c>
      <c r="C315" s="55" t="s">
        <v>7522</v>
      </c>
      <c r="D315" s="55" t="s">
        <v>7516</v>
      </c>
      <c r="E315" s="55" t="s">
        <v>5194</v>
      </c>
      <c r="F315" s="55" t="s">
        <v>5195</v>
      </c>
      <c r="G315" s="55" t="s">
        <v>5608</v>
      </c>
      <c r="H315" s="55" t="s">
        <v>5609</v>
      </c>
      <c r="I315" s="55" t="s">
        <v>7523</v>
      </c>
      <c r="J315" s="55" t="s">
        <v>5189</v>
      </c>
      <c r="K315" s="55" t="s">
        <v>7524</v>
      </c>
      <c r="L315" s="55" t="s">
        <v>7525</v>
      </c>
      <c r="M315" s="55" t="s">
        <v>1179</v>
      </c>
      <c r="N315" s="55" t="s">
        <v>5192</v>
      </c>
      <c r="O315" s="55" t="s">
        <v>5191</v>
      </c>
    </row>
    <row r="316" spans="1:15" ht="15.75" x14ac:dyDescent="0.25">
      <c r="A316" s="55" t="s">
        <v>5188</v>
      </c>
      <c r="B316" s="55" t="s">
        <v>7882</v>
      </c>
      <c r="C316" s="55" t="s">
        <v>7535</v>
      </c>
      <c r="D316" s="55" t="s">
        <v>7536</v>
      </c>
      <c r="E316" s="55" t="s">
        <v>7537</v>
      </c>
      <c r="F316" s="55" t="s">
        <v>7538</v>
      </c>
      <c r="G316" s="55" t="s">
        <v>7539</v>
      </c>
      <c r="H316" s="55" t="s">
        <v>7540</v>
      </c>
      <c r="I316" s="55" t="s">
        <v>7541</v>
      </c>
      <c r="J316" s="55" t="s">
        <v>5189</v>
      </c>
      <c r="K316" s="55" t="s">
        <v>7542</v>
      </c>
      <c r="L316" s="55" t="s">
        <v>7543</v>
      </c>
      <c r="M316" s="55" t="s">
        <v>5208</v>
      </c>
      <c r="N316" s="55" t="s">
        <v>5192</v>
      </c>
      <c r="O316" s="55" t="s">
        <v>5191</v>
      </c>
    </row>
    <row r="317" spans="1:15" ht="15.75" x14ac:dyDescent="0.25">
      <c r="A317" s="55" t="s">
        <v>5188</v>
      </c>
      <c r="B317" s="55" t="s">
        <v>7883</v>
      </c>
      <c r="C317" s="55" t="s">
        <v>7546</v>
      </c>
      <c r="D317" s="55" t="s">
        <v>7547</v>
      </c>
      <c r="E317" s="55" t="s">
        <v>7548</v>
      </c>
      <c r="F317" s="55" t="s">
        <v>7549</v>
      </c>
      <c r="G317" s="55" t="s">
        <v>7539</v>
      </c>
      <c r="H317" s="55" t="s">
        <v>7540</v>
      </c>
      <c r="I317" s="55" t="s">
        <v>7550</v>
      </c>
      <c r="J317" s="55" t="s">
        <v>5189</v>
      </c>
      <c r="K317" s="55" t="s">
        <v>7551</v>
      </c>
      <c r="L317" s="55" t="s">
        <v>7552</v>
      </c>
      <c r="M317" s="55" t="s">
        <v>2872</v>
      </c>
      <c r="N317" s="55" t="s">
        <v>5192</v>
      </c>
      <c r="O317" s="55" t="s">
        <v>5191</v>
      </c>
    </row>
    <row r="318" spans="1:15" ht="15.75" x14ac:dyDescent="0.25">
      <c r="A318" s="55" t="s">
        <v>5188</v>
      </c>
      <c r="B318" s="55" t="s">
        <v>7884</v>
      </c>
      <c r="C318" s="55" t="s">
        <v>7546</v>
      </c>
      <c r="D318" s="55" t="s">
        <v>7547</v>
      </c>
      <c r="E318" s="55" t="s">
        <v>7548</v>
      </c>
      <c r="F318" s="55" t="s">
        <v>7549</v>
      </c>
      <c r="G318" s="55" t="s">
        <v>7539</v>
      </c>
      <c r="H318" s="55" t="s">
        <v>7540</v>
      </c>
      <c r="I318" s="55" t="s">
        <v>7550</v>
      </c>
      <c r="J318" s="55" t="s">
        <v>5189</v>
      </c>
      <c r="K318" s="55" t="s">
        <v>7551</v>
      </c>
      <c r="L318" s="55" t="s">
        <v>7552</v>
      </c>
      <c r="M318" s="55" t="s">
        <v>3551</v>
      </c>
      <c r="N318" s="55" t="s">
        <v>5192</v>
      </c>
      <c r="O318" s="55" t="s">
        <v>5191</v>
      </c>
    </row>
    <row r="319" spans="1:15" ht="15.75" x14ac:dyDescent="0.25">
      <c r="A319" s="55" t="s">
        <v>5188</v>
      </c>
      <c r="B319" s="55" t="s">
        <v>7885</v>
      </c>
      <c r="C319" s="55" t="s">
        <v>7886</v>
      </c>
      <c r="D319" s="55" t="s">
        <v>7887</v>
      </c>
      <c r="E319" s="55" t="s">
        <v>7888</v>
      </c>
      <c r="F319" s="55" t="s">
        <v>7889</v>
      </c>
      <c r="G319" s="55" t="s">
        <v>7627</v>
      </c>
      <c r="H319" s="55" t="s">
        <v>7628</v>
      </c>
      <c r="I319" s="55" t="s">
        <v>7890</v>
      </c>
      <c r="J319" s="55" t="s">
        <v>5189</v>
      </c>
      <c r="K319" s="55" t="s">
        <v>7891</v>
      </c>
      <c r="L319" s="55" t="s">
        <v>7892</v>
      </c>
      <c r="M319" s="55" t="s">
        <v>4942</v>
      </c>
      <c r="N319" s="55" t="s">
        <v>5192</v>
      </c>
      <c r="O319" s="55" t="s">
        <v>5191</v>
      </c>
    </row>
    <row r="320" spans="1:15" ht="15.75" x14ac:dyDescent="0.25">
      <c r="A320" s="55" t="s">
        <v>5188</v>
      </c>
      <c r="B320" s="55" t="s">
        <v>7893</v>
      </c>
      <c r="C320" s="55" t="s">
        <v>7886</v>
      </c>
      <c r="D320" s="55" t="s">
        <v>7887</v>
      </c>
      <c r="E320" s="55" t="s">
        <v>7888</v>
      </c>
      <c r="F320" s="55" t="s">
        <v>7889</v>
      </c>
      <c r="G320" s="55" t="s">
        <v>7627</v>
      </c>
      <c r="H320" s="55" t="s">
        <v>7628</v>
      </c>
      <c r="I320" s="55" t="s">
        <v>7890</v>
      </c>
      <c r="J320" s="55" t="s">
        <v>5189</v>
      </c>
      <c r="K320" s="55" t="s">
        <v>7891</v>
      </c>
      <c r="L320" s="55" t="s">
        <v>7892</v>
      </c>
      <c r="M320" s="55" t="s">
        <v>4944</v>
      </c>
      <c r="N320" s="55" t="s">
        <v>5192</v>
      </c>
      <c r="O320" s="55" t="s">
        <v>5191</v>
      </c>
    </row>
    <row r="321" spans="1:15" ht="15.75" x14ac:dyDescent="0.25">
      <c r="A321" s="55" t="s">
        <v>5188</v>
      </c>
      <c r="B321" s="55" t="s">
        <v>7894</v>
      </c>
      <c r="C321" s="55" t="s">
        <v>7886</v>
      </c>
      <c r="D321" s="55" t="s">
        <v>7887</v>
      </c>
      <c r="E321" s="55" t="s">
        <v>7888</v>
      </c>
      <c r="F321" s="55" t="s">
        <v>7889</v>
      </c>
      <c r="G321" s="55" t="s">
        <v>7627</v>
      </c>
      <c r="H321" s="55" t="s">
        <v>7628</v>
      </c>
      <c r="I321" s="55" t="s">
        <v>7895</v>
      </c>
      <c r="J321" s="55" t="s">
        <v>5189</v>
      </c>
      <c r="K321" s="55" t="s">
        <v>7891</v>
      </c>
      <c r="L321" s="55" t="s">
        <v>7892</v>
      </c>
      <c r="M321" s="55" t="s">
        <v>3551</v>
      </c>
      <c r="N321" s="55" t="s">
        <v>5192</v>
      </c>
      <c r="O321" s="55" t="s">
        <v>5191</v>
      </c>
    </row>
    <row r="322" spans="1:15" ht="15.75" x14ac:dyDescent="0.25">
      <c r="A322" s="55" t="s">
        <v>5188</v>
      </c>
      <c r="B322" s="55" t="s">
        <v>7896</v>
      </c>
      <c r="C322" s="55" t="s">
        <v>7565</v>
      </c>
      <c r="D322" s="55" t="s">
        <v>7566</v>
      </c>
      <c r="E322" s="55" t="s">
        <v>7567</v>
      </c>
      <c r="F322" s="55" t="s">
        <v>7568</v>
      </c>
      <c r="G322" s="55" t="s">
        <v>7569</v>
      </c>
      <c r="H322" s="55" t="s">
        <v>7570</v>
      </c>
      <c r="I322" s="55" t="s">
        <v>7571</v>
      </c>
      <c r="J322" s="55" t="s">
        <v>5189</v>
      </c>
      <c r="K322" s="55" t="s">
        <v>7572</v>
      </c>
      <c r="L322" s="55" t="s">
        <v>7573</v>
      </c>
      <c r="M322" s="55" t="s">
        <v>3551</v>
      </c>
      <c r="N322" s="55" t="s">
        <v>5192</v>
      </c>
      <c r="O322" s="55" t="s">
        <v>5191</v>
      </c>
    </row>
    <row r="323" spans="1:15" ht="15.75" x14ac:dyDescent="0.25">
      <c r="A323" s="55" t="s">
        <v>5188</v>
      </c>
      <c r="B323" s="55" t="s">
        <v>7897</v>
      </c>
      <c r="C323" s="55" t="s">
        <v>7565</v>
      </c>
      <c r="D323" s="55" t="s">
        <v>7566</v>
      </c>
      <c r="E323" s="55" t="s">
        <v>7567</v>
      </c>
      <c r="F323" s="55" t="s">
        <v>7568</v>
      </c>
      <c r="G323" s="55" t="s">
        <v>7569</v>
      </c>
      <c r="H323" s="55" t="s">
        <v>7570</v>
      </c>
      <c r="I323" s="55" t="s">
        <v>7571</v>
      </c>
      <c r="J323" s="55" t="s">
        <v>5189</v>
      </c>
      <c r="K323" s="55" t="s">
        <v>7572</v>
      </c>
      <c r="L323" s="55" t="s">
        <v>7573</v>
      </c>
      <c r="M323" s="55" t="s">
        <v>5208</v>
      </c>
      <c r="N323" s="55" t="s">
        <v>5192</v>
      </c>
      <c r="O323" s="55" t="s">
        <v>5191</v>
      </c>
    </row>
    <row r="324" spans="1:15" ht="15.75" x14ac:dyDescent="0.25">
      <c r="A324" s="55" t="s">
        <v>5188</v>
      </c>
      <c r="B324" s="55" t="s">
        <v>7898</v>
      </c>
      <c r="C324" s="55" t="s">
        <v>7575</v>
      </c>
      <c r="D324" s="55" t="s">
        <v>7576</v>
      </c>
      <c r="E324" s="55" t="s">
        <v>7577</v>
      </c>
      <c r="F324" s="55" t="s">
        <v>7578</v>
      </c>
      <c r="G324" s="55" t="s">
        <v>7579</v>
      </c>
      <c r="H324" s="55" t="s">
        <v>7580</v>
      </c>
      <c r="I324" s="55" t="s">
        <v>7581</v>
      </c>
      <c r="J324" s="55" t="s">
        <v>5189</v>
      </c>
      <c r="K324" s="55" t="s">
        <v>7582</v>
      </c>
      <c r="L324" s="55" t="s">
        <v>7583</v>
      </c>
      <c r="M324" s="55" t="s">
        <v>4573</v>
      </c>
      <c r="N324" s="55" t="s">
        <v>5192</v>
      </c>
      <c r="O324" s="55" t="s">
        <v>5191</v>
      </c>
    </row>
    <row r="325" spans="1:15" ht="15.75" x14ac:dyDescent="0.25">
      <c r="A325" s="55" t="s">
        <v>5188</v>
      </c>
      <c r="B325" s="55" t="s">
        <v>7899</v>
      </c>
      <c r="C325" s="55" t="s">
        <v>7587</v>
      </c>
      <c r="D325" s="55" t="s">
        <v>7588</v>
      </c>
      <c r="E325" s="55" t="s">
        <v>7589</v>
      </c>
      <c r="F325" s="55" t="s">
        <v>7590</v>
      </c>
      <c r="G325" s="55" t="s">
        <v>5200</v>
      </c>
      <c r="H325" s="55" t="s">
        <v>5201</v>
      </c>
      <c r="I325" s="55" t="s">
        <v>7591</v>
      </c>
      <c r="J325" s="55" t="s">
        <v>5189</v>
      </c>
      <c r="K325" s="55" t="s">
        <v>7592</v>
      </c>
      <c r="L325" s="55" t="s">
        <v>7593</v>
      </c>
      <c r="M325" s="55" t="s">
        <v>5208</v>
      </c>
      <c r="N325" s="55" t="s">
        <v>5192</v>
      </c>
      <c r="O325" s="55" t="s">
        <v>5191</v>
      </c>
    </row>
    <row r="326" spans="1:15" ht="15.75" x14ac:dyDescent="0.25">
      <c r="A326" s="55" t="s">
        <v>5188</v>
      </c>
      <c r="B326" s="55" t="s">
        <v>7900</v>
      </c>
      <c r="C326" s="55" t="s">
        <v>7901</v>
      </c>
      <c r="D326" s="55" t="s">
        <v>7902</v>
      </c>
      <c r="E326" s="55" t="s">
        <v>6150</v>
      </c>
      <c r="F326" s="55" t="s">
        <v>6151</v>
      </c>
      <c r="G326" s="55" t="s">
        <v>6152</v>
      </c>
      <c r="H326" s="55" t="s">
        <v>6153</v>
      </c>
      <c r="I326" s="55" t="s">
        <v>7903</v>
      </c>
      <c r="J326" s="55" t="s">
        <v>5189</v>
      </c>
      <c r="K326" s="55" t="s">
        <v>7904</v>
      </c>
      <c r="L326" s="55" t="s">
        <v>7905</v>
      </c>
      <c r="M326" s="55" t="s">
        <v>2943</v>
      </c>
      <c r="N326" s="55" t="s">
        <v>5192</v>
      </c>
      <c r="O326" s="55" t="s">
        <v>5191</v>
      </c>
    </row>
    <row r="327" spans="1:15" ht="15.75" x14ac:dyDescent="0.25">
      <c r="A327" s="55" t="s">
        <v>5188</v>
      </c>
      <c r="B327" s="55" t="s">
        <v>7906</v>
      </c>
      <c r="C327" s="55" t="s">
        <v>7595</v>
      </c>
      <c r="D327" s="55" t="s">
        <v>7596</v>
      </c>
      <c r="E327" s="55" t="s">
        <v>7597</v>
      </c>
      <c r="F327" s="55" t="s">
        <v>7598</v>
      </c>
      <c r="G327" s="55" t="s">
        <v>6118</v>
      </c>
      <c r="H327" s="55" t="s">
        <v>6119</v>
      </c>
      <c r="I327" s="55" t="s">
        <v>7599</v>
      </c>
      <c r="J327" s="55" t="s">
        <v>5189</v>
      </c>
      <c r="K327" s="55" t="s">
        <v>7600</v>
      </c>
      <c r="L327" s="55" t="s">
        <v>7601</v>
      </c>
      <c r="M327" s="55" t="s">
        <v>2943</v>
      </c>
      <c r="N327" s="55" t="s">
        <v>5192</v>
      </c>
      <c r="O327" s="55" t="s">
        <v>5191</v>
      </c>
    </row>
    <row r="328" spans="1:15" ht="15.75" x14ac:dyDescent="0.25">
      <c r="A328" s="55" t="s">
        <v>5188</v>
      </c>
      <c r="B328" s="55" t="s">
        <v>6129</v>
      </c>
      <c r="C328" s="55" t="s">
        <v>6120</v>
      </c>
      <c r="D328" s="55" t="s">
        <v>6121</v>
      </c>
      <c r="E328" s="55" t="s">
        <v>6122</v>
      </c>
      <c r="F328" s="55" t="s">
        <v>6123</v>
      </c>
      <c r="G328" s="55" t="s">
        <v>6124</v>
      </c>
      <c r="H328" s="55" t="s">
        <v>6125</v>
      </c>
      <c r="I328" s="55" t="s">
        <v>6126</v>
      </c>
      <c r="J328" s="55" t="s">
        <v>5189</v>
      </c>
      <c r="K328" s="55" t="s">
        <v>6127</v>
      </c>
      <c r="L328" s="55" t="s">
        <v>6128</v>
      </c>
      <c r="M328" s="55" t="s">
        <v>4942</v>
      </c>
      <c r="N328" s="55" t="s">
        <v>5192</v>
      </c>
      <c r="O328" s="55" t="s">
        <v>5191</v>
      </c>
    </row>
    <row r="329" spans="1:15" ht="15.75" x14ac:dyDescent="0.25">
      <c r="A329" s="55" t="s">
        <v>5188</v>
      </c>
      <c r="B329" s="55" t="s">
        <v>6130</v>
      </c>
      <c r="C329" s="55" t="s">
        <v>6131</v>
      </c>
      <c r="D329" s="55" t="s">
        <v>6132</v>
      </c>
      <c r="E329" s="55" t="s">
        <v>6133</v>
      </c>
      <c r="F329" s="55" t="s">
        <v>6134</v>
      </c>
      <c r="G329" s="55" t="s">
        <v>6135</v>
      </c>
      <c r="H329" s="55" t="s">
        <v>6136</v>
      </c>
      <c r="I329" s="55" t="s">
        <v>6137</v>
      </c>
      <c r="J329" s="55" t="s">
        <v>5189</v>
      </c>
      <c r="K329" s="55" t="s">
        <v>6138</v>
      </c>
      <c r="L329" s="55" t="s">
        <v>6139</v>
      </c>
      <c r="M329" s="55" t="s">
        <v>906</v>
      </c>
      <c r="N329" s="55" t="s">
        <v>5192</v>
      </c>
      <c r="O329" s="55" t="s">
        <v>5191</v>
      </c>
    </row>
    <row r="330" spans="1:15" ht="15.75" x14ac:dyDescent="0.25">
      <c r="A330" s="55" t="s">
        <v>5188</v>
      </c>
      <c r="B330" s="55" t="s">
        <v>6140</v>
      </c>
      <c r="C330" s="55" t="s">
        <v>6131</v>
      </c>
      <c r="D330" s="55" t="s">
        <v>6132</v>
      </c>
      <c r="E330" s="55" t="s">
        <v>6133</v>
      </c>
      <c r="F330" s="55" t="s">
        <v>6134</v>
      </c>
      <c r="G330" s="55" t="s">
        <v>6135</v>
      </c>
      <c r="H330" s="55" t="s">
        <v>6136</v>
      </c>
      <c r="I330" s="55" t="s">
        <v>6137</v>
      </c>
      <c r="J330" s="55" t="s">
        <v>5189</v>
      </c>
      <c r="K330" s="55" t="s">
        <v>6138</v>
      </c>
      <c r="L330" s="55" t="s">
        <v>6139</v>
      </c>
      <c r="M330" s="55" t="s">
        <v>3551</v>
      </c>
      <c r="N330" s="55" t="s">
        <v>5192</v>
      </c>
      <c r="O330" s="55" t="s">
        <v>5191</v>
      </c>
    </row>
    <row r="331" spans="1:15" ht="15.75" x14ac:dyDescent="0.25">
      <c r="A331" s="55" t="s">
        <v>5188</v>
      </c>
      <c r="B331" s="55" t="s">
        <v>6141</v>
      </c>
      <c r="C331" s="55" t="s">
        <v>6131</v>
      </c>
      <c r="D331" s="55" t="s">
        <v>6132</v>
      </c>
      <c r="E331" s="55" t="s">
        <v>6133</v>
      </c>
      <c r="F331" s="55" t="s">
        <v>6134</v>
      </c>
      <c r="G331" s="55" t="s">
        <v>6135</v>
      </c>
      <c r="H331" s="55" t="s">
        <v>6136</v>
      </c>
      <c r="I331" s="55" t="s">
        <v>6137</v>
      </c>
      <c r="J331" s="55" t="s">
        <v>5189</v>
      </c>
      <c r="K331" s="55" t="s">
        <v>6138</v>
      </c>
      <c r="L331" s="55" t="s">
        <v>6139</v>
      </c>
      <c r="M331" s="55" t="s">
        <v>4503</v>
      </c>
      <c r="N331" s="55" t="s">
        <v>5192</v>
      </c>
      <c r="O331" s="55" t="s">
        <v>5191</v>
      </c>
    </row>
    <row r="332" spans="1:15" ht="15.75" x14ac:dyDescent="0.25">
      <c r="A332" s="55" t="s">
        <v>5188</v>
      </c>
      <c r="B332" s="55" t="s">
        <v>6142</v>
      </c>
      <c r="C332" s="55" t="s">
        <v>6143</v>
      </c>
      <c r="D332" s="55" t="s">
        <v>6144</v>
      </c>
      <c r="E332" s="55" t="s">
        <v>6145</v>
      </c>
      <c r="F332" s="55" t="s">
        <v>6146</v>
      </c>
      <c r="G332" s="55" t="s">
        <v>5361</v>
      </c>
      <c r="H332" s="55" t="s">
        <v>5362</v>
      </c>
      <c r="I332" s="55" t="s">
        <v>6147</v>
      </c>
      <c r="J332" s="55" t="s">
        <v>5189</v>
      </c>
      <c r="K332" s="55" t="s">
        <v>6148</v>
      </c>
      <c r="L332" s="55" t="s">
        <v>6149</v>
      </c>
      <c r="M332" s="55" t="s">
        <v>4513</v>
      </c>
      <c r="N332" s="55" t="s">
        <v>5192</v>
      </c>
      <c r="O332" s="55" t="s">
        <v>5191</v>
      </c>
    </row>
    <row r="333" spans="1:15" ht="15.75" x14ac:dyDescent="0.25">
      <c r="A333" s="55" t="s">
        <v>5188</v>
      </c>
      <c r="B333" s="55" t="s">
        <v>6154</v>
      </c>
      <c r="C333" s="55" t="s">
        <v>6155</v>
      </c>
      <c r="D333" s="55" t="s">
        <v>6156</v>
      </c>
      <c r="E333" s="55" t="s">
        <v>6150</v>
      </c>
      <c r="F333" s="55" t="s">
        <v>6151</v>
      </c>
      <c r="G333" s="55" t="s">
        <v>6152</v>
      </c>
      <c r="H333" s="55" t="s">
        <v>6153</v>
      </c>
      <c r="I333" s="55" t="s">
        <v>6157</v>
      </c>
      <c r="J333" s="55" t="s">
        <v>5189</v>
      </c>
      <c r="K333" s="55" t="s">
        <v>6158</v>
      </c>
      <c r="L333" s="55" t="s">
        <v>6159</v>
      </c>
      <c r="M333" s="55" t="s">
        <v>2943</v>
      </c>
      <c r="N333" s="55" t="s">
        <v>5192</v>
      </c>
      <c r="O333" s="55" t="s">
        <v>5191</v>
      </c>
    </row>
    <row r="334" spans="1:15" ht="15.75" x14ac:dyDescent="0.25">
      <c r="A334" s="55" t="s">
        <v>5188</v>
      </c>
      <c r="B334" s="55" t="s">
        <v>6177</v>
      </c>
      <c r="C334" s="55" t="s">
        <v>6172</v>
      </c>
      <c r="D334" s="55" t="s">
        <v>6173</v>
      </c>
      <c r="E334" s="55" t="s">
        <v>6162</v>
      </c>
      <c r="F334" s="55" t="s">
        <v>6163</v>
      </c>
      <c r="G334" s="55" t="s">
        <v>5361</v>
      </c>
      <c r="H334" s="55" t="s">
        <v>5362</v>
      </c>
      <c r="I334" s="55" t="s">
        <v>6174</v>
      </c>
      <c r="J334" s="55" t="s">
        <v>5189</v>
      </c>
      <c r="K334" s="55" t="s">
        <v>6175</v>
      </c>
      <c r="L334" s="55" t="s">
        <v>6176</v>
      </c>
      <c r="M334" s="55" t="s">
        <v>4575</v>
      </c>
      <c r="N334" s="55" t="s">
        <v>5192</v>
      </c>
      <c r="O334" s="55" t="s">
        <v>5191</v>
      </c>
    </row>
    <row r="335" spans="1:15" ht="15.75" x14ac:dyDescent="0.25">
      <c r="A335" s="55" t="s">
        <v>5188</v>
      </c>
      <c r="B335" s="55" t="s">
        <v>6178</v>
      </c>
      <c r="C335" s="55" t="s">
        <v>6179</v>
      </c>
      <c r="D335" s="55" t="s">
        <v>6180</v>
      </c>
      <c r="E335" s="55" t="s">
        <v>6162</v>
      </c>
      <c r="F335" s="55" t="s">
        <v>6163</v>
      </c>
      <c r="G335" s="55" t="s">
        <v>5361</v>
      </c>
      <c r="H335" s="55" t="s">
        <v>5362</v>
      </c>
      <c r="I335" s="55" t="s">
        <v>6181</v>
      </c>
      <c r="J335" s="55" t="s">
        <v>5189</v>
      </c>
      <c r="K335" s="55" t="s">
        <v>6182</v>
      </c>
      <c r="L335" s="55" t="s">
        <v>6183</v>
      </c>
      <c r="M335" s="55" t="s">
        <v>4942</v>
      </c>
      <c r="N335" s="55" t="s">
        <v>5192</v>
      </c>
      <c r="O335" s="55" t="s">
        <v>5191</v>
      </c>
    </row>
    <row r="336" spans="1:15" ht="15.75" x14ac:dyDescent="0.25">
      <c r="A336" s="55" t="s">
        <v>5188</v>
      </c>
      <c r="B336" s="55" t="s">
        <v>6184</v>
      </c>
      <c r="C336" s="55" t="s">
        <v>6179</v>
      </c>
      <c r="D336" s="55" t="s">
        <v>6180</v>
      </c>
      <c r="E336" s="55" t="s">
        <v>6162</v>
      </c>
      <c r="F336" s="55" t="s">
        <v>6163</v>
      </c>
      <c r="G336" s="55" t="s">
        <v>5361</v>
      </c>
      <c r="H336" s="55" t="s">
        <v>5362</v>
      </c>
      <c r="I336" s="55" t="s">
        <v>6181</v>
      </c>
      <c r="J336" s="55" t="s">
        <v>5189</v>
      </c>
      <c r="K336" s="55" t="s">
        <v>6182</v>
      </c>
      <c r="L336" s="55" t="s">
        <v>6183</v>
      </c>
      <c r="M336" s="55" t="s">
        <v>4944</v>
      </c>
      <c r="N336" s="55" t="s">
        <v>5192</v>
      </c>
      <c r="O336" s="55" t="s">
        <v>5191</v>
      </c>
    </row>
    <row r="337" spans="1:15" ht="15.75" x14ac:dyDescent="0.25">
      <c r="A337" s="55" t="s">
        <v>5188</v>
      </c>
      <c r="B337" s="55" t="s">
        <v>6185</v>
      </c>
      <c r="C337" s="55" t="s">
        <v>6179</v>
      </c>
      <c r="D337" s="55" t="s">
        <v>6180</v>
      </c>
      <c r="E337" s="55" t="s">
        <v>6162</v>
      </c>
      <c r="F337" s="55" t="s">
        <v>6163</v>
      </c>
      <c r="G337" s="55" t="s">
        <v>5361</v>
      </c>
      <c r="H337" s="55" t="s">
        <v>5362</v>
      </c>
      <c r="I337" s="55" t="s">
        <v>6181</v>
      </c>
      <c r="J337" s="55" t="s">
        <v>5189</v>
      </c>
      <c r="K337" s="55" t="s">
        <v>6182</v>
      </c>
      <c r="L337" s="55" t="s">
        <v>6183</v>
      </c>
      <c r="M337" s="55" t="s">
        <v>4286</v>
      </c>
      <c r="N337" s="55" t="s">
        <v>5192</v>
      </c>
      <c r="O337" s="55" t="s">
        <v>5191</v>
      </c>
    </row>
    <row r="338" spans="1:15" ht="15.75" x14ac:dyDescent="0.25">
      <c r="A338" s="55" t="s">
        <v>5188</v>
      </c>
      <c r="B338" s="55" t="s">
        <v>6186</v>
      </c>
      <c r="C338" s="55" t="s">
        <v>6187</v>
      </c>
      <c r="D338" s="55" t="s">
        <v>6188</v>
      </c>
      <c r="E338" s="55" t="s">
        <v>6162</v>
      </c>
      <c r="F338" s="55" t="s">
        <v>6163</v>
      </c>
      <c r="G338" s="55" t="s">
        <v>5361</v>
      </c>
      <c r="H338" s="55" t="s">
        <v>5362</v>
      </c>
      <c r="I338" s="55" t="s">
        <v>6189</v>
      </c>
      <c r="J338" s="55" t="s">
        <v>5189</v>
      </c>
      <c r="K338" s="55" t="s">
        <v>6190</v>
      </c>
      <c r="L338" s="55" t="s">
        <v>6191</v>
      </c>
      <c r="M338" s="55" t="s">
        <v>4286</v>
      </c>
      <c r="N338" s="55" t="s">
        <v>5192</v>
      </c>
      <c r="O338" s="55" t="s">
        <v>5191</v>
      </c>
    </row>
    <row r="339" spans="1:15" ht="15.75" x14ac:dyDescent="0.25">
      <c r="A339" s="55" t="s">
        <v>5188</v>
      </c>
      <c r="B339" s="55" t="s">
        <v>6192</v>
      </c>
      <c r="C339" s="55" t="s">
        <v>6187</v>
      </c>
      <c r="D339" s="55" t="s">
        <v>6188</v>
      </c>
      <c r="E339" s="55" t="s">
        <v>6162</v>
      </c>
      <c r="F339" s="55" t="s">
        <v>6163</v>
      </c>
      <c r="G339" s="55" t="s">
        <v>5361</v>
      </c>
      <c r="H339" s="55" t="s">
        <v>5362</v>
      </c>
      <c r="I339" s="55" t="s">
        <v>6189</v>
      </c>
      <c r="J339" s="55" t="s">
        <v>5189</v>
      </c>
      <c r="K339" s="55" t="s">
        <v>6190</v>
      </c>
      <c r="L339" s="55" t="s">
        <v>6191</v>
      </c>
      <c r="M339" s="55" t="s">
        <v>921</v>
      </c>
      <c r="N339" s="55" t="s">
        <v>5192</v>
      </c>
      <c r="O339" s="55" t="s">
        <v>5191</v>
      </c>
    </row>
    <row r="340" spans="1:15" ht="15.75" x14ac:dyDescent="0.25">
      <c r="A340" s="55" t="s">
        <v>5188</v>
      </c>
      <c r="B340" s="55" t="s">
        <v>6193</v>
      </c>
      <c r="C340" s="55" t="s">
        <v>6194</v>
      </c>
      <c r="D340" s="55" t="s">
        <v>6195</v>
      </c>
      <c r="E340" s="55" t="s">
        <v>6162</v>
      </c>
      <c r="F340" s="55" t="s">
        <v>6163</v>
      </c>
      <c r="G340" s="55" t="s">
        <v>5361</v>
      </c>
      <c r="H340" s="55" t="s">
        <v>5362</v>
      </c>
      <c r="I340" s="55" t="s">
        <v>6196</v>
      </c>
      <c r="J340" s="55" t="s">
        <v>5189</v>
      </c>
      <c r="K340" s="55" t="s">
        <v>6197</v>
      </c>
      <c r="L340" s="55" t="s">
        <v>6198</v>
      </c>
      <c r="M340" s="55" t="s">
        <v>921</v>
      </c>
      <c r="N340" s="55" t="s">
        <v>5192</v>
      </c>
      <c r="O340" s="55" t="s">
        <v>5191</v>
      </c>
    </row>
    <row r="341" spans="1:15" ht="15.75" x14ac:dyDescent="0.25">
      <c r="A341" s="55" t="s">
        <v>5188</v>
      </c>
      <c r="B341" s="55" t="s">
        <v>6199</v>
      </c>
      <c r="C341" s="55" t="s">
        <v>6200</v>
      </c>
      <c r="D341" s="55" t="s">
        <v>6201</v>
      </c>
      <c r="E341" s="55" t="s">
        <v>6202</v>
      </c>
      <c r="F341" s="55" t="s">
        <v>6203</v>
      </c>
      <c r="G341" s="55" t="s">
        <v>5200</v>
      </c>
      <c r="H341" s="55" t="s">
        <v>5201</v>
      </c>
      <c r="I341" s="55" t="s">
        <v>6204</v>
      </c>
      <c r="J341" s="55" t="s">
        <v>5189</v>
      </c>
      <c r="K341" s="55" t="s">
        <v>6205</v>
      </c>
      <c r="L341" s="55" t="s">
        <v>6206</v>
      </c>
      <c r="M341" s="55" t="s">
        <v>4944</v>
      </c>
      <c r="N341" s="55" t="s">
        <v>5192</v>
      </c>
      <c r="O341" s="55" t="s">
        <v>5191</v>
      </c>
    </row>
    <row r="342" spans="1:15" ht="15.75" x14ac:dyDescent="0.25">
      <c r="A342" s="55" t="s">
        <v>5188</v>
      </c>
      <c r="B342" s="55" t="s">
        <v>6207</v>
      </c>
      <c r="C342" s="55" t="s">
        <v>6200</v>
      </c>
      <c r="D342" s="55" t="s">
        <v>6201</v>
      </c>
      <c r="E342" s="55" t="s">
        <v>6202</v>
      </c>
      <c r="F342" s="55" t="s">
        <v>6203</v>
      </c>
      <c r="G342" s="55" t="s">
        <v>5200</v>
      </c>
      <c r="H342" s="55" t="s">
        <v>5201</v>
      </c>
      <c r="I342" s="55" t="s">
        <v>6204</v>
      </c>
      <c r="J342" s="55" t="s">
        <v>5189</v>
      </c>
      <c r="K342" s="55" t="s">
        <v>6205</v>
      </c>
      <c r="L342" s="55" t="s">
        <v>6206</v>
      </c>
      <c r="M342" s="55" t="s">
        <v>4567</v>
      </c>
      <c r="N342" s="55" t="s">
        <v>5192</v>
      </c>
      <c r="O342" s="55" t="s">
        <v>5191</v>
      </c>
    </row>
    <row r="343" spans="1:15" ht="15.75" x14ac:dyDescent="0.25">
      <c r="A343" s="55" t="s">
        <v>5188</v>
      </c>
      <c r="B343" s="55" t="s">
        <v>6208</v>
      </c>
      <c r="C343" s="55" t="s">
        <v>6209</v>
      </c>
      <c r="D343" s="55" t="s">
        <v>6210</v>
      </c>
      <c r="E343" s="55" t="s">
        <v>6211</v>
      </c>
      <c r="F343" s="55" t="s">
        <v>6212</v>
      </c>
      <c r="G343" s="55" t="s">
        <v>6213</v>
      </c>
      <c r="H343" s="55" t="s">
        <v>6214</v>
      </c>
      <c r="I343" s="55" t="s">
        <v>6215</v>
      </c>
      <c r="J343" s="55" t="s">
        <v>5189</v>
      </c>
      <c r="K343" s="55" t="s">
        <v>6216</v>
      </c>
      <c r="L343" s="55" t="s">
        <v>6217</v>
      </c>
      <c r="M343" s="55" t="s">
        <v>4503</v>
      </c>
      <c r="N343" s="55" t="s">
        <v>5192</v>
      </c>
      <c r="O343" s="55" t="s">
        <v>5191</v>
      </c>
    </row>
    <row r="344" spans="1:15" ht="15.75" x14ac:dyDescent="0.25">
      <c r="A344" s="55" t="s">
        <v>5188</v>
      </c>
      <c r="B344" s="55" t="s">
        <v>6218</v>
      </c>
      <c r="C344" s="55" t="s">
        <v>6219</v>
      </c>
      <c r="D344" s="55" t="s">
        <v>6220</v>
      </c>
      <c r="E344" s="55" t="s">
        <v>6221</v>
      </c>
      <c r="F344" s="55" t="s">
        <v>6222</v>
      </c>
      <c r="G344" s="55" t="s">
        <v>6223</v>
      </c>
      <c r="H344" s="55" t="s">
        <v>6224</v>
      </c>
      <c r="I344" s="55" t="s">
        <v>6225</v>
      </c>
      <c r="J344" s="55" t="s">
        <v>5189</v>
      </c>
      <c r="K344" s="55" t="s">
        <v>6226</v>
      </c>
      <c r="L344" s="55" t="s">
        <v>6227</v>
      </c>
      <c r="M344" s="55" t="s">
        <v>965</v>
      </c>
      <c r="N344" s="55" t="s">
        <v>5192</v>
      </c>
      <c r="O344" s="55" t="s">
        <v>5191</v>
      </c>
    </row>
    <row r="345" spans="1:15" ht="15.75" x14ac:dyDescent="0.25">
      <c r="A345" s="55" t="s">
        <v>5188</v>
      </c>
      <c r="B345" s="55" t="s">
        <v>6228</v>
      </c>
      <c r="C345" s="55" t="s">
        <v>6219</v>
      </c>
      <c r="D345" s="55" t="s">
        <v>6220</v>
      </c>
      <c r="E345" s="55" t="s">
        <v>6221</v>
      </c>
      <c r="F345" s="55" t="s">
        <v>6222</v>
      </c>
      <c r="G345" s="55" t="s">
        <v>6223</v>
      </c>
      <c r="H345" s="55" t="s">
        <v>6224</v>
      </c>
      <c r="I345" s="55" t="s">
        <v>6225</v>
      </c>
      <c r="J345" s="55" t="s">
        <v>5189</v>
      </c>
      <c r="K345" s="55" t="s">
        <v>6226</v>
      </c>
      <c r="L345" s="55" t="s">
        <v>6227</v>
      </c>
      <c r="M345" s="55" t="s">
        <v>4503</v>
      </c>
      <c r="N345" s="55" t="s">
        <v>5192</v>
      </c>
      <c r="O345" s="55" t="s">
        <v>5191</v>
      </c>
    </row>
    <row r="346" spans="1:15" ht="15.75" x14ac:dyDescent="0.25">
      <c r="A346" s="55" t="s">
        <v>5188</v>
      </c>
      <c r="B346" s="55" t="s">
        <v>6229</v>
      </c>
      <c r="C346" s="55" t="s">
        <v>6230</v>
      </c>
      <c r="D346" s="55" t="s">
        <v>6231</v>
      </c>
      <c r="E346" s="55" t="s">
        <v>6232</v>
      </c>
      <c r="F346" s="55" t="s">
        <v>6233</v>
      </c>
      <c r="G346" s="55" t="s">
        <v>5361</v>
      </c>
      <c r="H346" s="55" t="s">
        <v>5362</v>
      </c>
      <c r="I346" s="55" t="s">
        <v>5831</v>
      </c>
      <c r="J346" s="55" t="s">
        <v>5189</v>
      </c>
      <c r="K346" s="55" t="s">
        <v>6234</v>
      </c>
      <c r="L346" s="55" t="s">
        <v>6235</v>
      </c>
      <c r="M346" s="55" t="s">
        <v>5316</v>
      </c>
      <c r="N346" s="55" t="s">
        <v>5192</v>
      </c>
      <c r="O346" s="55" t="s">
        <v>5191</v>
      </c>
    </row>
    <row r="347" spans="1:15" ht="15.75" x14ac:dyDescent="0.25">
      <c r="A347" s="55" t="s">
        <v>5188</v>
      </c>
      <c r="B347" s="55" t="s">
        <v>6236</v>
      </c>
      <c r="C347" s="55" t="s">
        <v>6237</v>
      </c>
      <c r="D347" s="55" t="s">
        <v>6238</v>
      </c>
      <c r="E347" s="55" t="s">
        <v>6239</v>
      </c>
      <c r="F347" s="55" t="s">
        <v>6240</v>
      </c>
      <c r="G347" s="55" t="s">
        <v>6241</v>
      </c>
      <c r="H347" s="55" t="s">
        <v>6242</v>
      </c>
      <c r="I347" s="55" t="s">
        <v>6243</v>
      </c>
      <c r="J347" s="55" t="s">
        <v>5189</v>
      </c>
      <c r="K347" s="55" t="s">
        <v>6244</v>
      </c>
      <c r="L347" s="55" t="s">
        <v>6245</v>
      </c>
      <c r="M347" s="55" t="s">
        <v>4583</v>
      </c>
      <c r="N347" s="55" t="s">
        <v>5192</v>
      </c>
      <c r="O347" s="55" t="s">
        <v>5191</v>
      </c>
    </row>
    <row r="348" spans="1:15" ht="15.75" x14ac:dyDescent="0.25">
      <c r="A348" s="55" t="s">
        <v>5188</v>
      </c>
      <c r="B348" s="55" t="s">
        <v>6246</v>
      </c>
      <c r="C348" s="55" t="s">
        <v>6247</v>
      </c>
      <c r="D348" s="55" t="s">
        <v>6248</v>
      </c>
      <c r="E348" s="55" t="s">
        <v>6239</v>
      </c>
      <c r="F348" s="55" t="s">
        <v>6240</v>
      </c>
      <c r="G348" s="55" t="s">
        <v>6241</v>
      </c>
      <c r="H348" s="55" t="s">
        <v>6242</v>
      </c>
      <c r="I348" s="55" t="s">
        <v>6249</v>
      </c>
      <c r="J348" s="55" t="s">
        <v>5189</v>
      </c>
      <c r="K348" s="55" t="s">
        <v>6250</v>
      </c>
      <c r="L348" s="55" t="s">
        <v>6251</v>
      </c>
      <c r="M348" s="55" t="s">
        <v>4583</v>
      </c>
      <c r="N348" s="55" t="s">
        <v>5192</v>
      </c>
      <c r="O348" s="55" t="s">
        <v>5191</v>
      </c>
    </row>
    <row r="349" spans="1:15" ht="15.75" x14ac:dyDescent="0.25">
      <c r="A349" s="55" t="s">
        <v>5188</v>
      </c>
      <c r="B349" s="55" t="s">
        <v>7907</v>
      </c>
      <c r="C349" s="55" t="s">
        <v>7908</v>
      </c>
      <c r="D349" s="55" t="s">
        <v>7909</v>
      </c>
      <c r="E349" s="55" t="s">
        <v>7910</v>
      </c>
      <c r="F349" s="55" t="s">
        <v>7911</v>
      </c>
      <c r="G349" s="55" t="s">
        <v>5424</v>
      </c>
      <c r="H349" s="55" t="s">
        <v>5425</v>
      </c>
      <c r="I349" s="55" t="s">
        <v>7912</v>
      </c>
      <c r="J349" s="55" t="s">
        <v>5189</v>
      </c>
      <c r="K349" s="55" t="s">
        <v>7913</v>
      </c>
      <c r="L349" s="55" t="s">
        <v>7914</v>
      </c>
      <c r="M349" s="55" t="s">
        <v>5231</v>
      </c>
      <c r="N349" s="55" t="s">
        <v>5192</v>
      </c>
      <c r="O349" s="55" t="s">
        <v>5191</v>
      </c>
    </row>
    <row r="350" spans="1:15" ht="15.75" x14ac:dyDescent="0.25">
      <c r="A350" s="55" t="s">
        <v>5188</v>
      </c>
      <c r="B350" s="55" t="s">
        <v>7915</v>
      </c>
      <c r="C350" s="55" t="s">
        <v>7916</v>
      </c>
      <c r="D350" s="55" t="s">
        <v>7917</v>
      </c>
      <c r="E350" s="55" t="s">
        <v>7918</v>
      </c>
      <c r="F350" s="55" t="s">
        <v>7919</v>
      </c>
      <c r="G350" s="55" t="s">
        <v>7920</v>
      </c>
      <c r="H350" s="55" t="s">
        <v>7921</v>
      </c>
      <c r="I350" s="55" t="s">
        <v>7922</v>
      </c>
      <c r="J350" s="55" t="s">
        <v>5189</v>
      </c>
      <c r="K350" s="55" t="s">
        <v>7923</v>
      </c>
      <c r="L350" s="55" t="s">
        <v>7924</v>
      </c>
      <c r="M350" s="55" t="s">
        <v>4583</v>
      </c>
      <c r="N350" s="55" t="s">
        <v>5192</v>
      </c>
      <c r="O350" s="55" t="s">
        <v>5191</v>
      </c>
    </row>
    <row r="351" spans="1:15" ht="15.75" x14ac:dyDescent="0.25">
      <c r="A351" s="55" t="s">
        <v>5188</v>
      </c>
      <c r="B351" s="55" t="s">
        <v>7925</v>
      </c>
      <c r="C351" s="55" t="s">
        <v>7926</v>
      </c>
      <c r="D351" s="55" t="s">
        <v>7927</v>
      </c>
      <c r="E351" s="55" t="s">
        <v>6462</v>
      </c>
      <c r="F351" s="55" t="s">
        <v>6463</v>
      </c>
      <c r="G351" s="55" t="s">
        <v>6464</v>
      </c>
      <c r="H351" s="55" t="s">
        <v>6465</v>
      </c>
      <c r="I351" s="55" t="s">
        <v>7928</v>
      </c>
      <c r="J351" s="55" t="s">
        <v>5189</v>
      </c>
      <c r="K351" s="55" t="s">
        <v>7929</v>
      </c>
      <c r="L351" s="55" t="s">
        <v>7930</v>
      </c>
      <c r="M351" s="55" t="s">
        <v>4565</v>
      </c>
      <c r="N351" s="55" t="s">
        <v>5192</v>
      </c>
      <c r="O351" s="55" t="s">
        <v>5191</v>
      </c>
    </row>
    <row r="352" spans="1:15" ht="15.75" x14ac:dyDescent="0.25">
      <c r="A352" s="55" t="s">
        <v>5188</v>
      </c>
      <c r="B352" s="55" t="s">
        <v>7931</v>
      </c>
      <c r="C352" s="55" t="s">
        <v>7926</v>
      </c>
      <c r="D352" s="55" t="s">
        <v>7927</v>
      </c>
      <c r="E352" s="55" t="s">
        <v>6462</v>
      </c>
      <c r="F352" s="55" t="s">
        <v>6463</v>
      </c>
      <c r="G352" s="55" t="s">
        <v>6464</v>
      </c>
      <c r="H352" s="55" t="s">
        <v>6465</v>
      </c>
      <c r="I352" s="55" t="s">
        <v>7928</v>
      </c>
      <c r="J352" s="55" t="s">
        <v>5189</v>
      </c>
      <c r="K352" s="55" t="s">
        <v>7929</v>
      </c>
      <c r="L352" s="55" t="s">
        <v>7930</v>
      </c>
      <c r="M352" s="55" t="s">
        <v>7932</v>
      </c>
      <c r="N352" s="55" t="s">
        <v>5192</v>
      </c>
      <c r="O352" s="55" t="s">
        <v>5191</v>
      </c>
    </row>
    <row r="353" spans="1:15" ht="15.75" x14ac:dyDescent="0.25">
      <c r="A353" s="55" t="s">
        <v>5188</v>
      </c>
      <c r="B353" s="55" t="s">
        <v>7933</v>
      </c>
      <c r="C353" s="55" t="s">
        <v>7934</v>
      </c>
      <c r="D353" s="55" t="s">
        <v>7935</v>
      </c>
      <c r="E353" s="55" t="s">
        <v>7936</v>
      </c>
      <c r="F353" s="55" t="s">
        <v>7937</v>
      </c>
      <c r="G353" s="55" t="s">
        <v>5222</v>
      </c>
      <c r="H353" s="55" t="s">
        <v>5223</v>
      </c>
      <c r="I353" s="55" t="s">
        <v>7938</v>
      </c>
      <c r="J353" s="55" t="s">
        <v>5189</v>
      </c>
      <c r="K353" s="55" t="s">
        <v>7939</v>
      </c>
      <c r="L353" s="55" t="s">
        <v>7940</v>
      </c>
      <c r="M353" s="55" t="s">
        <v>4503</v>
      </c>
      <c r="N353" s="55" t="s">
        <v>5192</v>
      </c>
      <c r="O353" s="55" t="s">
        <v>5191</v>
      </c>
    </row>
    <row r="354" spans="1:15" ht="15.75" x14ac:dyDescent="0.25">
      <c r="A354" s="55" t="s">
        <v>5188</v>
      </c>
      <c r="B354" s="55" t="s">
        <v>7941</v>
      </c>
      <c r="C354" s="55" t="s">
        <v>7942</v>
      </c>
      <c r="D354" s="55" t="s">
        <v>7943</v>
      </c>
      <c r="E354" s="55" t="s">
        <v>6562</v>
      </c>
      <c r="F354" s="55" t="s">
        <v>6563</v>
      </c>
      <c r="G354" s="55" t="s">
        <v>5365</v>
      </c>
      <c r="H354" s="55" t="s">
        <v>5366</v>
      </c>
      <c r="I354" s="55" t="s">
        <v>7944</v>
      </c>
      <c r="J354" s="55" t="s">
        <v>5189</v>
      </c>
      <c r="K354" s="55" t="s">
        <v>7945</v>
      </c>
      <c r="L354" s="55" t="s">
        <v>7946</v>
      </c>
      <c r="M354" s="55" t="s">
        <v>921</v>
      </c>
      <c r="N354" s="55" t="s">
        <v>5192</v>
      </c>
      <c r="O354" s="55" t="s">
        <v>5191</v>
      </c>
    </row>
    <row r="355" spans="1:15" ht="15.75" x14ac:dyDescent="0.25">
      <c r="A355" s="55" t="s">
        <v>5188</v>
      </c>
      <c r="B355" s="55" t="s">
        <v>7947</v>
      </c>
      <c r="C355" s="55" t="s">
        <v>7942</v>
      </c>
      <c r="D355" s="55" t="s">
        <v>7943</v>
      </c>
      <c r="E355" s="55" t="s">
        <v>6562</v>
      </c>
      <c r="F355" s="55" t="s">
        <v>6563</v>
      </c>
      <c r="G355" s="55" t="s">
        <v>5365</v>
      </c>
      <c r="H355" s="55" t="s">
        <v>5366</v>
      </c>
      <c r="I355" s="55" t="s">
        <v>7948</v>
      </c>
      <c r="J355" s="55" t="s">
        <v>5189</v>
      </c>
      <c r="K355" s="55" t="s">
        <v>7945</v>
      </c>
      <c r="L355" s="55" t="s">
        <v>7946</v>
      </c>
      <c r="M355" s="55" t="s">
        <v>3551</v>
      </c>
      <c r="N355" s="55" t="s">
        <v>5192</v>
      </c>
      <c r="O355" s="55" t="s">
        <v>5191</v>
      </c>
    </row>
    <row r="356" spans="1:15" ht="15.75" x14ac:dyDescent="0.25">
      <c r="A356" s="55" t="s">
        <v>5188</v>
      </c>
      <c r="B356" s="55" t="s">
        <v>7949</v>
      </c>
      <c r="C356" s="55" t="s">
        <v>7942</v>
      </c>
      <c r="D356" s="55" t="s">
        <v>7943</v>
      </c>
      <c r="E356" s="55" t="s">
        <v>6562</v>
      </c>
      <c r="F356" s="55" t="s">
        <v>6563</v>
      </c>
      <c r="G356" s="55" t="s">
        <v>5365</v>
      </c>
      <c r="H356" s="55" t="s">
        <v>5366</v>
      </c>
      <c r="I356" s="55" t="s">
        <v>7948</v>
      </c>
      <c r="J356" s="55" t="s">
        <v>5189</v>
      </c>
      <c r="K356" s="55" t="s">
        <v>7945</v>
      </c>
      <c r="L356" s="55" t="s">
        <v>7946</v>
      </c>
      <c r="M356" s="55" t="s">
        <v>518</v>
      </c>
      <c r="N356" s="55" t="s">
        <v>5192</v>
      </c>
      <c r="O356" s="55" t="s">
        <v>5191</v>
      </c>
    </row>
    <row r="357" spans="1:15" ht="15.75" x14ac:dyDescent="0.25">
      <c r="A357" s="55" t="s">
        <v>5188</v>
      </c>
      <c r="B357" s="55" t="s">
        <v>7950</v>
      </c>
      <c r="C357" s="55" t="s">
        <v>7951</v>
      </c>
      <c r="D357" s="55" t="s">
        <v>7952</v>
      </c>
      <c r="E357" s="55" t="s">
        <v>7953</v>
      </c>
      <c r="F357" s="55" t="s">
        <v>7954</v>
      </c>
      <c r="G357" s="55" t="s">
        <v>6464</v>
      </c>
      <c r="H357" s="55" t="s">
        <v>6465</v>
      </c>
      <c r="I357" s="55" t="s">
        <v>7955</v>
      </c>
      <c r="J357" s="55" t="s">
        <v>5189</v>
      </c>
      <c r="K357" s="55" t="s">
        <v>7956</v>
      </c>
      <c r="L357" s="55" t="s">
        <v>7957</v>
      </c>
      <c r="M357" s="55" t="s">
        <v>4567</v>
      </c>
      <c r="N357" s="55" t="s">
        <v>5192</v>
      </c>
      <c r="O357" s="55" t="s">
        <v>5191</v>
      </c>
    </row>
    <row r="358" spans="1:15" ht="15.75" x14ac:dyDescent="0.25">
      <c r="A358" s="55" t="s">
        <v>5188</v>
      </c>
      <c r="B358" s="55" t="s">
        <v>7958</v>
      </c>
      <c r="C358" s="55" t="s">
        <v>7959</v>
      </c>
      <c r="D358" s="55" t="s">
        <v>7960</v>
      </c>
      <c r="E358" s="55" t="s">
        <v>5312</v>
      </c>
      <c r="F358" s="55" t="s">
        <v>5313</v>
      </c>
      <c r="G358" s="55" t="s">
        <v>5229</v>
      </c>
      <c r="H358" s="55" t="s">
        <v>5230</v>
      </c>
      <c r="I358" s="55" t="s">
        <v>7961</v>
      </c>
      <c r="J358" s="55" t="s">
        <v>5189</v>
      </c>
      <c r="K358" s="55" t="s">
        <v>7962</v>
      </c>
      <c r="L358" s="55" t="s">
        <v>7963</v>
      </c>
      <c r="M358" s="55" t="s">
        <v>4565</v>
      </c>
      <c r="N358" s="55" t="s">
        <v>5192</v>
      </c>
      <c r="O358" s="55" t="s">
        <v>5191</v>
      </c>
    </row>
    <row r="359" spans="1:15" ht="15.75" x14ac:dyDescent="0.25">
      <c r="A359" s="55" t="s">
        <v>5188</v>
      </c>
      <c r="B359" s="55" t="s">
        <v>7964</v>
      </c>
      <c r="C359" s="55" t="s">
        <v>7965</v>
      </c>
      <c r="D359" s="55" t="s">
        <v>7966</v>
      </c>
      <c r="E359" s="55" t="s">
        <v>7967</v>
      </c>
      <c r="F359" s="55" t="s">
        <v>7968</v>
      </c>
      <c r="G359" s="55" t="s">
        <v>5403</v>
      </c>
      <c r="H359" s="55" t="s">
        <v>5404</v>
      </c>
      <c r="I359" s="55" t="s">
        <v>7969</v>
      </c>
      <c r="J359" s="55" t="s">
        <v>5189</v>
      </c>
      <c r="K359" s="55" t="s">
        <v>7970</v>
      </c>
      <c r="L359" s="55" t="s">
        <v>7971</v>
      </c>
      <c r="M359" s="55" t="s">
        <v>4511</v>
      </c>
      <c r="N359" s="55" t="s">
        <v>5192</v>
      </c>
      <c r="O359" s="55" t="s">
        <v>5191</v>
      </c>
    </row>
    <row r="360" spans="1:15" ht="15.75" x14ac:dyDescent="0.25">
      <c r="A360" s="55" t="s">
        <v>5188</v>
      </c>
      <c r="B360" s="55" t="s">
        <v>7972</v>
      </c>
      <c r="C360" s="55" t="s">
        <v>7973</v>
      </c>
      <c r="D360" s="55" t="s">
        <v>7974</v>
      </c>
      <c r="E360" s="55" t="s">
        <v>7975</v>
      </c>
      <c r="F360" s="55" t="s">
        <v>7976</v>
      </c>
      <c r="G360" s="55" t="s">
        <v>7977</v>
      </c>
      <c r="H360" s="55" t="s">
        <v>7978</v>
      </c>
      <c r="I360" s="55" t="s">
        <v>7979</v>
      </c>
      <c r="J360" s="55" t="s">
        <v>5189</v>
      </c>
      <c r="K360" s="55" t="s">
        <v>7980</v>
      </c>
      <c r="L360" s="55" t="s">
        <v>7981</v>
      </c>
      <c r="M360" s="55" t="s">
        <v>7932</v>
      </c>
      <c r="N360" s="55" t="s">
        <v>5192</v>
      </c>
      <c r="O360" s="55" t="s">
        <v>5191</v>
      </c>
    </row>
    <row r="361" spans="1:15" ht="15.75" x14ac:dyDescent="0.25">
      <c r="A361" s="55" t="s">
        <v>5188</v>
      </c>
      <c r="B361" s="55" t="s">
        <v>7982</v>
      </c>
      <c r="C361" s="55" t="s">
        <v>7983</v>
      </c>
      <c r="D361" s="55" t="s">
        <v>7984</v>
      </c>
      <c r="E361" s="55" t="s">
        <v>5416</v>
      </c>
      <c r="F361" s="55" t="s">
        <v>5417</v>
      </c>
      <c r="G361" s="55" t="s">
        <v>5233</v>
      </c>
      <c r="H361" s="55" t="s">
        <v>5234</v>
      </c>
      <c r="I361" s="55" t="s">
        <v>7985</v>
      </c>
      <c r="J361" s="55" t="s">
        <v>5189</v>
      </c>
      <c r="K361" s="55" t="s">
        <v>7986</v>
      </c>
      <c r="L361" s="55" t="s">
        <v>7987</v>
      </c>
      <c r="M361" s="55" t="s">
        <v>3411</v>
      </c>
      <c r="N361" s="55" t="s">
        <v>5192</v>
      </c>
      <c r="O361" s="55" t="s">
        <v>5191</v>
      </c>
    </row>
    <row r="362" spans="1:15" ht="15.75" x14ac:dyDescent="0.25">
      <c r="A362" s="55" t="s">
        <v>5188</v>
      </c>
      <c r="B362" s="55" t="s">
        <v>7988</v>
      </c>
      <c r="C362" s="55" t="s">
        <v>7989</v>
      </c>
      <c r="D362" s="55" t="s">
        <v>5203</v>
      </c>
      <c r="E362" s="55" t="s">
        <v>5204</v>
      </c>
      <c r="F362" s="55" t="s">
        <v>5205</v>
      </c>
      <c r="G362" s="55" t="s">
        <v>5211</v>
      </c>
      <c r="H362" s="55" t="s">
        <v>5212</v>
      </c>
      <c r="I362" s="55" t="s">
        <v>7990</v>
      </c>
      <c r="J362" s="55" t="s">
        <v>5189</v>
      </c>
      <c r="K362" s="55" t="s">
        <v>7991</v>
      </c>
      <c r="L362" s="55" t="s">
        <v>7992</v>
      </c>
      <c r="M362" s="55" t="s">
        <v>7993</v>
      </c>
      <c r="N362" s="55" t="s">
        <v>5192</v>
      </c>
      <c r="O362" s="55" t="s">
        <v>5191</v>
      </c>
    </row>
    <row r="363" spans="1:15" ht="15.75" x14ac:dyDescent="0.25">
      <c r="A363" s="55" t="s">
        <v>5188</v>
      </c>
      <c r="B363" s="55" t="s">
        <v>5445</v>
      </c>
      <c r="C363" s="55" t="s">
        <v>5446</v>
      </c>
      <c r="D363" s="55" t="s">
        <v>5447</v>
      </c>
      <c r="E363" s="55" t="s">
        <v>5209</v>
      </c>
      <c r="F363" s="55" t="s">
        <v>5210</v>
      </c>
      <c r="G363" s="55" t="s">
        <v>5211</v>
      </c>
      <c r="H363" s="55" t="s">
        <v>5212</v>
      </c>
      <c r="I363" s="55" t="s">
        <v>5448</v>
      </c>
      <c r="J363" s="55" t="s">
        <v>5189</v>
      </c>
      <c r="K363" s="55" t="s">
        <v>5449</v>
      </c>
      <c r="L363" s="55" t="s">
        <v>5450</v>
      </c>
      <c r="M363" s="55" t="s">
        <v>5451</v>
      </c>
      <c r="N363" s="55" t="s">
        <v>5192</v>
      </c>
      <c r="O363" s="55" t="s">
        <v>5191</v>
      </c>
    </row>
    <row r="364" spans="1:15" ht="15.75" x14ac:dyDescent="0.25">
      <c r="A364" s="55" t="s">
        <v>5188</v>
      </c>
      <c r="B364" s="55" t="s">
        <v>5458</v>
      </c>
      <c r="C364" s="55" t="s">
        <v>5459</v>
      </c>
      <c r="D364" s="55" t="s">
        <v>5460</v>
      </c>
      <c r="E364" s="55" t="s">
        <v>5461</v>
      </c>
      <c r="F364" s="55" t="s">
        <v>5462</v>
      </c>
      <c r="G364" s="55" t="s">
        <v>5463</v>
      </c>
      <c r="H364" s="55" t="s">
        <v>5464</v>
      </c>
      <c r="I364" s="55" t="s">
        <v>5465</v>
      </c>
      <c r="J364" s="55" t="s">
        <v>5189</v>
      </c>
      <c r="K364" s="55" t="s">
        <v>5466</v>
      </c>
      <c r="L364" s="55" t="s">
        <v>5467</v>
      </c>
      <c r="M364" s="55" t="s">
        <v>4569</v>
      </c>
      <c r="N364" s="55" t="s">
        <v>5190</v>
      </c>
      <c r="O364" s="55" t="s">
        <v>5191</v>
      </c>
    </row>
    <row r="365" spans="1:15" ht="15.75" x14ac:dyDescent="0.25">
      <c r="A365" s="55" t="s">
        <v>5188</v>
      </c>
      <c r="B365" s="55" t="s">
        <v>5495</v>
      </c>
      <c r="C365" s="55" t="s">
        <v>5486</v>
      </c>
      <c r="D365" s="55" t="s">
        <v>5487</v>
      </c>
      <c r="E365" s="55" t="s">
        <v>5488</v>
      </c>
      <c r="F365" s="55" t="s">
        <v>5489</v>
      </c>
      <c r="G365" s="55" t="s">
        <v>5490</v>
      </c>
      <c r="H365" s="55" t="s">
        <v>5491</v>
      </c>
      <c r="I365" s="55" t="s">
        <v>5492</v>
      </c>
      <c r="J365" s="55" t="s">
        <v>5189</v>
      </c>
      <c r="K365" s="55" t="s">
        <v>5493</v>
      </c>
      <c r="L365" s="55" t="s">
        <v>5494</v>
      </c>
      <c r="M365" s="55" t="s">
        <v>4569</v>
      </c>
      <c r="N365" s="55" t="s">
        <v>5190</v>
      </c>
      <c r="O365" s="55" t="s">
        <v>5191</v>
      </c>
    </row>
    <row r="366" spans="1:15" ht="15.75" x14ac:dyDescent="0.25">
      <c r="A366" s="55" t="s">
        <v>5188</v>
      </c>
      <c r="B366" s="55" t="s">
        <v>6711</v>
      </c>
      <c r="C366" s="55" t="s">
        <v>6712</v>
      </c>
      <c r="D366" s="55" t="s">
        <v>6713</v>
      </c>
      <c r="E366" s="55" t="s">
        <v>5255</v>
      </c>
      <c r="F366" s="55" t="s">
        <v>5256</v>
      </c>
      <c r="G366" s="55" t="s">
        <v>5239</v>
      </c>
      <c r="H366" s="55" t="s">
        <v>5240</v>
      </c>
      <c r="I366" s="55" t="s">
        <v>6714</v>
      </c>
      <c r="J366" s="55" t="s">
        <v>5189</v>
      </c>
      <c r="K366" s="55" t="s">
        <v>6715</v>
      </c>
      <c r="L366" s="55" t="s">
        <v>6716</v>
      </c>
      <c r="M366" s="55" t="s">
        <v>3551</v>
      </c>
      <c r="N366" s="55" t="s">
        <v>5192</v>
      </c>
      <c r="O366" s="55" t="s">
        <v>5191</v>
      </c>
    </row>
    <row r="367" spans="1:15" ht="15.75" x14ac:dyDescent="0.25">
      <c r="A367" s="55" t="s">
        <v>5188</v>
      </c>
      <c r="B367" s="55" t="s">
        <v>6717</v>
      </c>
      <c r="C367" s="55" t="s">
        <v>6712</v>
      </c>
      <c r="D367" s="55" t="s">
        <v>6713</v>
      </c>
      <c r="E367" s="55" t="s">
        <v>5255</v>
      </c>
      <c r="F367" s="55" t="s">
        <v>5256</v>
      </c>
      <c r="G367" s="55" t="s">
        <v>5239</v>
      </c>
      <c r="H367" s="55" t="s">
        <v>5240</v>
      </c>
      <c r="I367" s="55" t="s">
        <v>6714</v>
      </c>
      <c r="J367" s="55" t="s">
        <v>5189</v>
      </c>
      <c r="K367" s="55" t="s">
        <v>6715</v>
      </c>
      <c r="L367" s="55" t="s">
        <v>6716</v>
      </c>
      <c r="M367" s="55" t="s">
        <v>965</v>
      </c>
      <c r="N367" s="55" t="s">
        <v>5192</v>
      </c>
      <c r="O367" s="55" t="s">
        <v>5191</v>
      </c>
    </row>
    <row r="368" spans="1:15" ht="15.75" x14ac:dyDescent="0.25">
      <c r="A368" s="55" t="s">
        <v>5188</v>
      </c>
      <c r="B368" s="55" t="s">
        <v>6718</v>
      </c>
      <c r="C368" s="55" t="s">
        <v>6712</v>
      </c>
      <c r="D368" s="55" t="s">
        <v>6713</v>
      </c>
      <c r="E368" s="55" t="s">
        <v>5255</v>
      </c>
      <c r="F368" s="55" t="s">
        <v>5256</v>
      </c>
      <c r="G368" s="55" t="s">
        <v>5239</v>
      </c>
      <c r="H368" s="55" t="s">
        <v>5240</v>
      </c>
      <c r="I368" s="55" t="s">
        <v>6719</v>
      </c>
      <c r="J368" s="55" t="s">
        <v>5189</v>
      </c>
      <c r="K368" s="55" t="s">
        <v>6715</v>
      </c>
      <c r="L368" s="55" t="s">
        <v>6716</v>
      </c>
      <c r="M368" s="55" t="s">
        <v>3411</v>
      </c>
      <c r="N368" s="55" t="s">
        <v>5192</v>
      </c>
      <c r="O368" s="55" t="s">
        <v>5191</v>
      </c>
    </row>
    <row r="369" spans="1:15" ht="15.75" x14ac:dyDescent="0.25">
      <c r="A369" s="55" t="s">
        <v>5188</v>
      </c>
      <c r="B369" s="55" t="s">
        <v>6720</v>
      </c>
      <c r="C369" s="55" t="s">
        <v>6712</v>
      </c>
      <c r="D369" s="55" t="s">
        <v>6713</v>
      </c>
      <c r="E369" s="55" t="s">
        <v>5255</v>
      </c>
      <c r="F369" s="55" t="s">
        <v>5256</v>
      </c>
      <c r="G369" s="55" t="s">
        <v>5239</v>
      </c>
      <c r="H369" s="55" t="s">
        <v>5240</v>
      </c>
      <c r="I369" s="55" t="s">
        <v>6719</v>
      </c>
      <c r="J369" s="55" t="s">
        <v>5189</v>
      </c>
      <c r="K369" s="55" t="s">
        <v>6715</v>
      </c>
      <c r="L369" s="55" t="s">
        <v>6716</v>
      </c>
      <c r="M369" s="55" t="s">
        <v>2872</v>
      </c>
      <c r="N369" s="55" t="s">
        <v>5192</v>
      </c>
      <c r="O369" s="55" t="s">
        <v>5191</v>
      </c>
    </row>
    <row r="370" spans="1:15" ht="15.75" x14ac:dyDescent="0.25">
      <c r="A370" s="55" t="s">
        <v>5188</v>
      </c>
      <c r="B370" s="55" t="s">
        <v>6728</v>
      </c>
      <c r="C370" s="55" t="s">
        <v>6729</v>
      </c>
      <c r="D370" s="55" t="s">
        <v>6730</v>
      </c>
      <c r="E370" s="55" t="s">
        <v>6731</v>
      </c>
      <c r="F370" s="55" t="s">
        <v>6732</v>
      </c>
      <c r="G370" s="55" t="s">
        <v>6426</v>
      </c>
      <c r="H370" s="55" t="s">
        <v>6427</v>
      </c>
      <c r="I370" s="55" t="s">
        <v>6733</v>
      </c>
      <c r="J370" s="55" t="s">
        <v>5189</v>
      </c>
      <c r="K370" s="55" t="s">
        <v>6734</v>
      </c>
      <c r="L370" s="55" t="s">
        <v>6735</v>
      </c>
      <c r="M370" s="55" t="s">
        <v>871</v>
      </c>
      <c r="N370" s="55" t="s">
        <v>5192</v>
      </c>
      <c r="O370" s="55" t="s">
        <v>5191</v>
      </c>
    </row>
    <row r="371" spans="1:15" ht="15.75" x14ac:dyDescent="0.25">
      <c r="A371" s="55" t="s">
        <v>5188</v>
      </c>
      <c r="B371" s="55" t="s">
        <v>6736</v>
      </c>
      <c r="C371" s="55" t="s">
        <v>6729</v>
      </c>
      <c r="D371" s="55" t="s">
        <v>6730</v>
      </c>
      <c r="E371" s="55" t="s">
        <v>6731</v>
      </c>
      <c r="F371" s="55" t="s">
        <v>6732</v>
      </c>
      <c r="G371" s="55" t="s">
        <v>6426</v>
      </c>
      <c r="H371" s="55" t="s">
        <v>6427</v>
      </c>
      <c r="I371" s="55" t="s">
        <v>6733</v>
      </c>
      <c r="J371" s="55" t="s">
        <v>5189</v>
      </c>
      <c r="K371" s="55" t="s">
        <v>6734</v>
      </c>
      <c r="L371" s="55" t="s">
        <v>6735</v>
      </c>
      <c r="M371" s="55" t="s">
        <v>965</v>
      </c>
      <c r="N371" s="55" t="s">
        <v>5192</v>
      </c>
      <c r="O371" s="55" t="s">
        <v>5191</v>
      </c>
    </row>
    <row r="372" spans="1:15" ht="15.75" x14ac:dyDescent="0.25">
      <c r="A372" s="55" t="s">
        <v>5188</v>
      </c>
      <c r="B372" s="55" t="s">
        <v>6737</v>
      </c>
      <c r="C372" s="55" t="s">
        <v>6738</v>
      </c>
      <c r="D372" s="55" t="s">
        <v>6739</v>
      </c>
      <c r="E372" s="55" t="s">
        <v>6740</v>
      </c>
      <c r="F372" s="55" t="s">
        <v>6741</v>
      </c>
      <c r="G372" s="55" t="s">
        <v>6742</v>
      </c>
      <c r="H372" s="55" t="s">
        <v>6743</v>
      </c>
      <c r="I372" s="55" t="s">
        <v>6744</v>
      </c>
      <c r="J372" s="55" t="s">
        <v>5189</v>
      </c>
      <c r="K372" s="55" t="s">
        <v>6745</v>
      </c>
      <c r="L372" s="55" t="s">
        <v>6746</v>
      </c>
      <c r="M372" s="55" t="s">
        <v>4569</v>
      </c>
      <c r="N372" s="55" t="s">
        <v>5192</v>
      </c>
      <c r="O372" s="55" t="s">
        <v>5191</v>
      </c>
    </row>
    <row r="373" spans="1:15" ht="15.75" x14ac:dyDescent="0.25">
      <c r="A373" s="55" t="s">
        <v>5188</v>
      </c>
      <c r="B373" s="55" t="s">
        <v>6747</v>
      </c>
      <c r="C373" s="55" t="s">
        <v>6748</v>
      </c>
      <c r="D373" s="55" t="s">
        <v>5226</v>
      </c>
      <c r="E373" s="55" t="s">
        <v>5308</v>
      </c>
      <c r="F373" s="55" t="s">
        <v>5309</v>
      </c>
      <c r="G373" s="55" t="s">
        <v>5310</v>
      </c>
      <c r="H373" s="55" t="s">
        <v>5311</v>
      </c>
      <c r="I373" s="55" t="s">
        <v>6749</v>
      </c>
      <c r="J373" s="55" t="s">
        <v>5189</v>
      </c>
      <c r="K373" s="55" t="s">
        <v>6750</v>
      </c>
      <c r="L373" s="55" t="s">
        <v>6751</v>
      </c>
      <c r="M373" s="55" t="s">
        <v>4569</v>
      </c>
      <c r="N373" s="55" t="s">
        <v>5192</v>
      </c>
      <c r="O373" s="55" t="s">
        <v>5191</v>
      </c>
    </row>
    <row r="374" spans="1:15" ht="15.75" x14ac:dyDescent="0.25">
      <c r="A374" s="55" t="s">
        <v>5188</v>
      </c>
      <c r="B374" s="55" t="s">
        <v>6752</v>
      </c>
      <c r="C374" s="55" t="s">
        <v>6753</v>
      </c>
      <c r="D374" s="55" t="s">
        <v>5219</v>
      </c>
      <c r="E374" s="55" t="s">
        <v>5194</v>
      </c>
      <c r="F374" s="55" t="s">
        <v>5195</v>
      </c>
      <c r="G374" s="55" t="s">
        <v>5198</v>
      </c>
      <c r="H374" s="55" t="s">
        <v>5199</v>
      </c>
      <c r="I374" s="55" t="s">
        <v>6754</v>
      </c>
      <c r="J374" s="55" t="s">
        <v>5189</v>
      </c>
      <c r="K374" s="55" t="s">
        <v>6755</v>
      </c>
      <c r="L374" s="55" t="s">
        <v>6756</v>
      </c>
      <c r="M374" s="55" t="s">
        <v>3411</v>
      </c>
      <c r="N374" s="55" t="s">
        <v>5192</v>
      </c>
      <c r="O374" s="55" t="s">
        <v>5191</v>
      </c>
    </row>
    <row r="375" spans="1:15" ht="15.75" x14ac:dyDescent="0.25">
      <c r="A375" s="55" t="s">
        <v>5188</v>
      </c>
      <c r="B375" s="55" t="s">
        <v>6757</v>
      </c>
      <c r="C375" s="55" t="s">
        <v>6758</v>
      </c>
      <c r="D375" s="55" t="s">
        <v>6759</v>
      </c>
      <c r="E375" s="55" t="s">
        <v>6760</v>
      </c>
      <c r="F375" s="55" t="s">
        <v>6761</v>
      </c>
      <c r="G375" s="55" t="s">
        <v>5564</v>
      </c>
      <c r="H375" s="55" t="s">
        <v>5565</v>
      </c>
      <c r="I375" s="55" t="s">
        <v>6762</v>
      </c>
      <c r="J375" s="55" t="s">
        <v>5189</v>
      </c>
      <c r="K375" s="55" t="s">
        <v>6763</v>
      </c>
      <c r="L375" s="55" t="s">
        <v>6764</v>
      </c>
      <c r="M375" s="55" t="s">
        <v>4569</v>
      </c>
      <c r="N375" s="55" t="s">
        <v>5192</v>
      </c>
      <c r="O375" s="55" t="s">
        <v>5191</v>
      </c>
    </row>
    <row r="376" spans="1:15" ht="15.75" x14ac:dyDescent="0.25">
      <c r="A376" s="55" t="s">
        <v>5188</v>
      </c>
      <c r="B376" s="55" t="s">
        <v>6765</v>
      </c>
      <c r="C376" s="55" t="s">
        <v>6766</v>
      </c>
      <c r="D376" s="55" t="s">
        <v>5226</v>
      </c>
      <c r="E376" s="55" t="s">
        <v>5409</v>
      </c>
      <c r="F376" s="55" t="s">
        <v>5410</v>
      </c>
      <c r="G376" s="55" t="s">
        <v>5328</v>
      </c>
      <c r="H376" s="55" t="s">
        <v>5329</v>
      </c>
      <c r="I376" s="55" t="s">
        <v>6767</v>
      </c>
      <c r="J376" s="55" t="s">
        <v>5189</v>
      </c>
      <c r="K376" s="55" t="s">
        <v>6768</v>
      </c>
      <c r="L376" s="55" t="s">
        <v>6769</v>
      </c>
      <c r="M376" s="55" t="s">
        <v>5084</v>
      </c>
      <c r="N376" s="55" t="s">
        <v>5192</v>
      </c>
      <c r="O376" s="55" t="s">
        <v>5191</v>
      </c>
    </row>
    <row r="377" spans="1:15" ht="15.75" x14ac:dyDescent="0.25">
      <c r="A377" s="55" t="s">
        <v>5188</v>
      </c>
      <c r="B377" s="55" t="s">
        <v>6770</v>
      </c>
      <c r="C377" s="55" t="s">
        <v>6771</v>
      </c>
      <c r="D377" s="55" t="s">
        <v>6772</v>
      </c>
      <c r="E377" s="55" t="s">
        <v>6773</v>
      </c>
      <c r="F377" s="55" t="s">
        <v>6774</v>
      </c>
      <c r="G377" s="55" t="s">
        <v>5363</v>
      </c>
      <c r="H377" s="55" t="s">
        <v>5364</v>
      </c>
      <c r="I377" s="55" t="s">
        <v>6775</v>
      </c>
      <c r="J377" s="55" t="s">
        <v>5189</v>
      </c>
      <c r="K377" s="55" t="s">
        <v>6776</v>
      </c>
      <c r="L377" s="55" t="s">
        <v>6777</v>
      </c>
      <c r="M377" s="55" t="s">
        <v>5231</v>
      </c>
      <c r="N377" s="55" t="s">
        <v>5192</v>
      </c>
      <c r="O377" s="55" t="s">
        <v>5191</v>
      </c>
    </row>
    <row r="378" spans="1:15" ht="15.75" x14ac:dyDescent="0.25">
      <c r="A378" s="55" t="s">
        <v>5188</v>
      </c>
      <c r="B378" s="55" t="s">
        <v>6778</v>
      </c>
      <c r="C378" s="55" t="s">
        <v>6771</v>
      </c>
      <c r="D378" s="55" t="s">
        <v>6772</v>
      </c>
      <c r="E378" s="55" t="s">
        <v>6773</v>
      </c>
      <c r="F378" s="55" t="s">
        <v>6774</v>
      </c>
      <c r="G378" s="55" t="s">
        <v>5363</v>
      </c>
      <c r="H378" s="55" t="s">
        <v>5364</v>
      </c>
      <c r="I378" s="55" t="s">
        <v>6775</v>
      </c>
      <c r="J378" s="55" t="s">
        <v>5189</v>
      </c>
      <c r="K378" s="55" t="s">
        <v>6776</v>
      </c>
      <c r="L378" s="55" t="s">
        <v>6777</v>
      </c>
      <c r="M378" s="55" t="s">
        <v>5208</v>
      </c>
      <c r="N378" s="55" t="s">
        <v>5192</v>
      </c>
      <c r="O378" s="55" t="s">
        <v>5191</v>
      </c>
    </row>
    <row r="379" spans="1:15" ht="15.75" x14ac:dyDescent="0.25">
      <c r="A379" s="55" t="s">
        <v>5188</v>
      </c>
      <c r="B379" s="55" t="s">
        <v>6779</v>
      </c>
      <c r="C379" s="55" t="s">
        <v>6780</v>
      </c>
      <c r="D379" s="55" t="s">
        <v>6781</v>
      </c>
      <c r="E379" s="55" t="s">
        <v>6782</v>
      </c>
      <c r="F379" s="55" t="s">
        <v>6783</v>
      </c>
      <c r="G379" s="55" t="s">
        <v>5414</v>
      </c>
      <c r="H379" s="55" t="s">
        <v>5415</v>
      </c>
      <c r="I379" s="55" t="s">
        <v>6784</v>
      </c>
      <c r="J379" s="55" t="s">
        <v>5189</v>
      </c>
      <c r="K379" s="55" t="s">
        <v>6785</v>
      </c>
      <c r="L379" s="55" t="s">
        <v>6786</v>
      </c>
      <c r="M379" s="55" t="s">
        <v>4569</v>
      </c>
      <c r="N379" s="55" t="s">
        <v>5192</v>
      </c>
      <c r="O379" s="55" t="s">
        <v>5191</v>
      </c>
    </row>
    <row r="380" spans="1:15" ht="15.75" x14ac:dyDescent="0.25">
      <c r="A380" s="55" t="s">
        <v>5188</v>
      </c>
      <c r="B380" s="55" t="s">
        <v>6787</v>
      </c>
      <c r="C380" s="55" t="s">
        <v>6780</v>
      </c>
      <c r="D380" s="55" t="s">
        <v>6781</v>
      </c>
      <c r="E380" s="55" t="s">
        <v>6782</v>
      </c>
      <c r="F380" s="55" t="s">
        <v>6783</v>
      </c>
      <c r="G380" s="55" t="s">
        <v>5414</v>
      </c>
      <c r="H380" s="55" t="s">
        <v>5415</v>
      </c>
      <c r="I380" s="55" t="s">
        <v>6784</v>
      </c>
      <c r="J380" s="55" t="s">
        <v>5189</v>
      </c>
      <c r="K380" s="55" t="s">
        <v>6785</v>
      </c>
      <c r="L380" s="55" t="s">
        <v>6786</v>
      </c>
      <c r="M380" s="55" t="s">
        <v>5084</v>
      </c>
      <c r="N380" s="55" t="s">
        <v>5192</v>
      </c>
      <c r="O380" s="55" t="s">
        <v>5191</v>
      </c>
    </row>
    <row r="381" spans="1:15" ht="15.75" x14ac:dyDescent="0.25">
      <c r="A381" s="55" t="s">
        <v>5188</v>
      </c>
      <c r="B381" s="55" t="s">
        <v>6788</v>
      </c>
      <c r="C381" s="55" t="s">
        <v>6780</v>
      </c>
      <c r="D381" s="55" t="s">
        <v>6781</v>
      </c>
      <c r="E381" s="55" t="s">
        <v>6782</v>
      </c>
      <c r="F381" s="55" t="s">
        <v>6783</v>
      </c>
      <c r="G381" s="55" t="s">
        <v>5414</v>
      </c>
      <c r="H381" s="55" t="s">
        <v>5415</v>
      </c>
      <c r="I381" s="55" t="s">
        <v>6784</v>
      </c>
      <c r="J381" s="55" t="s">
        <v>5189</v>
      </c>
      <c r="K381" s="55" t="s">
        <v>6785</v>
      </c>
      <c r="L381" s="55" t="s">
        <v>6786</v>
      </c>
      <c r="M381" s="55" t="s">
        <v>4503</v>
      </c>
      <c r="N381" s="55" t="s">
        <v>5192</v>
      </c>
      <c r="O381" s="55" t="s">
        <v>5191</v>
      </c>
    </row>
    <row r="382" spans="1:15" ht="15.75" x14ac:dyDescent="0.25">
      <c r="A382" s="55" t="s">
        <v>5188</v>
      </c>
      <c r="B382" s="55" t="s">
        <v>7994</v>
      </c>
      <c r="C382" s="55" t="s">
        <v>7995</v>
      </c>
      <c r="D382" s="55" t="s">
        <v>7996</v>
      </c>
      <c r="E382" s="55" t="s">
        <v>6782</v>
      </c>
      <c r="F382" s="55" t="s">
        <v>6783</v>
      </c>
      <c r="G382" s="55" t="s">
        <v>5414</v>
      </c>
      <c r="H382" s="55" t="s">
        <v>5415</v>
      </c>
      <c r="I382" s="55" t="s">
        <v>7997</v>
      </c>
      <c r="J382" s="55" t="s">
        <v>5189</v>
      </c>
      <c r="K382" s="55" t="s">
        <v>7998</v>
      </c>
      <c r="L382" s="55" t="s">
        <v>7999</v>
      </c>
      <c r="M382" s="55" t="s">
        <v>5084</v>
      </c>
      <c r="N382" s="55" t="s">
        <v>5192</v>
      </c>
      <c r="O382" s="55" t="s">
        <v>5191</v>
      </c>
    </row>
    <row r="383" spans="1:15" ht="15.75" x14ac:dyDescent="0.25">
      <c r="A383" s="55" t="s">
        <v>5188</v>
      </c>
      <c r="B383" s="55" t="s">
        <v>8000</v>
      </c>
      <c r="C383" s="55" t="s">
        <v>7995</v>
      </c>
      <c r="D383" s="55" t="s">
        <v>7996</v>
      </c>
      <c r="E383" s="55" t="s">
        <v>6782</v>
      </c>
      <c r="F383" s="55" t="s">
        <v>6783</v>
      </c>
      <c r="G383" s="55" t="s">
        <v>5414</v>
      </c>
      <c r="H383" s="55" t="s">
        <v>5415</v>
      </c>
      <c r="I383" s="55" t="s">
        <v>7997</v>
      </c>
      <c r="J383" s="55" t="s">
        <v>5189</v>
      </c>
      <c r="K383" s="55" t="s">
        <v>7998</v>
      </c>
      <c r="L383" s="55" t="s">
        <v>7999</v>
      </c>
      <c r="M383" s="55" t="s">
        <v>4503</v>
      </c>
      <c r="N383" s="55" t="s">
        <v>5192</v>
      </c>
      <c r="O383" s="55" t="s">
        <v>5191</v>
      </c>
    </row>
    <row r="384" spans="1:15" ht="15.75" x14ac:dyDescent="0.25">
      <c r="A384" s="55" t="s">
        <v>5188</v>
      </c>
      <c r="B384" s="55" t="s">
        <v>8001</v>
      </c>
      <c r="C384" s="55" t="s">
        <v>7995</v>
      </c>
      <c r="D384" s="55" t="s">
        <v>7996</v>
      </c>
      <c r="E384" s="55" t="s">
        <v>6782</v>
      </c>
      <c r="F384" s="55" t="s">
        <v>6783</v>
      </c>
      <c r="G384" s="55" t="s">
        <v>5414</v>
      </c>
      <c r="H384" s="55" t="s">
        <v>5415</v>
      </c>
      <c r="I384" s="55" t="s">
        <v>7997</v>
      </c>
      <c r="J384" s="55" t="s">
        <v>5189</v>
      </c>
      <c r="K384" s="55" t="s">
        <v>7998</v>
      </c>
      <c r="L384" s="55" t="s">
        <v>7999</v>
      </c>
      <c r="M384" s="55" t="s">
        <v>4501</v>
      </c>
      <c r="N384" s="55" t="s">
        <v>5192</v>
      </c>
      <c r="O384" s="55" t="s">
        <v>5191</v>
      </c>
    </row>
    <row r="385" spans="1:15" ht="15.75" x14ac:dyDescent="0.25">
      <c r="A385" s="55" t="s">
        <v>5188</v>
      </c>
      <c r="B385" s="55" t="s">
        <v>8002</v>
      </c>
      <c r="C385" s="55" t="s">
        <v>8003</v>
      </c>
      <c r="D385" s="55" t="s">
        <v>8004</v>
      </c>
      <c r="E385" s="55" t="s">
        <v>5209</v>
      </c>
      <c r="F385" s="55" t="s">
        <v>5210</v>
      </c>
      <c r="G385" s="55" t="s">
        <v>5211</v>
      </c>
      <c r="H385" s="55" t="s">
        <v>5212</v>
      </c>
      <c r="I385" s="55" t="s">
        <v>8005</v>
      </c>
      <c r="J385" s="55" t="s">
        <v>5189</v>
      </c>
      <c r="K385" s="55" t="s">
        <v>8006</v>
      </c>
      <c r="L385" s="55" t="s">
        <v>8007</v>
      </c>
      <c r="M385" s="55" t="s">
        <v>4627</v>
      </c>
      <c r="N385" s="55" t="s">
        <v>5192</v>
      </c>
      <c r="O385" s="55" t="s">
        <v>5191</v>
      </c>
    </row>
    <row r="386" spans="1:15" ht="15.75" x14ac:dyDescent="0.25">
      <c r="A386" s="55" t="s">
        <v>5188</v>
      </c>
      <c r="B386" s="55" t="s">
        <v>8008</v>
      </c>
      <c r="C386" s="55" t="s">
        <v>8009</v>
      </c>
      <c r="D386" s="55" t="s">
        <v>8010</v>
      </c>
      <c r="E386" s="55" t="s">
        <v>8011</v>
      </c>
      <c r="F386" s="55" t="s">
        <v>8012</v>
      </c>
      <c r="G386" s="55" t="s">
        <v>8013</v>
      </c>
      <c r="H386" s="55" t="s">
        <v>8014</v>
      </c>
      <c r="I386" s="55" t="s">
        <v>8015</v>
      </c>
      <c r="J386" s="55" t="s">
        <v>5189</v>
      </c>
      <c r="K386" s="55" t="s">
        <v>8016</v>
      </c>
      <c r="L386" s="55" t="s">
        <v>8017</v>
      </c>
      <c r="M386" s="55" t="s">
        <v>4756</v>
      </c>
      <c r="N386" s="55" t="s">
        <v>5192</v>
      </c>
      <c r="O386" s="55" t="s">
        <v>5191</v>
      </c>
    </row>
    <row r="387" spans="1:15" ht="15.75" x14ac:dyDescent="0.25">
      <c r="A387" s="55" t="s">
        <v>5188</v>
      </c>
      <c r="B387" s="55" t="s">
        <v>8018</v>
      </c>
      <c r="C387" s="55" t="s">
        <v>8019</v>
      </c>
      <c r="D387" s="55" t="s">
        <v>8020</v>
      </c>
      <c r="E387" s="55" t="s">
        <v>8021</v>
      </c>
      <c r="F387" s="55" t="s">
        <v>8022</v>
      </c>
      <c r="G387" s="55" t="s">
        <v>5244</v>
      </c>
      <c r="H387" s="55" t="s">
        <v>5245</v>
      </c>
      <c r="I387" s="55" t="s">
        <v>7209</v>
      </c>
      <c r="J387" s="55" t="s">
        <v>5189</v>
      </c>
      <c r="K387" s="55" t="s">
        <v>8023</v>
      </c>
      <c r="L387" s="55" t="s">
        <v>8024</v>
      </c>
      <c r="M387" s="55" t="s">
        <v>903</v>
      </c>
      <c r="N387" s="55" t="s">
        <v>5192</v>
      </c>
      <c r="O387" s="55" t="s">
        <v>5191</v>
      </c>
    </row>
    <row r="388" spans="1:15" ht="15.75" x14ac:dyDescent="0.25">
      <c r="A388" s="55" t="s">
        <v>5188</v>
      </c>
      <c r="B388" s="55" t="s">
        <v>8025</v>
      </c>
      <c r="C388" s="55" t="s">
        <v>8019</v>
      </c>
      <c r="D388" s="55" t="s">
        <v>8020</v>
      </c>
      <c r="E388" s="55" t="s">
        <v>8021</v>
      </c>
      <c r="F388" s="55" t="s">
        <v>8022</v>
      </c>
      <c r="G388" s="55" t="s">
        <v>5244</v>
      </c>
      <c r="H388" s="55" t="s">
        <v>5245</v>
      </c>
      <c r="I388" s="55" t="s">
        <v>7209</v>
      </c>
      <c r="J388" s="55" t="s">
        <v>5189</v>
      </c>
      <c r="K388" s="55" t="s">
        <v>8023</v>
      </c>
      <c r="L388" s="55" t="s">
        <v>8024</v>
      </c>
      <c r="M388" s="55" t="s">
        <v>4794</v>
      </c>
      <c r="N388" s="55" t="s">
        <v>5192</v>
      </c>
      <c r="O388" s="55" t="s">
        <v>5191</v>
      </c>
    </row>
    <row r="389" spans="1:15" ht="15.75" x14ac:dyDescent="0.25">
      <c r="A389" s="55" t="s">
        <v>5188</v>
      </c>
      <c r="B389" s="55" t="s">
        <v>8026</v>
      </c>
      <c r="C389" s="55" t="s">
        <v>8027</v>
      </c>
      <c r="D389" s="55" t="s">
        <v>8028</v>
      </c>
      <c r="E389" s="55" t="s">
        <v>8029</v>
      </c>
      <c r="F389" s="55" t="s">
        <v>8030</v>
      </c>
      <c r="G389" s="55" t="s">
        <v>6742</v>
      </c>
      <c r="H389" s="55" t="s">
        <v>6743</v>
      </c>
      <c r="I389" s="55" t="s">
        <v>8031</v>
      </c>
      <c r="J389" s="55" t="s">
        <v>5189</v>
      </c>
      <c r="K389" s="55" t="s">
        <v>8032</v>
      </c>
      <c r="L389" s="55" t="s">
        <v>8033</v>
      </c>
      <c r="M389" s="55" t="s">
        <v>4583</v>
      </c>
      <c r="N389" s="55" t="s">
        <v>5192</v>
      </c>
      <c r="O389" s="55" t="s">
        <v>5191</v>
      </c>
    </row>
    <row r="390" spans="1:15" ht="15.75" x14ac:dyDescent="0.25">
      <c r="A390" s="55" t="s">
        <v>5188</v>
      </c>
      <c r="B390" s="55" t="s">
        <v>8034</v>
      </c>
      <c r="C390" s="55" t="s">
        <v>8027</v>
      </c>
      <c r="D390" s="55" t="s">
        <v>8028</v>
      </c>
      <c r="E390" s="55" t="s">
        <v>8029</v>
      </c>
      <c r="F390" s="55" t="s">
        <v>8030</v>
      </c>
      <c r="G390" s="55" t="s">
        <v>6742</v>
      </c>
      <c r="H390" s="55" t="s">
        <v>6743</v>
      </c>
      <c r="I390" s="55" t="s">
        <v>8031</v>
      </c>
      <c r="J390" s="55" t="s">
        <v>5189</v>
      </c>
      <c r="K390" s="55" t="s">
        <v>8032</v>
      </c>
      <c r="L390" s="55" t="s">
        <v>8033</v>
      </c>
      <c r="M390" s="55" t="s">
        <v>965</v>
      </c>
      <c r="N390" s="55" t="s">
        <v>5192</v>
      </c>
      <c r="O390" s="55" t="s">
        <v>5191</v>
      </c>
    </row>
    <row r="391" spans="1:15" ht="15.75" x14ac:dyDescent="0.25">
      <c r="A391" s="55" t="s">
        <v>5188</v>
      </c>
      <c r="B391" s="55" t="s">
        <v>8035</v>
      </c>
      <c r="C391" s="55" t="s">
        <v>8036</v>
      </c>
      <c r="D391" s="55" t="s">
        <v>5226</v>
      </c>
      <c r="E391" s="55" t="s">
        <v>8037</v>
      </c>
      <c r="F391" s="55" t="s">
        <v>8038</v>
      </c>
      <c r="G391" s="55" t="s">
        <v>5328</v>
      </c>
      <c r="H391" s="55" t="s">
        <v>5329</v>
      </c>
      <c r="I391" s="55" t="s">
        <v>8039</v>
      </c>
      <c r="J391" s="55" t="s">
        <v>5189</v>
      </c>
      <c r="K391" s="55" t="s">
        <v>8040</v>
      </c>
      <c r="L391" s="55" t="s">
        <v>8041</v>
      </c>
      <c r="M391" s="55" t="s">
        <v>4583</v>
      </c>
      <c r="N391" s="55" t="s">
        <v>5192</v>
      </c>
      <c r="O391" s="55" t="s">
        <v>5191</v>
      </c>
    </row>
    <row r="392" spans="1:15" ht="15.75" x14ac:dyDescent="0.25">
      <c r="A392" s="55" t="s">
        <v>5188</v>
      </c>
      <c r="B392" s="55" t="s">
        <v>8042</v>
      </c>
      <c r="C392" s="55" t="s">
        <v>8036</v>
      </c>
      <c r="D392" s="55" t="s">
        <v>5226</v>
      </c>
      <c r="E392" s="55" t="s">
        <v>8037</v>
      </c>
      <c r="F392" s="55" t="s">
        <v>8038</v>
      </c>
      <c r="G392" s="55" t="s">
        <v>5328</v>
      </c>
      <c r="H392" s="55" t="s">
        <v>5329</v>
      </c>
      <c r="I392" s="55" t="s">
        <v>8039</v>
      </c>
      <c r="J392" s="55" t="s">
        <v>5189</v>
      </c>
      <c r="K392" s="55" t="s">
        <v>8040</v>
      </c>
      <c r="L392" s="55" t="s">
        <v>8041</v>
      </c>
      <c r="M392" s="55" t="s">
        <v>4621</v>
      </c>
      <c r="N392" s="55" t="s">
        <v>5192</v>
      </c>
      <c r="O392" s="55" t="s">
        <v>5191</v>
      </c>
    </row>
    <row r="393" spans="1:15" ht="15.75" x14ac:dyDescent="0.25">
      <c r="A393" s="55" t="s">
        <v>5188</v>
      </c>
      <c r="B393" s="55" t="s">
        <v>8043</v>
      </c>
      <c r="C393" s="55" t="s">
        <v>8044</v>
      </c>
      <c r="D393" s="55" t="s">
        <v>8045</v>
      </c>
      <c r="E393" s="55" t="s">
        <v>8046</v>
      </c>
      <c r="F393" s="55" t="s">
        <v>8047</v>
      </c>
      <c r="G393" s="55" t="s">
        <v>8048</v>
      </c>
      <c r="H393" s="55" t="s">
        <v>8049</v>
      </c>
      <c r="I393" s="55" t="s">
        <v>8050</v>
      </c>
      <c r="J393" s="55" t="s">
        <v>5189</v>
      </c>
      <c r="K393" s="55" t="s">
        <v>8051</v>
      </c>
      <c r="L393" s="55" t="s">
        <v>8052</v>
      </c>
      <c r="M393" s="55" t="s">
        <v>4758</v>
      </c>
      <c r="N393" s="55" t="s">
        <v>5192</v>
      </c>
      <c r="O393" s="55" t="s">
        <v>5191</v>
      </c>
    </row>
    <row r="394" spans="1:15" ht="15.75" x14ac:dyDescent="0.25">
      <c r="A394" s="55" t="s">
        <v>5188</v>
      </c>
      <c r="B394" s="55" t="s">
        <v>8053</v>
      </c>
      <c r="C394" s="55" t="s">
        <v>8054</v>
      </c>
      <c r="D394" s="55" t="s">
        <v>8055</v>
      </c>
      <c r="E394" s="55" t="s">
        <v>8056</v>
      </c>
      <c r="F394" s="55" t="s">
        <v>8057</v>
      </c>
      <c r="G394" s="55" t="s">
        <v>8058</v>
      </c>
      <c r="H394" s="55" t="s">
        <v>8059</v>
      </c>
      <c r="I394" s="55" t="s">
        <v>8060</v>
      </c>
      <c r="J394" s="55" t="s">
        <v>5189</v>
      </c>
      <c r="K394" s="55" t="s">
        <v>8061</v>
      </c>
      <c r="L394" s="55" t="s">
        <v>8062</v>
      </c>
      <c r="M394" s="55" t="s">
        <v>4583</v>
      </c>
      <c r="N394" s="55" t="s">
        <v>5192</v>
      </c>
      <c r="O394" s="55" t="s">
        <v>5191</v>
      </c>
    </row>
    <row r="395" spans="1:15" ht="15.75" x14ac:dyDescent="0.25">
      <c r="A395" s="55" t="s">
        <v>5188</v>
      </c>
      <c r="B395" s="55" t="s">
        <v>8063</v>
      </c>
      <c r="C395" s="55" t="s">
        <v>8064</v>
      </c>
      <c r="D395" s="55" t="s">
        <v>8065</v>
      </c>
      <c r="E395" s="55" t="s">
        <v>8066</v>
      </c>
      <c r="F395" s="55" t="s">
        <v>8067</v>
      </c>
      <c r="G395" s="55" t="s">
        <v>5213</v>
      </c>
      <c r="H395" s="55" t="s">
        <v>5214</v>
      </c>
      <c r="I395" s="55" t="s">
        <v>8068</v>
      </c>
      <c r="J395" s="55" t="s">
        <v>5189</v>
      </c>
      <c r="K395" s="55" t="s">
        <v>8069</v>
      </c>
      <c r="L395" s="55" t="s">
        <v>8070</v>
      </c>
      <c r="M395" s="55" t="s">
        <v>4503</v>
      </c>
      <c r="N395" s="55" t="s">
        <v>5192</v>
      </c>
      <c r="O395" s="55" t="s">
        <v>5191</v>
      </c>
    </row>
    <row r="396" spans="1:15" ht="15.75" x14ac:dyDescent="0.25">
      <c r="A396" s="55" t="s">
        <v>5188</v>
      </c>
      <c r="B396" s="55" t="s">
        <v>8071</v>
      </c>
      <c r="C396" s="55" t="s">
        <v>8064</v>
      </c>
      <c r="D396" s="55" t="s">
        <v>8065</v>
      </c>
      <c r="E396" s="55" t="s">
        <v>8066</v>
      </c>
      <c r="F396" s="55" t="s">
        <v>8067</v>
      </c>
      <c r="G396" s="55" t="s">
        <v>5213</v>
      </c>
      <c r="H396" s="55" t="s">
        <v>5214</v>
      </c>
      <c r="I396" s="55" t="s">
        <v>8068</v>
      </c>
      <c r="J396" s="55" t="s">
        <v>5189</v>
      </c>
      <c r="K396" s="55" t="s">
        <v>8069</v>
      </c>
      <c r="L396" s="55" t="s">
        <v>8070</v>
      </c>
      <c r="M396" s="55" t="s">
        <v>4942</v>
      </c>
      <c r="N396" s="55" t="s">
        <v>5192</v>
      </c>
      <c r="O396" s="55" t="s">
        <v>5191</v>
      </c>
    </row>
    <row r="397" spans="1:15" ht="15.75" x14ac:dyDescent="0.25">
      <c r="A397" s="55" t="s">
        <v>5188</v>
      </c>
      <c r="B397" s="55" t="s">
        <v>8072</v>
      </c>
      <c r="C397" s="55" t="s">
        <v>8073</v>
      </c>
      <c r="D397" s="55" t="s">
        <v>8074</v>
      </c>
      <c r="E397" s="55" t="s">
        <v>5482</v>
      </c>
      <c r="F397" s="55" t="s">
        <v>5483</v>
      </c>
      <c r="G397" s="55" t="s">
        <v>5484</v>
      </c>
      <c r="H397" s="55" t="s">
        <v>5485</v>
      </c>
      <c r="I397" s="55" t="s">
        <v>8075</v>
      </c>
      <c r="J397" s="55" t="s">
        <v>5189</v>
      </c>
      <c r="K397" s="55" t="s">
        <v>8076</v>
      </c>
      <c r="L397" s="55" t="s">
        <v>8077</v>
      </c>
      <c r="M397" s="55" t="s">
        <v>5058</v>
      </c>
      <c r="N397" s="55" t="s">
        <v>5192</v>
      </c>
      <c r="O397" s="55" t="s">
        <v>5191</v>
      </c>
    </row>
    <row r="398" spans="1:15" ht="15.75" x14ac:dyDescent="0.25">
      <c r="A398" s="55" t="s">
        <v>5188</v>
      </c>
      <c r="B398" s="55" t="s">
        <v>8078</v>
      </c>
      <c r="C398" s="55" t="s">
        <v>8079</v>
      </c>
      <c r="D398" s="55" t="s">
        <v>8080</v>
      </c>
      <c r="E398" s="55" t="s">
        <v>7723</v>
      </c>
      <c r="F398" s="55" t="s">
        <v>7724</v>
      </c>
      <c r="G398" s="55" t="s">
        <v>7725</v>
      </c>
      <c r="H398" s="55" t="s">
        <v>7726</v>
      </c>
      <c r="I398" s="55" t="s">
        <v>8081</v>
      </c>
      <c r="J398" s="55" t="s">
        <v>5189</v>
      </c>
      <c r="K398" s="55" t="s">
        <v>8082</v>
      </c>
      <c r="L398" s="55" t="s">
        <v>8083</v>
      </c>
      <c r="M398" s="55" t="s">
        <v>4573</v>
      </c>
      <c r="N398" s="55" t="s">
        <v>5192</v>
      </c>
      <c r="O398" s="55" t="s">
        <v>5191</v>
      </c>
    </row>
    <row r="399" spans="1:15" ht="15.75" x14ac:dyDescent="0.25">
      <c r="A399" s="55" t="s">
        <v>5188</v>
      </c>
      <c r="B399" s="55" t="s">
        <v>6252</v>
      </c>
      <c r="C399" s="55" t="s">
        <v>6247</v>
      </c>
      <c r="D399" s="55" t="s">
        <v>6248</v>
      </c>
      <c r="E399" s="55" t="s">
        <v>6239</v>
      </c>
      <c r="F399" s="55" t="s">
        <v>6240</v>
      </c>
      <c r="G399" s="55" t="s">
        <v>6241</v>
      </c>
      <c r="H399" s="55" t="s">
        <v>6242</v>
      </c>
      <c r="I399" s="55" t="s">
        <v>6249</v>
      </c>
      <c r="J399" s="55" t="s">
        <v>5189</v>
      </c>
      <c r="K399" s="55" t="s">
        <v>6250</v>
      </c>
      <c r="L399" s="55" t="s">
        <v>6251</v>
      </c>
      <c r="M399" s="55" t="s">
        <v>4569</v>
      </c>
      <c r="N399" s="55" t="s">
        <v>5192</v>
      </c>
      <c r="O399" s="55" t="s">
        <v>5191</v>
      </c>
    </row>
    <row r="400" spans="1:15" ht="15.75" x14ac:dyDescent="0.25">
      <c r="A400" s="55" t="s">
        <v>5188</v>
      </c>
      <c r="B400" s="55" t="s">
        <v>6253</v>
      </c>
      <c r="C400" s="55" t="s">
        <v>6247</v>
      </c>
      <c r="D400" s="55" t="s">
        <v>6248</v>
      </c>
      <c r="E400" s="55" t="s">
        <v>6239</v>
      </c>
      <c r="F400" s="55" t="s">
        <v>6240</v>
      </c>
      <c r="G400" s="55" t="s">
        <v>6241</v>
      </c>
      <c r="H400" s="55" t="s">
        <v>6242</v>
      </c>
      <c r="I400" s="55" t="s">
        <v>6249</v>
      </c>
      <c r="J400" s="55" t="s">
        <v>5189</v>
      </c>
      <c r="K400" s="55" t="s">
        <v>6250</v>
      </c>
      <c r="L400" s="55" t="s">
        <v>6251</v>
      </c>
      <c r="M400" s="55" t="s">
        <v>5084</v>
      </c>
      <c r="N400" s="55" t="s">
        <v>5192</v>
      </c>
      <c r="O400" s="55" t="s">
        <v>5191</v>
      </c>
    </row>
    <row r="401" spans="1:15" ht="15.75" x14ac:dyDescent="0.25">
      <c r="A401" s="55" t="s">
        <v>5188</v>
      </c>
      <c r="B401" s="55" t="s">
        <v>6254</v>
      </c>
      <c r="C401" s="55" t="s">
        <v>6247</v>
      </c>
      <c r="D401" s="55" t="s">
        <v>6248</v>
      </c>
      <c r="E401" s="55" t="s">
        <v>6239</v>
      </c>
      <c r="F401" s="55" t="s">
        <v>6240</v>
      </c>
      <c r="G401" s="55" t="s">
        <v>6241</v>
      </c>
      <c r="H401" s="55" t="s">
        <v>6242</v>
      </c>
      <c r="I401" s="55" t="s">
        <v>6249</v>
      </c>
      <c r="J401" s="55" t="s">
        <v>5189</v>
      </c>
      <c r="K401" s="55" t="s">
        <v>6250</v>
      </c>
      <c r="L401" s="55" t="s">
        <v>6251</v>
      </c>
      <c r="M401" s="55" t="s">
        <v>4503</v>
      </c>
      <c r="N401" s="55" t="s">
        <v>5192</v>
      </c>
      <c r="O401" s="55" t="s">
        <v>5191</v>
      </c>
    </row>
    <row r="402" spans="1:15" ht="15.75" x14ac:dyDescent="0.25">
      <c r="A402" s="55" t="s">
        <v>5188</v>
      </c>
      <c r="B402" s="55" t="s">
        <v>6255</v>
      </c>
      <c r="C402" s="55" t="s">
        <v>6256</v>
      </c>
      <c r="D402" s="55" t="s">
        <v>6257</v>
      </c>
      <c r="E402" s="55" t="s">
        <v>6239</v>
      </c>
      <c r="F402" s="55" t="s">
        <v>6240</v>
      </c>
      <c r="G402" s="55" t="s">
        <v>6241</v>
      </c>
      <c r="H402" s="55" t="s">
        <v>6242</v>
      </c>
      <c r="I402" s="55" t="s">
        <v>6258</v>
      </c>
      <c r="J402" s="55" t="s">
        <v>5189</v>
      </c>
      <c r="K402" s="55" t="s">
        <v>6259</v>
      </c>
      <c r="L402" s="55" t="s">
        <v>6260</v>
      </c>
      <c r="M402" s="55" t="s">
        <v>5084</v>
      </c>
      <c r="N402" s="55" t="s">
        <v>5192</v>
      </c>
      <c r="O402" s="55" t="s">
        <v>5191</v>
      </c>
    </row>
    <row r="403" spans="1:15" ht="15.75" x14ac:dyDescent="0.25">
      <c r="A403" s="55" t="s">
        <v>5188</v>
      </c>
      <c r="B403" s="55" t="s">
        <v>6261</v>
      </c>
      <c r="C403" s="55" t="s">
        <v>6262</v>
      </c>
      <c r="D403" s="55" t="s">
        <v>6263</v>
      </c>
      <c r="E403" s="55" t="s">
        <v>6264</v>
      </c>
      <c r="F403" s="55" t="s">
        <v>6265</v>
      </c>
      <c r="G403" s="55" t="s">
        <v>6241</v>
      </c>
      <c r="H403" s="55" t="s">
        <v>6242</v>
      </c>
      <c r="I403" s="55" t="s">
        <v>6266</v>
      </c>
      <c r="J403" s="55" t="s">
        <v>5189</v>
      </c>
      <c r="K403" s="55" t="s">
        <v>6267</v>
      </c>
      <c r="L403" s="55" t="s">
        <v>6268</v>
      </c>
      <c r="M403" s="55" t="s">
        <v>4453</v>
      </c>
      <c r="N403" s="55" t="s">
        <v>5192</v>
      </c>
      <c r="O403" s="55" t="s">
        <v>5191</v>
      </c>
    </row>
    <row r="404" spans="1:15" ht="15.75" x14ac:dyDescent="0.25">
      <c r="A404" s="55" t="s">
        <v>5188</v>
      </c>
      <c r="B404" s="55" t="s">
        <v>6269</v>
      </c>
      <c r="C404" s="55" t="s">
        <v>6262</v>
      </c>
      <c r="D404" s="55" t="s">
        <v>6263</v>
      </c>
      <c r="E404" s="55" t="s">
        <v>6264</v>
      </c>
      <c r="F404" s="55" t="s">
        <v>6265</v>
      </c>
      <c r="G404" s="55" t="s">
        <v>6241</v>
      </c>
      <c r="H404" s="55" t="s">
        <v>6242</v>
      </c>
      <c r="I404" s="55" t="s">
        <v>6266</v>
      </c>
      <c r="J404" s="55" t="s">
        <v>5189</v>
      </c>
      <c r="K404" s="55" t="s">
        <v>6267</v>
      </c>
      <c r="L404" s="55" t="s">
        <v>6268</v>
      </c>
      <c r="M404" s="55" t="s">
        <v>906</v>
      </c>
      <c r="N404" s="55" t="s">
        <v>5192</v>
      </c>
      <c r="O404" s="55" t="s">
        <v>5191</v>
      </c>
    </row>
    <row r="405" spans="1:15" ht="15.75" x14ac:dyDescent="0.25">
      <c r="A405" s="55" t="s">
        <v>5188</v>
      </c>
      <c r="B405" s="55" t="s">
        <v>6270</v>
      </c>
      <c r="C405" s="55" t="s">
        <v>6271</v>
      </c>
      <c r="D405" s="55" t="s">
        <v>6272</v>
      </c>
      <c r="E405" s="55" t="s">
        <v>6273</v>
      </c>
      <c r="F405" s="55" t="s">
        <v>6274</v>
      </c>
      <c r="G405" s="55" t="s">
        <v>6275</v>
      </c>
      <c r="H405" s="55" t="s">
        <v>6276</v>
      </c>
      <c r="I405" s="55" t="s">
        <v>6277</v>
      </c>
      <c r="J405" s="55" t="s">
        <v>5189</v>
      </c>
      <c r="K405" s="55" t="s">
        <v>6278</v>
      </c>
      <c r="L405" s="55" t="s">
        <v>6279</v>
      </c>
      <c r="M405" s="55" t="s">
        <v>4944</v>
      </c>
      <c r="N405" s="55" t="s">
        <v>5192</v>
      </c>
      <c r="O405" s="55" t="s">
        <v>5191</v>
      </c>
    </row>
    <row r="406" spans="1:15" ht="15.75" x14ac:dyDescent="0.25">
      <c r="A406" s="55" t="s">
        <v>5188</v>
      </c>
      <c r="B406" s="55" t="s">
        <v>6280</v>
      </c>
      <c r="C406" s="55" t="s">
        <v>6271</v>
      </c>
      <c r="D406" s="55" t="s">
        <v>6272</v>
      </c>
      <c r="E406" s="55" t="s">
        <v>6273</v>
      </c>
      <c r="F406" s="55" t="s">
        <v>6274</v>
      </c>
      <c r="G406" s="55" t="s">
        <v>6275</v>
      </c>
      <c r="H406" s="55" t="s">
        <v>6276</v>
      </c>
      <c r="I406" s="55" t="s">
        <v>6277</v>
      </c>
      <c r="J406" s="55" t="s">
        <v>5189</v>
      </c>
      <c r="K406" s="55" t="s">
        <v>6278</v>
      </c>
      <c r="L406" s="55" t="s">
        <v>6279</v>
      </c>
      <c r="M406" s="55" t="s">
        <v>4942</v>
      </c>
      <c r="N406" s="55" t="s">
        <v>5192</v>
      </c>
      <c r="O406" s="55" t="s">
        <v>5191</v>
      </c>
    </row>
    <row r="407" spans="1:15" ht="15.75" x14ac:dyDescent="0.25">
      <c r="A407" s="55" t="s">
        <v>5188</v>
      </c>
      <c r="B407" s="55" t="s">
        <v>6281</v>
      </c>
      <c r="C407" s="55" t="s">
        <v>6271</v>
      </c>
      <c r="D407" s="55" t="s">
        <v>6272</v>
      </c>
      <c r="E407" s="55" t="s">
        <v>6273</v>
      </c>
      <c r="F407" s="55" t="s">
        <v>6274</v>
      </c>
      <c r="G407" s="55" t="s">
        <v>6275</v>
      </c>
      <c r="H407" s="55" t="s">
        <v>6276</v>
      </c>
      <c r="I407" s="55" t="s">
        <v>6277</v>
      </c>
      <c r="J407" s="55" t="s">
        <v>5189</v>
      </c>
      <c r="K407" s="55" t="s">
        <v>6278</v>
      </c>
      <c r="L407" s="55" t="s">
        <v>6279</v>
      </c>
      <c r="M407" s="55" t="s">
        <v>4944</v>
      </c>
      <c r="N407" s="55" t="s">
        <v>5192</v>
      </c>
      <c r="O407" s="55" t="s">
        <v>5191</v>
      </c>
    </row>
    <row r="408" spans="1:15" ht="15.75" x14ac:dyDescent="0.25">
      <c r="A408" s="55" t="s">
        <v>5188</v>
      </c>
      <c r="B408" s="55" t="s">
        <v>6282</v>
      </c>
      <c r="C408" s="55" t="s">
        <v>6283</v>
      </c>
      <c r="D408" s="55" t="s">
        <v>6284</v>
      </c>
      <c r="E408" s="55" t="s">
        <v>6285</v>
      </c>
      <c r="F408" s="55" t="s">
        <v>6286</v>
      </c>
      <c r="G408" s="55" t="s">
        <v>6287</v>
      </c>
      <c r="H408" s="55" t="s">
        <v>6288</v>
      </c>
      <c r="I408" s="55" t="s">
        <v>6289</v>
      </c>
      <c r="J408" s="55" t="s">
        <v>5189</v>
      </c>
      <c r="K408" s="55" t="s">
        <v>6290</v>
      </c>
      <c r="L408" s="55" t="s">
        <v>6291</v>
      </c>
      <c r="M408" s="55" t="s">
        <v>5231</v>
      </c>
      <c r="N408" s="55" t="s">
        <v>5192</v>
      </c>
      <c r="O408" s="55" t="s">
        <v>5191</v>
      </c>
    </row>
    <row r="409" spans="1:15" ht="15.75" x14ac:dyDescent="0.25">
      <c r="A409" s="55" t="s">
        <v>5188</v>
      </c>
      <c r="B409" s="55" t="s">
        <v>6292</v>
      </c>
      <c r="C409" s="55" t="s">
        <v>6283</v>
      </c>
      <c r="D409" s="55" t="s">
        <v>6284</v>
      </c>
      <c r="E409" s="55" t="s">
        <v>6285</v>
      </c>
      <c r="F409" s="55" t="s">
        <v>6286</v>
      </c>
      <c r="G409" s="55" t="s">
        <v>6287</v>
      </c>
      <c r="H409" s="55" t="s">
        <v>6288</v>
      </c>
      <c r="I409" s="55" t="s">
        <v>6289</v>
      </c>
      <c r="J409" s="55" t="s">
        <v>5189</v>
      </c>
      <c r="K409" s="55" t="s">
        <v>6290</v>
      </c>
      <c r="L409" s="55" t="s">
        <v>6291</v>
      </c>
      <c r="M409" s="55" t="s">
        <v>5208</v>
      </c>
      <c r="N409" s="55" t="s">
        <v>5192</v>
      </c>
      <c r="O409" s="55" t="s">
        <v>5191</v>
      </c>
    </row>
    <row r="410" spans="1:15" ht="15.75" x14ac:dyDescent="0.25">
      <c r="A410" s="55" t="s">
        <v>5188</v>
      </c>
      <c r="B410" s="55" t="s">
        <v>6293</v>
      </c>
      <c r="C410" s="55" t="s">
        <v>6283</v>
      </c>
      <c r="D410" s="55" t="s">
        <v>6284</v>
      </c>
      <c r="E410" s="55" t="s">
        <v>6285</v>
      </c>
      <c r="F410" s="55" t="s">
        <v>6286</v>
      </c>
      <c r="G410" s="55" t="s">
        <v>6287</v>
      </c>
      <c r="H410" s="55" t="s">
        <v>6288</v>
      </c>
      <c r="I410" s="55" t="s">
        <v>6289</v>
      </c>
      <c r="J410" s="55" t="s">
        <v>5189</v>
      </c>
      <c r="K410" s="55" t="s">
        <v>6290</v>
      </c>
      <c r="L410" s="55" t="s">
        <v>6291</v>
      </c>
      <c r="M410" s="55" t="s">
        <v>3551</v>
      </c>
      <c r="N410" s="55" t="s">
        <v>5192</v>
      </c>
      <c r="O410" s="55" t="s">
        <v>5191</v>
      </c>
    </row>
    <row r="411" spans="1:15" ht="15.75" x14ac:dyDescent="0.25">
      <c r="A411" s="55" t="s">
        <v>5188</v>
      </c>
      <c r="B411" s="55" t="s">
        <v>6294</v>
      </c>
      <c r="C411" s="55" t="s">
        <v>6295</v>
      </c>
      <c r="D411" s="55" t="s">
        <v>6296</v>
      </c>
      <c r="E411" s="55" t="s">
        <v>6297</v>
      </c>
      <c r="F411" s="55" t="s">
        <v>6298</v>
      </c>
      <c r="G411" s="55" t="s">
        <v>6299</v>
      </c>
      <c r="H411" s="55" t="s">
        <v>6300</v>
      </c>
      <c r="I411" s="55" t="s">
        <v>6301</v>
      </c>
      <c r="J411" s="55" t="s">
        <v>5189</v>
      </c>
      <c r="K411" s="55" t="s">
        <v>6302</v>
      </c>
      <c r="L411" s="55" t="s">
        <v>6303</v>
      </c>
      <c r="M411" s="55" t="s">
        <v>4752</v>
      </c>
      <c r="N411" s="55" t="s">
        <v>5192</v>
      </c>
      <c r="O411" s="55" t="s">
        <v>5191</v>
      </c>
    </row>
    <row r="412" spans="1:15" ht="15.75" x14ac:dyDescent="0.25">
      <c r="A412" s="55" t="s">
        <v>5188</v>
      </c>
      <c r="B412" s="55" t="s">
        <v>6304</v>
      </c>
      <c r="C412" s="55" t="s">
        <v>6295</v>
      </c>
      <c r="D412" s="55" t="s">
        <v>6296</v>
      </c>
      <c r="E412" s="55" t="s">
        <v>6297</v>
      </c>
      <c r="F412" s="55" t="s">
        <v>6298</v>
      </c>
      <c r="G412" s="55" t="s">
        <v>6299</v>
      </c>
      <c r="H412" s="55" t="s">
        <v>6300</v>
      </c>
      <c r="I412" s="55" t="s">
        <v>6301</v>
      </c>
      <c r="J412" s="55" t="s">
        <v>5189</v>
      </c>
      <c r="K412" s="55" t="s">
        <v>6302</v>
      </c>
      <c r="L412" s="55" t="s">
        <v>6303</v>
      </c>
      <c r="M412" s="55" t="s">
        <v>4573</v>
      </c>
      <c r="N412" s="55" t="s">
        <v>5192</v>
      </c>
      <c r="O412" s="55" t="s">
        <v>5191</v>
      </c>
    </row>
    <row r="413" spans="1:15" ht="15.75" x14ac:dyDescent="0.25">
      <c r="A413" s="55" t="s">
        <v>5188</v>
      </c>
      <c r="B413" s="55" t="s">
        <v>6305</v>
      </c>
      <c r="C413" s="55" t="s">
        <v>6295</v>
      </c>
      <c r="D413" s="55" t="s">
        <v>6296</v>
      </c>
      <c r="E413" s="55" t="s">
        <v>6297</v>
      </c>
      <c r="F413" s="55" t="s">
        <v>6298</v>
      </c>
      <c r="G413" s="55" t="s">
        <v>6299</v>
      </c>
      <c r="H413" s="55" t="s">
        <v>6300</v>
      </c>
      <c r="I413" s="55" t="s">
        <v>6301</v>
      </c>
      <c r="J413" s="55" t="s">
        <v>5189</v>
      </c>
      <c r="K413" s="55" t="s">
        <v>6302</v>
      </c>
      <c r="L413" s="55" t="s">
        <v>6303</v>
      </c>
      <c r="M413" s="55" t="s">
        <v>5208</v>
      </c>
      <c r="N413" s="55" t="s">
        <v>5192</v>
      </c>
      <c r="O413" s="55" t="s">
        <v>5191</v>
      </c>
    </row>
    <row r="414" spans="1:15" ht="15.75" x14ac:dyDescent="0.25">
      <c r="A414" s="55" t="s">
        <v>5188</v>
      </c>
      <c r="B414" s="55" t="s">
        <v>6306</v>
      </c>
      <c r="C414" s="55" t="s">
        <v>6295</v>
      </c>
      <c r="D414" s="55" t="s">
        <v>6296</v>
      </c>
      <c r="E414" s="55" t="s">
        <v>6297</v>
      </c>
      <c r="F414" s="55" t="s">
        <v>6298</v>
      </c>
      <c r="G414" s="55" t="s">
        <v>6299</v>
      </c>
      <c r="H414" s="55" t="s">
        <v>6300</v>
      </c>
      <c r="I414" s="55" t="s">
        <v>6301</v>
      </c>
      <c r="J414" s="55" t="s">
        <v>5189</v>
      </c>
      <c r="K414" s="55" t="s">
        <v>6302</v>
      </c>
      <c r="L414" s="55" t="s">
        <v>6303</v>
      </c>
      <c r="M414" s="55" t="s">
        <v>5058</v>
      </c>
      <c r="N414" s="55" t="s">
        <v>5192</v>
      </c>
      <c r="O414" s="55" t="s">
        <v>5191</v>
      </c>
    </row>
    <row r="415" spans="1:15" ht="15.75" x14ac:dyDescent="0.25">
      <c r="A415" s="55" t="s">
        <v>5188</v>
      </c>
      <c r="B415" s="55" t="s">
        <v>6392</v>
      </c>
      <c r="C415" s="55" t="s">
        <v>6393</v>
      </c>
      <c r="D415" s="55" t="s">
        <v>6394</v>
      </c>
      <c r="E415" s="55" t="s">
        <v>6239</v>
      </c>
      <c r="F415" s="55" t="s">
        <v>6240</v>
      </c>
      <c r="G415" s="55" t="s">
        <v>6223</v>
      </c>
      <c r="H415" s="55" t="s">
        <v>6224</v>
      </c>
      <c r="I415" s="55" t="s">
        <v>6395</v>
      </c>
      <c r="J415" s="55" t="s">
        <v>5189</v>
      </c>
      <c r="K415" s="55" t="s">
        <v>6396</v>
      </c>
      <c r="L415" s="55" t="s">
        <v>6397</v>
      </c>
      <c r="M415" s="55" t="s">
        <v>4569</v>
      </c>
      <c r="N415" s="55" t="s">
        <v>5192</v>
      </c>
      <c r="O415" s="55" t="s">
        <v>5191</v>
      </c>
    </row>
    <row r="416" spans="1:15" ht="15.75" x14ac:dyDescent="0.25">
      <c r="A416" s="55" t="s">
        <v>5188</v>
      </c>
      <c r="B416" s="55" t="s">
        <v>6398</v>
      </c>
      <c r="C416" s="55" t="s">
        <v>6356</v>
      </c>
      <c r="D416" s="55" t="s">
        <v>6357</v>
      </c>
      <c r="E416" s="55" t="s">
        <v>6358</v>
      </c>
      <c r="F416" s="55" t="s">
        <v>6359</v>
      </c>
      <c r="G416" s="55" t="s">
        <v>6299</v>
      </c>
      <c r="H416" s="55" t="s">
        <v>6300</v>
      </c>
      <c r="I416" s="55" t="s">
        <v>6360</v>
      </c>
      <c r="J416" s="55" t="s">
        <v>5189</v>
      </c>
      <c r="K416" s="55" t="s">
        <v>6361</v>
      </c>
      <c r="L416" s="55" t="s">
        <v>6362</v>
      </c>
      <c r="M416" s="55" t="s">
        <v>4569</v>
      </c>
      <c r="N416" s="55" t="s">
        <v>5192</v>
      </c>
      <c r="O416" s="55" t="s">
        <v>5191</v>
      </c>
    </row>
    <row r="417" spans="1:15" ht="15.75" x14ac:dyDescent="0.25">
      <c r="A417" s="55" t="s">
        <v>5188</v>
      </c>
      <c r="B417" s="55" t="s">
        <v>6399</v>
      </c>
      <c r="C417" s="55" t="s">
        <v>6356</v>
      </c>
      <c r="D417" s="55" t="s">
        <v>6357</v>
      </c>
      <c r="E417" s="55" t="s">
        <v>6358</v>
      </c>
      <c r="F417" s="55" t="s">
        <v>6359</v>
      </c>
      <c r="G417" s="55" t="s">
        <v>6299</v>
      </c>
      <c r="H417" s="55" t="s">
        <v>6300</v>
      </c>
      <c r="I417" s="55" t="s">
        <v>6360</v>
      </c>
      <c r="J417" s="55" t="s">
        <v>5189</v>
      </c>
      <c r="K417" s="55" t="s">
        <v>6361</v>
      </c>
      <c r="L417" s="55" t="s">
        <v>6362</v>
      </c>
      <c r="M417" s="55" t="s">
        <v>4944</v>
      </c>
      <c r="N417" s="55" t="s">
        <v>5192</v>
      </c>
      <c r="O417" s="55" t="s">
        <v>5191</v>
      </c>
    </row>
    <row r="418" spans="1:15" ht="15.75" x14ac:dyDescent="0.25">
      <c r="A418" s="55" t="s">
        <v>5188</v>
      </c>
      <c r="B418" s="55" t="s">
        <v>6400</v>
      </c>
      <c r="C418" s="55" t="s">
        <v>6401</v>
      </c>
      <c r="D418" s="55" t="s">
        <v>6402</v>
      </c>
      <c r="E418" s="55" t="s">
        <v>6387</v>
      </c>
      <c r="F418" s="55" t="s">
        <v>6388</v>
      </c>
      <c r="G418" s="55" t="s">
        <v>5200</v>
      </c>
      <c r="H418" s="55" t="s">
        <v>5201</v>
      </c>
      <c r="I418" s="55" t="s">
        <v>6403</v>
      </c>
      <c r="J418" s="55" t="s">
        <v>5189</v>
      </c>
      <c r="K418" s="55" t="s">
        <v>6404</v>
      </c>
      <c r="L418" s="55" t="s">
        <v>6405</v>
      </c>
      <c r="M418" s="55" t="s">
        <v>921</v>
      </c>
      <c r="N418" s="55" t="s">
        <v>5192</v>
      </c>
      <c r="O418" s="55" t="s">
        <v>5191</v>
      </c>
    </row>
    <row r="419" spans="1:15" ht="15.75" x14ac:dyDescent="0.25">
      <c r="A419" s="55" t="s">
        <v>5188</v>
      </c>
      <c r="B419" s="55" t="s">
        <v>8084</v>
      </c>
      <c r="C419" s="55" t="s">
        <v>7603</v>
      </c>
      <c r="D419" s="55" t="s">
        <v>7604</v>
      </c>
      <c r="E419" s="55" t="s">
        <v>7605</v>
      </c>
      <c r="F419" s="55" t="s">
        <v>7606</v>
      </c>
      <c r="G419" s="55" t="s">
        <v>7607</v>
      </c>
      <c r="H419" s="55" t="s">
        <v>7608</v>
      </c>
      <c r="I419" s="55" t="s">
        <v>7609</v>
      </c>
      <c r="J419" s="55" t="s">
        <v>5189</v>
      </c>
      <c r="K419" s="55" t="s">
        <v>7610</v>
      </c>
      <c r="L419" s="55" t="s">
        <v>7611</v>
      </c>
      <c r="M419" s="55" t="s">
        <v>5232</v>
      </c>
      <c r="N419" s="55" t="s">
        <v>5192</v>
      </c>
      <c r="O419" s="55" t="s">
        <v>5191</v>
      </c>
    </row>
    <row r="420" spans="1:15" ht="15.75" x14ac:dyDescent="0.25">
      <c r="A420" s="55" t="s">
        <v>5188</v>
      </c>
      <c r="B420" s="55" t="s">
        <v>8085</v>
      </c>
      <c r="C420" s="55" t="s">
        <v>7603</v>
      </c>
      <c r="D420" s="55" t="s">
        <v>7604</v>
      </c>
      <c r="E420" s="55" t="s">
        <v>7605</v>
      </c>
      <c r="F420" s="55" t="s">
        <v>7606</v>
      </c>
      <c r="G420" s="55" t="s">
        <v>7607</v>
      </c>
      <c r="H420" s="55" t="s">
        <v>7608</v>
      </c>
      <c r="I420" s="55" t="s">
        <v>7609</v>
      </c>
      <c r="J420" s="55" t="s">
        <v>5189</v>
      </c>
      <c r="K420" s="55" t="s">
        <v>7610</v>
      </c>
      <c r="L420" s="55" t="s">
        <v>7611</v>
      </c>
      <c r="M420" s="55" t="s">
        <v>5208</v>
      </c>
      <c r="N420" s="55" t="s">
        <v>5192</v>
      </c>
      <c r="O420" s="55" t="s">
        <v>5191</v>
      </c>
    </row>
    <row r="421" spans="1:15" ht="15.75" x14ac:dyDescent="0.25">
      <c r="A421" s="55" t="s">
        <v>5188</v>
      </c>
      <c r="B421" s="55" t="s">
        <v>8086</v>
      </c>
      <c r="C421" s="55" t="s">
        <v>7603</v>
      </c>
      <c r="D421" s="55" t="s">
        <v>7604</v>
      </c>
      <c r="E421" s="55" t="s">
        <v>7605</v>
      </c>
      <c r="F421" s="55" t="s">
        <v>7606</v>
      </c>
      <c r="G421" s="55" t="s">
        <v>7607</v>
      </c>
      <c r="H421" s="55" t="s">
        <v>7608</v>
      </c>
      <c r="I421" s="55" t="s">
        <v>7609</v>
      </c>
      <c r="J421" s="55" t="s">
        <v>5189</v>
      </c>
      <c r="K421" s="55" t="s">
        <v>7610</v>
      </c>
      <c r="L421" s="55" t="s">
        <v>7611</v>
      </c>
      <c r="M421" s="55" t="s">
        <v>3551</v>
      </c>
      <c r="N421" s="55" t="s">
        <v>5192</v>
      </c>
      <c r="O421" s="55" t="s">
        <v>5191</v>
      </c>
    </row>
    <row r="422" spans="1:15" ht="15.75" x14ac:dyDescent="0.25">
      <c r="A422" s="55" t="s">
        <v>5188</v>
      </c>
      <c r="B422" s="55" t="s">
        <v>8087</v>
      </c>
      <c r="C422" s="55" t="s">
        <v>7613</v>
      </c>
      <c r="D422" s="55" t="s">
        <v>7614</v>
      </c>
      <c r="E422" s="55" t="s">
        <v>7615</v>
      </c>
      <c r="F422" s="55" t="s">
        <v>7616</v>
      </c>
      <c r="G422" s="55" t="s">
        <v>7617</v>
      </c>
      <c r="H422" s="55" t="s">
        <v>7618</v>
      </c>
      <c r="I422" s="55" t="s">
        <v>7619</v>
      </c>
      <c r="J422" s="55" t="s">
        <v>5189</v>
      </c>
      <c r="K422" s="55" t="s">
        <v>7620</v>
      </c>
      <c r="L422" s="55" t="s">
        <v>7621</v>
      </c>
      <c r="M422" s="55" t="s">
        <v>4567</v>
      </c>
      <c r="N422" s="55" t="s">
        <v>5192</v>
      </c>
      <c r="O422" s="55" t="s">
        <v>5191</v>
      </c>
    </row>
    <row r="423" spans="1:15" ht="15.75" x14ac:dyDescent="0.25">
      <c r="A423" s="55" t="s">
        <v>5188</v>
      </c>
      <c r="B423" s="55" t="s">
        <v>8088</v>
      </c>
      <c r="C423" s="55" t="s">
        <v>7623</v>
      </c>
      <c r="D423" s="55" t="s">
        <v>7624</v>
      </c>
      <c r="E423" s="55" t="s">
        <v>7625</v>
      </c>
      <c r="F423" s="55" t="s">
        <v>7626</v>
      </c>
      <c r="G423" s="55" t="s">
        <v>7627</v>
      </c>
      <c r="H423" s="55" t="s">
        <v>7628</v>
      </c>
      <c r="I423" s="55" t="s">
        <v>7629</v>
      </c>
      <c r="J423" s="55" t="s">
        <v>5189</v>
      </c>
      <c r="K423" s="55" t="s">
        <v>7630</v>
      </c>
      <c r="L423" s="55" t="s">
        <v>7631</v>
      </c>
      <c r="M423" s="55" t="s">
        <v>4942</v>
      </c>
      <c r="N423" s="55" t="s">
        <v>5192</v>
      </c>
      <c r="O423" s="55" t="s">
        <v>5191</v>
      </c>
    </row>
    <row r="424" spans="1:15" ht="15.75" x14ac:dyDescent="0.25">
      <c r="A424" s="55" t="s">
        <v>5188</v>
      </c>
      <c r="B424" s="55" t="s">
        <v>8089</v>
      </c>
      <c r="C424" s="55" t="s">
        <v>8079</v>
      </c>
      <c r="D424" s="55" t="s">
        <v>8080</v>
      </c>
      <c r="E424" s="55" t="s">
        <v>7723</v>
      </c>
      <c r="F424" s="55" t="s">
        <v>7724</v>
      </c>
      <c r="G424" s="55" t="s">
        <v>7725</v>
      </c>
      <c r="H424" s="55" t="s">
        <v>7726</v>
      </c>
      <c r="I424" s="55" t="s">
        <v>8081</v>
      </c>
      <c r="J424" s="55" t="s">
        <v>5189</v>
      </c>
      <c r="K424" s="55" t="s">
        <v>8082</v>
      </c>
      <c r="L424" s="55" t="s">
        <v>8083</v>
      </c>
      <c r="M424" s="55" t="s">
        <v>4573</v>
      </c>
      <c r="N424" s="55" t="s">
        <v>5192</v>
      </c>
      <c r="O424" s="55" t="s">
        <v>5191</v>
      </c>
    </row>
    <row r="425" spans="1:15" ht="15.75" x14ac:dyDescent="0.25">
      <c r="A425" s="55" t="s">
        <v>5188</v>
      </c>
      <c r="B425" s="55" t="s">
        <v>8090</v>
      </c>
      <c r="C425" s="55" t="s">
        <v>8079</v>
      </c>
      <c r="D425" s="55" t="s">
        <v>8080</v>
      </c>
      <c r="E425" s="55" t="s">
        <v>7723</v>
      </c>
      <c r="F425" s="55" t="s">
        <v>7724</v>
      </c>
      <c r="G425" s="55" t="s">
        <v>7725</v>
      </c>
      <c r="H425" s="55" t="s">
        <v>7726</v>
      </c>
      <c r="I425" s="55" t="s">
        <v>8081</v>
      </c>
      <c r="J425" s="55" t="s">
        <v>5189</v>
      </c>
      <c r="K425" s="55" t="s">
        <v>8082</v>
      </c>
      <c r="L425" s="55" t="s">
        <v>8083</v>
      </c>
      <c r="M425" s="55" t="s">
        <v>4573</v>
      </c>
      <c r="N425" s="55" t="s">
        <v>5192</v>
      </c>
      <c r="O425" s="55" t="s">
        <v>5191</v>
      </c>
    </row>
    <row r="426" spans="1:15" ht="15.75" x14ac:dyDescent="0.25">
      <c r="A426" s="55" t="s">
        <v>5188</v>
      </c>
      <c r="B426" s="55" t="s">
        <v>8091</v>
      </c>
      <c r="C426" s="55" t="s">
        <v>8092</v>
      </c>
      <c r="D426" s="55" t="s">
        <v>8093</v>
      </c>
      <c r="E426" s="55" t="s">
        <v>8094</v>
      </c>
      <c r="F426" s="55" t="s">
        <v>8095</v>
      </c>
      <c r="G426" s="55" t="s">
        <v>6426</v>
      </c>
      <c r="H426" s="55" t="s">
        <v>6427</v>
      </c>
      <c r="I426" s="55" t="s">
        <v>8096</v>
      </c>
      <c r="J426" s="55" t="s">
        <v>5189</v>
      </c>
      <c r="K426" s="55" t="s">
        <v>8097</v>
      </c>
      <c r="L426" s="55" t="s">
        <v>8098</v>
      </c>
      <c r="M426" s="55" t="s">
        <v>2872</v>
      </c>
      <c r="N426" s="55" t="s">
        <v>5192</v>
      </c>
      <c r="O426" s="55" t="s">
        <v>5191</v>
      </c>
    </row>
    <row r="427" spans="1:15" ht="15.75" x14ac:dyDescent="0.25">
      <c r="A427" s="55" t="s">
        <v>5188</v>
      </c>
      <c r="B427" s="55" t="s">
        <v>8099</v>
      </c>
      <c r="C427" s="55" t="s">
        <v>8092</v>
      </c>
      <c r="D427" s="55" t="s">
        <v>8093</v>
      </c>
      <c r="E427" s="55" t="s">
        <v>8094</v>
      </c>
      <c r="F427" s="55" t="s">
        <v>8095</v>
      </c>
      <c r="G427" s="55" t="s">
        <v>6426</v>
      </c>
      <c r="H427" s="55" t="s">
        <v>6427</v>
      </c>
      <c r="I427" s="55" t="s">
        <v>8096</v>
      </c>
      <c r="J427" s="55" t="s">
        <v>5189</v>
      </c>
      <c r="K427" s="55" t="s">
        <v>8097</v>
      </c>
      <c r="L427" s="55" t="s">
        <v>8098</v>
      </c>
      <c r="M427" s="55" t="s">
        <v>4569</v>
      </c>
      <c r="N427" s="55" t="s">
        <v>5192</v>
      </c>
      <c r="O427" s="55" t="s">
        <v>5191</v>
      </c>
    </row>
    <row r="428" spans="1:15" ht="15.75" x14ac:dyDescent="0.25">
      <c r="A428" s="55" t="s">
        <v>5188</v>
      </c>
      <c r="B428" s="55" t="s">
        <v>8100</v>
      </c>
      <c r="C428" s="55" t="s">
        <v>8101</v>
      </c>
      <c r="D428" s="55" t="s">
        <v>5219</v>
      </c>
      <c r="E428" s="55" t="s">
        <v>5255</v>
      </c>
      <c r="F428" s="55" t="s">
        <v>5256</v>
      </c>
      <c r="G428" s="55" t="s">
        <v>5239</v>
      </c>
      <c r="H428" s="55" t="s">
        <v>5240</v>
      </c>
      <c r="I428" s="55" t="s">
        <v>8102</v>
      </c>
      <c r="J428" s="55" t="s">
        <v>5189</v>
      </c>
      <c r="K428" s="55" t="s">
        <v>8103</v>
      </c>
      <c r="L428" s="55" t="s">
        <v>8104</v>
      </c>
      <c r="M428" s="55" t="s">
        <v>4868</v>
      </c>
      <c r="N428" s="55" t="s">
        <v>5192</v>
      </c>
      <c r="O428" s="55" t="s">
        <v>5191</v>
      </c>
    </row>
    <row r="429" spans="1:15" ht="15.75" x14ac:dyDescent="0.25">
      <c r="A429" s="55" t="s">
        <v>5188</v>
      </c>
      <c r="B429" s="55" t="s">
        <v>8105</v>
      </c>
      <c r="C429" s="55" t="s">
        <v>8101</v>
      </c>
      <c r="D429" s="55" t="s">
        <v>5219</v>
      </c>
      <c r="E429" s="55" t="s">
        <v>5255</v>
      </c>
      <c r="F429" s="55" t="s">
        <v>5256</v>
      </c>
      <c r="G429" s="55" t="s">
        <v>5239</v>
      </c>
      <c r="H429" s="55" t="s">
        <v>5240</v>
      </c>
      <c r="I429" s="55" t="s">
        <v>8102</v>
      </c>
      <c r="J429" s="55" t="s">
        <v>5189</v>
      </c>
      <c r="K429" s="55" t="s">
        <v>8103</v>
      </c>
      <c r="L429" s="55" t="s">
        <v>8104</v>
      </c>
      <c r="M429" s="55" t="s">
        <v>5360</v>
      </c>
      <c r="N429" s="55" t="s">
        <v>5192</v>
      </c>
      <c r="O429" s="55" t="s">
        <v>5191</v>
      </c>
    </row>
    <row r="430" spans="1:15" ht="15.75" x14ac:dyDescent="0.25">
      <c r="A430" s="55" t="s">
        <v>5188</v>
      </c>
      <c r="B430" s="55" t="s">
        <v>8106</v>
      </c>
      <c r="C430" s="55" t="s">
        <v>8101</v>
      </c>
      <c r="D430" s="55" t="s">
        <v>5219</v>
      </c>
      <c r="E430" s="55" t="s">
        <v>5255</v>
      </c>
      <c r="F430" s="55" t="s">
        <v>5256</v>
      </c>
      <c r="G430" s="55" t="s">
        <v>5239</v>
      </c>
      <c r="H430" s="55" t="s">
        <v>5240</v>
      </c>
      <c r="I430" s="55" t="s">
        <v>8102</v>
      </c>
      <c r="J430" s="55" t="s">
        <v>5189</v>
      </c>
      <c r="K430" s="55" t="s">
        <v>8103</v>
      </c>
      <c r="L430" s="55" t="s">
        <v>8104</v>
      </c>
      <c r="M430" s="55" t="s">
        <v>5316</v>
      </c>
      <c r="N430" s="55" t="s">
        <v>5192</v>
      </c>
      <c r="O430" s="55" t="s">
        <v>5191</v>
      </c>
    </row>
    <row r="431" spans="1:15" ht="15.75" x14ac:dyDescent="0.25">
      <c r="A431" s="55" t="s">
        <v>5188</v>
      </c>
      <c r="B431" s="55" t="s">
        <v>8107</v>
      </c>
      <c r="C431" s="55" t="s">
        <v>8108</v>
      </c>
      <c r="D431" s="55" t="s">
        <v>8109</v>
      </c>
      <c r="E431" s="55" t="s">
        <v>8110</v>
      </c>
      <c r="F431" s="55" t="s">
        <v>8111</v>
      </c>
      <c r="G431" s="55" t="s">
        <v>8112</v>
      </c>
      <c r="H431" s="55" t="s">
        <v>8113</v>
      </c>
      <c r="I431" s="55" t="s">
        <v>8114</v>
      </c>
      <c r="J431" s="55" t="s">
        <v>5189</v>
      </c>
      <c r="K431" s="55" t="s">
        <v>8115</v>
      </c>
      <c r="L431" s="55" t="s">
        <v>8116</v>
      </c>
      <c r="M431" s="55" t="s">
        <v>8117</v>
      </c>
      <c r="N431" s="55" t="s">
        <v>5192</v>
      </c>
      <c r="O431" s="55" t="s">
        <v>5191</v>
      </c>
    </row>
    <row r="432" spans="1:15" ht="15.75" x14ac:dyDescent="0.25">
      <c r="A432" s="55" t="s">
        <v>5188</v>
      </c>
      <c r="B432" s="55" t="s">
        <v>8118</v>
      </c>
      <c r="C432" s="55" t="s">
        <v>8119</v>
      </c>
      <c r="D432" s="55" t="s">
        <v>8120</v>
      </c>
      <c r="E432" s="55" t="s">
        <v>8121</v>
      </c>
      <c r="F432" s="55" t="s">
        <v>8122</v>
      </c>
      <c r="G432" s="55" t="s">
        <v>8123</v>
      </c>
      <c r="H432" s="55" t="s">
        <v>8124</v>
      </c>
      <c r="I432" s="55" t="s">
        <v>8125</v>
      </c>
      <c r="J432" s="55" t="s">
        <v>5189</v>
      </c>
      <c r="K432" s="55" t="s">
        <v>8126</v>
      </c>
      <c r="L432" s="55" t="s">
        <v>8127</v>
      </c>
      <c r="M432" s="55" t="s">
        <v>4569</v>
      </c>
      <c r="N432" s="55" t="s">
        <v>5192</v>
      </c>
      <c r="O432" s="55" t="s">
        <v>5191</v>
      </c>
    </row>
    <row r="433" spans="1:15" ht="15.75" x14ac:dyDescent="0.25">
      <c r="A433" s="55" t="s">
        <v>5188</v>
      </c>
      <c r="B433" s="55" t="s">
        <v>8128</v>
      </c>
      <c r="C433" s="55" t="s">
        <v>8129</v>
      </c>
      <c r="D433" s="55" t="s">
        <v>8130</v>
      </c>
      <c r="E433" s="55" t="s">
        <v>8131</v>
      </c>
      <c r="F433" s="55" t="s">
        <v>8132</v>
      </c>
      <c r="G433" s="55" t="s">
        <v>8133</v>
      </c>
      <c r="H433" s="55" t="s">
        <v>8134</v>
      </c>
      <c r="I433" s="55" t="s">
        <v>8135</v>
      </c>
      <c r="J433" s="55" t="s">
        <v>5189</v>
      </c>
      <c r="K433" s="55" t="s">
        <v>8136</v>
      </c>
      <c r="L433" s="55" t="s">
        <v>8137</v>
      </c>
      <c r="M433" s="55" t="s">
        <v>8138</v>
      </c>
      <c r="N433" s="55" t="s">
        <v>5192</v>
      </c>
      <c r="O433" s="55" t="s">
        <v>5191</v>
      </c>
    </row>
    <row r="434" spans="1:15" ht="15.75" x14ac:dyDescent="0.25">
      <c r="A434" s="55" t="s">
        <v>5188</v>
      </c>
      <c r="B434" s="55" t="s">
        <v>8139</v>
      </c>
      <c r="C434" s="55" t="s">
        <v>8140</v>
      </c>
      <c r="D434" s="55" t="s">
        <v>8141</v>
      </c>
      <c r="E434" s="55" t="s">
        <v>8142</v>
      </c>
      <c r="F434" s="55" t="s">
        <v>8143</v>
      </c>
      <c r="G434" s="55" t="s">
        <v>8144</v>
      </c>
      <c r="H434" s="55" t="s">
        <v>8145</v>
      </c>
      <c r="I434" s="55" t="s">
        <v>8146</v>
      </c>
      <c r="J434" s="55" t="s">
        <v>5189</v>
      </c>
      <c r="K434" s="55" t="s">
        <v>8147</v>
      </c>
      <c r="L434" s="55" t="s">
        <v>8148</v>
      </c>
      <c r="M434" s="55" t="s">
        <v>4567</v>
      </c>
      <c r="N434" s="55" t="s">
        <v>5192</v>
      </c>
      <c r="O434" s="55" t="s">
        <v>5191</v>
      </c>
    </row>
    <row r="435" spans="1:15" ht="15.75" x14ac:dyDescent="0.25">
      <c r="A435" s="55" t="s">
        <v>5188</v>
      </c>
      <c r="B435" s="55" t="s">
        <v>8149</v>
      </c>
      <c r="C435" s="55" t="s">
        <v>8140</v>
      </c>
      <c r="D435" s="55" t="s">
        <v>8141</v>
      </c>
      <c r="E435" s="55" t="s">
        <v>8142</v>
      </c>
      <c r="F435" s="55" t="s">
        <v>8143</v>
      </c>
      <c r="G435" s="55" t="s">
        <v>8144</v>
      </c>
      <c r="H435" s="55" t="s">
        <v>8145</v>
      </c>
      <c r="I435" s="55" t="s">
        <v>8146</v>
      </c>
      <c r="J435" s="55" t="s">
        <v>5189</v>
      </c>
      <c r="K435" s="55" t="s">
        <v>8147</v>
      </c>
      <c r="L435" s="55" t="s">
        <v>8148</v>
      </c>
      <c r="M435" s="55" t="s">
        <v>4575</v>
      </c>
      <c r="N435" s="55" t="s">
        <v>5192</v>
      </c>
      <c r="O435" s="55" t="s">
        <v>5191</v>
      </c>
    </row>
    <row r="436" spans="1:15" ht="15.75" x14ac:dyDescent="0.25">
      <c r="A436" s="55" t="s">
        <v>5188</v>
      </c>
      <c r="B436" s="55" t="s">
        <v>8150</v>
      </c>
      <c r="C436" s="55" t="s">
        <v>8151</v>
      </c>
      <c r="D436" s="55" t="s">
        <v>5219</v>
      </c>
      <c r="E436" s="55" t="s">
        <v>8152</v>
      </c>
      <c r="F436" s="55" t="s">
        <v>8153</v>
      </c>
      <c r="G436" s="55" t="s">
        <v>5396</v>
      </c>
      <c r="H436" s="55" t="s">
        <v>5397</v>
      </c>
      <c r="I436" s="55" t="s">
        <v>8154</v>
      </c>
      <c r="J436" s="55" t="s">
        <v>5189</v>
      </c>
      <c r="K436" s="55" t="s">
        <v>8155</v>
      </c>
      <c r="L436" s="55" t="s">
        <v>8156</v>
      </c>
      <c r="M436" s="55" t="s">
        <v>4655</v>
      </c>
      <c r="N436" s="55" t="s">
        <v>5192</v>
      </c>
      <c r="O436" s="55" t="s">
        <v>5191</v>
      </c>
    </row>
    <row r="437" spans="1:15" ht="15.75" x14ac:dyDescent="0.25">
      <c r="A437" s="55" t="s">
        <v>5188</v>
      </c>
      <c r="B437" s="55" t="s">
        <v>8157</v>
      </c>
      <c r="C437" s="55" t="s">
        <v>8158</v>
      </c>
      <c r="D437" s="55" t="s">
        <v>8159</v>
      </c>
      <c r="E437" s="55" t="s">
        <v>8160</v>
      </c>
      <c r="F437" s="55" t="s">
        <v>8161</v>
      </c>
      <c r="G437" s="55" t="s">
        <v>8162</v>
      </c>
      <c r="H437" s="55" t="s">
        <v>8163</v>
      </c>
      <c r="I437" s="55" t="s">
        <v>8164</v>
      </c>
      <c r="J437" s="55" t="s">
        <v>5189</v>
      </c>
      <c r="K437" s="55" t="s">
        <v>8165</v>
      </c>
      <c r="L437" s="55" t="s">
        <v>8166</v>
      </c>
      <c r="M437" s="55" t="s">
        <v>4754</v>
      </c>
      <c r="N437" s="55" t="s">
        <v>5192</v>
      </c>
      <c r="O437" s="55" t="s">
        <v>5191</v>
      </c>
    </row>
    <row r="438" spans="1:15" ht="15.75" x14ac:dyDescent="0.25">
      <c r="A438" s="55" t="s">
        <v>5188</v>
      </c>
      <c r="B438" s="55" t="s">
        <v>8167</v>
      </c>
      <c r="C438" s="55" t="s">
        <v>8158</v>
      </c>
      <c r="D438" s="55" t="s">
        <v>8159</v>
      </c>
      <c r="E438" s="55" t="s">
        <v>8160</v>
      </c>
      <c r="F438" s="55" t="s">
        <v>8161</v>
      </c>
      <c r="G438" s="55" t="s">
        <v>8162</v>
      </c>
      <c r="H438" s="55" t="s">
        <v>8163</v>
      </c>
      <c r="I438" s="55" t="s">
        <v>8164</v>
      </c>
      <c r="J438" s="55" t="s">
        <v>5189</v>
      </c>
      <c r="K438" s="55" t="s">
        <v>8165</v>
      </c>
      <c r="L438" s="55" t="s">
        <v>8166</v>
      </c>
      <c r="M438" s="55" t="s">
        <v>4567</v>
      </c>
      <c r="N438" s="55" t="s">
        <v>5192</v>
      </c>
      <c r="O438" s="55" t="s">
        <v>5191</v>
      </c>
    </row>
    <row r="439" spans="1:15" ht="15.75" x14ac:dyDescent="0.25">
      <c r="A439" s="55" t="s">
        <v>5188</v>
      </c>
      <c r="B439" s="55" t="s">
        <v>8168</v>
      </c>
      <c r="C439" s="55" t="s">
        <v>8158</v>
      </c>
      <c r="D439" s="55" t="s">
        <v>8159</v>
      </c>
      <c r="E439" s="55" t="s">
        <v>8160</v>
      </c>
      <c r="F439" s="55" t="s">
        <v>8161</v>
      </c>
      <c r="G439" s="55" t="s">
        <v>8162</v>
      </c>
      <c r="H439" s="55" t="s">
        <v>8163</v>
      </c>
      <c r="I439" s="55" t="s">
        <v>8164</v>
      </c>
      <c r="J439" s="55" t="s">
        <v>5189</v>
      </c>
      <c r="K439" s="55" t="s">
        <v>8165</v>
      </c>
      <c r="L439" s="55" t="s">
        <v>8166</v>
      </c>
      <c r="M439" s="55" t="s">
        <v>4569</v>
      </c>
      <c r="N439" s="55" t="s">
        <v>5192</v>
      </c>
      <c r="O439" s="55" t="s">
        <v>5191</v>
      </c>
    </row>
    <row r="440" spans="1:15" ht="15.75" x14ac:dyDescent="0.25">
      <c r="A440" s="55" t="s">
        <v>5188</v>
      </c>
      <c r="B440" s="55" t="s">
        <v>8169</v>
      </c>
      <c r="C440" s="55" t="s">
        <v>8158</v>
      </c>
      <c r="D440" s="55" t="s">
        <v>8159</v>
      </c>
      <c r="E440" s="55" t="s">
        <v>8160</v>
      </c>
      <c r="F440" s="55" t="s">
        <v>8161</v>
      </c>
      <c r="G440" s="55" t="s">
        <v>8162</v>
      </c>
      <c r="H440" s="55" t="s">
        <v>8163</v>
      </c>
      <c r="I440" s="55" t="s">
        <v>8164</v>
      </c>
      <c r="J440" s="55" t="s">
        <v>5189</v>
      </c>
      <c r="K440" s="55" t="s">
        <v>8165</v>
      </c>
      <c r="L440" s="55" t="s">
        <v>8166</v>
      </c>
      <c r="M440" s="55" t="s">
        <v>5208</v>
      </c>
      <c r="N440" s="55" t="s">
        <v>5192</v>
      </c>
      <c r="O440" s="55" t="s">
        <v>5191</v>
      </c>
    </row>
    <row r="441" spans="1:15" ht="15.75" x14ac:dyDescent="0.25">
      <c r="A441" s="55" t="s">
        <v>5188</v>
      </c>
      <c r="B441" s="55" t="s">
        <v>8170</v>
      </c>
      <c r="C441" s="55" t="s">
        <v>8171</v>
      </c>
      <c r="D441" s="55" t="s">
        <v>5219</v>
      </c>
      <c r="E441" s="55" t="s">
        <v>7650</v>
      </c>
      <c r="F441" s="55" t="s">
        <v>7651</v>
      </c>
      <c r="G441" s="55" t="s">
        <v>7652</v>
      </c>
      <c r="H441" s="55" t="s">
        <v>7653</v>
      </c>
      <c r="I441" s="55" t="s">
        <v>8172</v>
      </c>
      <c r="J441" s="55" t="s">
        <v>5189</v>
      </c>
      <c r="K441" s="55" t="s">
        <v>8173</v>
      </c>
      <c r="L441" s="55" t="s">
        <v>8174</v>
      </c>
      <c r="M441" s="55" t="s">
        <v>4535</v>
      </c>
      <c r="N441" s="55" t="s">
        <v>5192</v>
      </c>
      <c r="O441" s="55" t="s">
        <v>5191</v>
      </c>
    </row>
    <row r="442" spans="1:15" ht="15.75" x14ac:dyDescent="0.25">
      <c r="A442" s="55" t="s">
        <v>5188</v>
      </c>
      <c r="B442" s="55" t="s">
        <v>8175</v>
      </c>
      <c r="C442" s="55" t="s">
        <v>8176</v>
      </c>
      <c r="D442" s="55" t="s">
        <v>8177</v>
      </c>
      <c r="E442" s="55" t="s">
        <v>8178</v>
      </c>
      <c r="F442" s="55" t="s">
        <v>8179</v>
      </c>
      <c r="G442" s="55" t="s">
        <v>8180</v>
      </c>
      <c r="H442" s="55" t="s">
        <v>8181</v>
      </c>
      <c r="I442" s="55" t="s">
        <v>8182</v>
      </c>
      <c r="J442" s="55" t="s">
        <v>5189</v>
      </c>
      <c r="K442" s="55" t="s">
        <v>8183</v>
      </c>
      <c r="L442" s="55" t="s">
        <v>8184</v>
      </c>
      <c r="M442" s="55" t="s">
        <v>4577</v>
      </c>
      <c r="N442" s="55" t="s">
        <v>5192</v>
      </c>
      <c r="O442" s="55" t="s">
        <v>5191</v>
      </c>
    </row>
    <row r="443" spans="1:15" ht="15.75" x14ac:dyDescent="0.25">
      <c r="A443" s="55" t="s">
        <v>5188</v>
      </c>
      <c r="B443" s="55" t="s">
        <v>8185</v>
      </c>
      <c r="C443" s="55" t="s">
        <v>8186</v>
      </c>
      <c r="D443" s="55" t="s">
        <v>8187</v>
      </c>
      <c r="E443" s="55" t="s">
        <v>8188</v>
      </c>
      <c r="F443" s="55" t="s">
        <v>8189</v>
      </c>
      <c r="G443" s="55" t="s">
        <v>8190</v>
      </c>
      <c r="H443" s="55" t="s">
        <v>8191</v>
      </c>
      <c r="I443" s="55" t="s">
        <v>8192</v>
      </c>
      <c r="J443" s="55" t="s">
        <v>5189</v>
      </c>
      <c r="K443" s="55" t="s">
        <v>8193</v>
      </c>
      <c r="L443" s="55" t="s">
        <v>8194</v>
      </c>
      <c r="M443" s="55" t="s">
        <v>5232</v>
      </c>
      <c r="N443" s="55" t="s">
        <v>5192</v>
      </c>
      <c r="O443" s="55" t="s">
        <v>5191</v>
      </c>
    </row>
    <row r="444" spans="1:15" ht="15.75" x14ac:dyDescent="0.25">
      <c r="A444" s="55" t="s">
        <v>5188</v>
      </c>
      <c r="B444" s="55" t="s">
        <v>8195</v>
      </c>
      <c r="C444" s="55" t="s">
        <v>8186</v>
      </c>
      <c r="D444" s="55" t="s">
        <v>8187</v>
      </c>
      <c r="E444" s="55" t="s">
        <v>8188</v>
      </c>
      <c r="F444" s="55" t="s">
        <v>8189</v>
      </c>
      <c r="G444" s="55" t="s">
        <v>8190</v>
      </c>
      <c r="H444" s="55" t="s">
        <v>8191</v>
      </c>
      <c r="I444" s="55" t="s">
        <v>8192</v>
      </c>
      <c r="J444" s="55" t="s">
        <v>5189</v>
      </c>
      <c r="K444" s="55" t="s">
        <v>8193</v>
      </c>
      <c r="L444" s="55" t="s">
        <v>8194</v>
      </c>
      <c r="M444" s="55" t="s">
        <v>965</v>
      </c>
      <c r="N444" s="55" t="s">
        <v>5192</v>
      </c>
      <c r="O444" s="55" t="s">
        <v>5191</v>
      </c>
    </row>
    <row r="445" spans="1:15" ht="15.75" x14ac:dyDescent="0.25">
      <c r="A445" s="55" t="s">
        <v>5188</v>
      </c>
      <c r="B445" s="55" t="s">
        <v>8196</v>
      </c>
      <c r="C445" s="55" t="s">
        <v>8186</v>
      </c>
      <c r="D445" s="55" t="s">
        <v>8187</v>
      </c>
      <c r="E445" s="55" t="s">
        <v>8188</v>
      </c>
      <c r="F445" s="55" t="s">
        <v>8189</v>
      </c>
      <c r="G445" s="55" t="s">
        <v>8190</v>
      </c>
      <c r="H445" s="55" t="s">
        <v>8191</v>
      </c>
      <c r="I445" s="55" t="s">
        <v>8192</v>
      </c>
      <c r="J445" s="55" t="s">
        <v>5189</v>
      </c>
      <c r="K445" s="55" t="s">
        <v>8193</v>
      </c>
      <c r="L445" s="55" t="s">
        <v>8194</v>
      </c>
      <c r="M445" s="55" t="s">
        <v>4609</v>
      </c>
      <c r="N445" s="55" t="s">
        <v>5192</v>
      </c>
      <c r="O445" s="55" t="s">
        <v>5191</v>
      </c>
    </row>
    <row r="446" spans="1:15" ht="15.75" x14ac:dyDescent="0.25">
      <c r="A446" s="55" t="s">
        <v>5188</v>
      </c>
      <c r="B446" s="55" t="s">
        <v>8197</v>
      </c>
      <c r="C446" s="55" t="s">
        <v>8198</v>
      </c>
      <c r="D446" s="55" t="s">
        <v>8199</v>
      </c>
      <c r="E446" s="55" t="s">
        <v>5209</v>
      </c>
      <c r="F446" s="55" t="s">
        <v>5210</v>
      </c>
      <c r="G446" s="55" t="s">
        <v>5211</v>
      </c>
      <c r="H446" s="55" t="s">
        <v>5212</v>
      </c>
      <c r="I446" s="55" t="s">
        <v>8200</v>
      </c>
      <c r="J446" s="55" t="s">
        <v>5189</v>
      </c>
      <c r="K446" s="55" t="s">
        <v>8201</v>
      </c>
      <c r="L446" s="55" t="s">
        <v>8202</v>
      </c>
      <c r="M446" s="55" t="s">
        <v>8203</v>
      </c>
      <c r="N446" s="55" t="s">
        <v>5192</v>
      </c>
      <c r="O446" s="55" t="s">
        <v>5191</v>
      </c>
    </row>
    <row r="447" spans="1:15" ht="15.75" x14ac:dyDescent="0.25">
      <c r="A447" s="55" t="s">
        <v>5188</v>
      </c>
      <c r="B447" s="55" t="s">
        <v>8204</v>
      </c>
      <c r="C447" s="55" t="s">
        <v>8205</v>
      </c>
      <c r="D447" s="55" t="s">
        <v>8206</v>
      </c>
      <c r="E447" s="55" t="s">
        <v>5209</v>
      </c>
      <c r="F447" s="55" t="s">
        <v>5210</v>
      </c>
      <c r="G447" s="55" t="s">
        <v>5211</v>
      </c>
      <c r="H447" s="55" t="s">
        <v>5212</v>
      </c>
      <c r="I447" s="55" t="s">
        <v>8207</v>
      </c>
      <c r="J447" s="55" t="s">
        <v>5189</v>
      </c>
      <c r="K447" s="55" t="s">
        <v>8201</v>
      </c>
      <c r="L447" s="55" t="s">
        <v>8208</v>
      </c>
      <c r="M447" s="55" t="s">
        <v>8209</v>
      </c>
      <c r="N447" s="55" t="s">
        <v>5192</v>
      </c>
      <c r="O447" s="55" t="s">
        <v>5191</v>
      </c>
    </row>
    <row r="448" spans="1:15" ht="15.75" x14ac:dyDescent="0.25">
      <c r="A448" s="55" t="s">
        <v>5188</v>
      </c>
      <c r="B448" s="55" t="s">
        <v>6789</v>
      </c>
      <c r="C448" s="55" t="s">
        <v>6790</v>
      </c>
      <c r="D448" s="55" t="s">
        <v>5226</v>
      </c>
      <c r="E448" s="55" t="s">
        <v>5324</v>
      </c>
      <c r="F448" s="55" t="s">
        <v>5325</v>
      </c>
      <c r="G448" s="55" t="s">
        <v>5227</v>
      </c>
      <c r="H448" s="55" t="s">
        <v>5228</v>
      </c>
      <c r="I448" s="55" t="s">
        <v>6791</v>
      </c>
      <c r="J448" s="55" t="s">
        <v>5189</v>
      </c>
      <c r="K448" s="55" t="s">
        <v>6792</v>
      </c>
      <c r="L448" s="55" t="s">
        <v>6793</v>
      </c>
      <c r="M448" s="55" t="s">
        <v>1274</v>
      </c>
      <c r="N448" s="55" t="s">
        <v>5192</v>
      </c>
      <c r="O448" s="55" t="s">
        <v>5191</v>
      </c>
    </row>
    <row r="449" spans="1:15" ht="15.75" x14ac:dyDescent="0.25">
      <c r="A449" s="55" t="s">
        <v>5188</v>
      </c>
      <c r="B449" s="55" t="s">
        <v>8210</v>
      </c>
      <c r="C449" s="55" t="s">
        <v>7623</v>
      </c>
      <c r="D449" s="55" t="s">
        <v>7624</v>
      </c>
      <c r="E449" s="55" t="s">
        <v>7625</v>
      </c>
      <c r="F449" s="55" t="s">
        <v>7626</v>
      </c>
      <c r="G449" s="55" t="s">
        <v>7627</v>
      </c>
      <c r="H449" s="55" t="s">
        <v>7628</v>
      </c>
      <c r="I449" s="55" t="s">
        <v>7629</v>
      </c>
      <c r="J449" s="55" t="s">
        <v>5189</v>
      </c>
      <c r="K449" s="55" t="s">
        <v>7630</v>
      </c>
      <c r="L449" s="55" t="s">
        <v>7631</v>
      </c>
      <c r="M449" s="55" t="s">
        <v>3551</v>
      </c>
      <c r="N449" s="55" t="s">
        <v>5192</v>
      </c>
      <c r="O449" s="55" t="s">
        <v>5191</v>
      </c>
    </row>
    <row r="450" spans="1:15" ht="15.75" x14ac:dyDescent="0.25">
      <c r="A450" s="55" t="s">
        <v>5188</v>
      </c>
      <c r="B450" s="55" t="s">
        <v>8211</v>
      </c>
      <c r="C450" s="55" t="s">
        <v>8212</v>
      </c>
      <c r="D450" s="55" t="s">
        <v>8213</v>
      </c>
      <c r="E450" s="55" t="s">
        <v>6232</v>
      </c>
      <c r="F450" s="55" t="s">
        <v>6233</v>
      </c>
      <c r="G450" s="55" t="s">
        <v>6368</v>
      </c>
      <c r="H450" s="55" t="s">
        <v>6369</v>
      </c>
      <c r="I450" s="55" t="s">
        <v>8214</v>
      </c>
      <c r="J450" s="55" t="s">
        <v>5189</v>
      </c>
      <c r="K450" s="55" t="s">
        <v>8215</v>
      </c>
      <c r="L450" s="55" t="s">
        <v>8216</v>
      </c>
      <c r="M450" s="55" t="s">
        <v>5316</v>
      </c>
      <c r="N450" s="55" t="s">
        <v>5192</v>
      </c>
      <c r="O450" s="55" t="s">
        <v>5191</v>
      </c>
    </row>
    <row r="451" spans="1:15" ht="15.75" x14ac:dyDescent="0.25">
      <c r="A451" s="55" t="s">
        <v>5188</v>
      </c>
      <c r="B451" s="55" t="s">
        <v>8217</v>
      </c>
      <c r="C451" s="55" t="s">
        <v>8212</v>
      </c>
      <c r="D451" s="55" t="s">
        <v>8213</v>
      </c>
      <c r="E451" s="55" t="s">
        <v>6232</v>
      </c>
      <c r="F451" s="55" t="s">
        <v>6233</v>
      </c>
      <c r="G451" s="55" t="s">
        <v>6368</v>
      </c>
      <c r="H451" s="55" t="s">
        <v>6369</v>
      </c>
      <c r="I451" s="55" t="s">
        <v>8214</v>
      </c>
      <c r="J451" s="55" t="s">
        <v>5189</v>
      </c>
      <c r="K451" s="55" t="s">
        <v>8215</v>
      </c>
      <c r="L451" s="55" t="s">
        <v>8216</v>
      </c>
      <c r="M451" s="55" t="s">
        <v>5208</v>
      </c>
      <c r="N451" s="55" t="s">
        <v>5192</v>
      </c>
      <c r="O451" s="55" t="s">
        <v>5191</v>
      </c>
    </row>
    <row r="452" spans="1:15" ht="15.75" x14ac:dyDescent="0.25">
      <c r="A452" s="55" t="s">
        <v>5188</v>
      </c>
      <c r="B452" s="55" t="s">
        <v>8218</v>
      </c>
      <c r="C452" s="55" t="s">
        <v>8219</v>
      </c>
      <c r="D452" s="55" t="s">
        <v>8220</v>
      </c>
      <c r="E452" s="55" t="s">
        <v>8221</v>
      </c>
      <c r="F452" s="55" t="s">
        <v>8222</v>
      </c>
      <c r="G452" s="55" t="s">
        <v>6241</v>
      </c>
      <c r="H452" s="55" t="s">
        <v>6242</v>
      </c>
      <c r="I452" s="55" t="s">
        <v>8223</v>
      </c>
      <c r="J452" s="55" t="s">
        <v>5189</v>
      </c>
      <c r="K452" s="55" t="s">
        <v>8224</v>
      </c>
      <c r="L452" s="55" t="s">
        <v>8225</v>
      </c>
      <c r="M452" s="55" t="s">
        <v>4589</v>
      </c>
      <c r="N452" s="55" t="s">
        <v>5192</v>
      </c>
      <c r="O452" s="55" t="s">
        <v>5191</v>
      </c>
    </row>
    <row r="453" spans="1:15" ht="15.75" x14ac:dyDescent="0.25">
      <c r="A453" s="55" t="s">
        <v>5188</v>
      </c>
      <c r="B453" s="55" t="s">
        <v>8226</v>
      </c>
      <c r="C453" s="55" t="s">
        <v>8219</v>
      </c>
      <c r="D453" s="55" t="s">
        <v>8220</v>
      </c>
      <c r="E453" s="55" t="s">
        <v>8221</v>
      </c>
      <c r="F453" s="55" t="s">
        <v>8222</v>
      </c>
      <c r="G453" s="55" t="s">
        <v>6241</v>
      </c>
      <c r="H453" s="55" t="s">
        <v>6242</v>
      </c>
      <c r="I453" s="55" t="s">
        <v>8223</v>
      </c>
      <c r="J453" s="55" t="s">
        <v>5189</v>
      </c>
      <c r="K453" s="55" t="s">
        <v>8224</v>
      </c>
      <c r="L453" s="55" t="s">
        <v>8225</v>
      </c>
      <c r="M453" s="55" t="s">
        <v>4571</v>
      </c>
      <c r="N453" s="55" t="s">
        <v>5192</v>
      </c>
      <c r="O453" s="55" t="s">
        <v>5191</v>
      </c>
    </row>
    <row r="454" spans="1:15" ht="15.75" x14ac:dyDescent="0.25">
      <c r="A454" s="55" t="s">
        <v>5188</v>
      </c>
      <c r="B454" s="55" t="s">
        <v>8227</v>
      </c>
      <c r="C454" s="55" t="s">
        <v>8219</v>
      </c>
      <c r="D454" s="55" t="s">
        <v>8220</v>
      </c>
      <c r="E454" s="55" t="s">
        <v>8221</v>
      </c>
      <c r="F454" s="55" t="s">
        <v>8222</v>
      </c>
      <c r="G454" s="55" t="s">
        <v>6241</v>
      </c>
      <c r="H454" s="55" t="s">
        <v>6242</v>
      </c>
      <c r="I454" s="55" t="s">
        <v>8223</v>
      </c>
      <c r="J454" s="55" t="s">
        <v>5189</v>
      </c>
      <c r="K454" s="55" t="s">
        <v>8224</v>
      </c>
      <c r="L454" s="55" t="s">
        <v>8225</v>
      </c>
      <c r="M454" s="55" t="s">
        <v>5084</v>
      </c>
      <c r="N454" s="55" t="s">
        <v>5192</v>
      </c>
      <c r="O454" s="55" t="s">
        <v>5191</v>
      </c>
    </row>
    <row r="455" spans="1:15" ht="15.75" x14ac:dyDescent="0.25">
      <c r="A455" s="55" t="s">
        <v>5188</v>
      </c>
      <c r="B455" s="55" t="s">
        <v>8228</v>
      </c>
      <c r="C455" s="55" t="s">
        <v>8219</v>
      </c>
      <c r="D455" s="55" t="s">
        <v>8220</v>
      </c>
      <c r="E455" s="55" t="s">
        <v>8221</v>
      </c>
      <c r="F455" s="55" t="s">
        <v>8222</v>
      </c>
      <c r="G455" s="55" t="s">
        <v>6241</v>
      </c>
      <c r="H455" s="55" t="s">
        <v>6242</v>
      </c>
      <c r="I455" s="55" t="s">
        <v>8223</v>
      </c>
      <c r="J455" s="55" t="s">
        <v>5189</v>
      </c>
      <c r="K455" s="55" t="s">
        <v>8224</v>
      </c>
      <c r="L455" s="55" t="s">
        <v>8225</v>
      </c>
      <c r="M455" s="55" t="s">
        <v>4503</v>
      </c>
      <c r="N455" s="55" t="s">
        <v>5192</v>
      </c>
      <c r="O455" s="55" t="s">
        <v>5191</v>
      </c>
    </row>
    <row r="456" spans="1:15" ht="15.75" x14ac:dyDescent="0.25">
      <c r="A456" s="55" t="s">
        <v>5188</v>
      </c>
      <c r="B456" s="55" t="s">
        <v>8229</v>
      </c>
      <c r="C456" s="55" t="s">
        <v>7641</v>
      </c>
      <c r="D456" s="55" t="s">
        <v>7642</v>
      </c>
      <c r="E456" s="55" t="s">
        <v>7643</v>
      </c>
      <c r="F456" s="55" t="s">
        <v>7644</v>
      </c>
      <c r="G456" s="55" t="s">
        <v>6411</v>
      </c>
      <c r="H456" s="55" t="s">
        <v>6412</v>
      </c>
      <c r="I456" s="55" t="s">
        <v>7645</v>
      </c>
      <c r="J456" s="55" t="s">
        <v>5189</v>
      </c>
      <c r="K456" s="55" t="s">
        <v>7646</v>
      </c>
      <c r="L456" s="55" t="s">
        <v>7647</v>
      </c>
      <c r="M456" s="55" t="s">
        <v>4940</v>
      </c>
      <c r="N456" s="55" t="s">
        <v>5192</v>
      </c>
      <c r="O456" s="55" t="s">
        <v>5191</v>
      </c>
    </row>
    <row r="457" spans="1:15" ht="15.75" x14ac:dyDescent="0.25">
      <c r="A457" s="55" t="s">
        <v>5188</v>
      </c>
      <c r="B457" s="55" t="s">
        <v>8230</v>
      </c>
      <c r="C457" s="55" t="s">
        <v>7641</v>
      </c>
      <c r="D457" s="55" t="s">
        <v>7642</v>
      </c>
      <c r="E457" s="55" t="s">
        <v>7643</v>
      </c>
      <c r="F457" s="55" t="s">
        <v>7644</v>
      </c>
      <c r="G457" s="55" t="s">
        <v>6411</v>
      </c>
      <c r="H457" s="55" t="s">
        <v>6412</v>
      </c>
      <c r="I457" s="55" t="s">
        <v>7645</v>
      </c>
      <c r="J457" s="55" t="s">
        <v>5189</v>
      </c>
      <c r="K457" s="55" t="s">
        <v>7646</v>
      </c>
      <c r="L457" s="55" t="s">
        <v>7647</v>
      </c>
      <c r="M457" s="55" t="s">
        <v>4942</v>
      </c>
      <c r="N457" s="55" t="s">
        <v>5192</v>
      </c>
      <c r="O457" s="55" t="s">
        <v>5191</v>
      </c>
    </row>
    <row r="458" spans="1:15" ht="15.75" x14ac:dyDescent="0.25">
      <c r="A458" s="55" t="s">
        <v>5188</v>
      </c>
      <c r="B458" s="55" t="s">
        <v>5432</v>
      </c>
      <c r="C458" s="55" t="s">
        <v>5428</v>
      </c>
      <c r="D458" s="55" t="s">
        <v>5400</v>
      </c>
      <c r="E458" s="55" t="s">
        <v>5224</v>
      </c>
      <c r="F458" s="55" t="s">
        <v>5225</v>
      </c>
      <c r="G458" s="55" t="s">
        <v>5198</v>
      </c>
      <c r="H458" s="55" t="s">
        <v>5199</v>
      </c>
      <c r="I458" s="55" t="s">
        <v>5429</v>
      </c>
      <c r="J458" s="55" t="s">
        <v>5189</v>
      </c>
      <c r="K458" s="55" t="s">
        <v>5430</v>
      </c>
      <c r="L458" s="55" t="s">
        <v>5431</v>
      </c>
      <c r="M458" s="55" t="s">
        <v>4569</v>
      </c>
      <c r="N458" s="55" t="s">
        <v>5192</v>
      </c>
      <c r="O458" s="55" t="s">
        <v>5191</v>
      </c>
    </row>
    <row r="459" spans="1:15" ht="15.75" x14ac:dyDescent="0.25">
      <c r="A459" s="55" t="s">
        <v>5188</v>
      </c>
      <c r="B459" s="55" t="s">
        <v>5452</v>
      </c>
      <c r="C459" s="55" t="s">
        <v>5453</v>
      </c>
      <c r="D459" s="55" t="s">
        <v>5454</v>
      </c>
      <c r="E459" s="55" t="s">
        <v>5209</v>
      </c>
      <c r="F459" s="55" t="s">
        <v>5210</v>
      </c>
      <c r="G459" s="55" t="s">
        <v>5211</v>
      </c>
      <c r="H459" s="55" t="s">
        <v>5212</v>
      </c>
      <c r="I459" s="55" t="s">
        <v>5455</v>
      </c>
      <c r="J459" s="55" t="s">
        <v>5189</v>
      </c>
      <c r="K459" s="55" t="s">
        <v>5456</v>
      </c>
      <c r="L459" s="55" t="s">
        <v>5457</v>
      </c>
      <c r="M459" s="55" t="s">
        <v>5451</v>
      </c>
      <c r="N459" s="55" t="s">
        <v>5192</v>
      </c>
      <c r="O459" s="55" t="s">
        <v>5191</v>
      </c>
    </row>
    <row r="460" spans="1:15" ht="15.75" x14ac:dyDescent="0.25">
      <c r="A460" s="55" t="s">
        <v>5188</v>
      </c>
      <c r="B460" s="55" t="s">
        <v>5477</v>
      </c>
      <c r="C460" s="55" t="s">
        <v>5478</v>
      </c>
      <c r="D460" s="55" t="s">
        <v>5390</v>
      </c>
      <c r="E460" s="55" t="s">
        <v>5393</v>
      </c>
      <c r="F460" s="55" t="s">
        <v>5301</v>
      </c>
      <c r="G460" s="55" t="s">
        <v>5394</v>
      </c>
      <c r="H460" s="55" t="s">
        <v>5395</v>
      </c>
      <c r="I460" s="55" t="s">
        <v>5479</v>
      </c>
      <c r="J460" s="55" t="s">
        <v>5189</v>
      </c>
      <c r="K460" s="55" t="s">
        <v>5480</v>
      </c>
      <c r="L460" s="55" t="s">
        <v>5481</v>
      </c>
      <c r="M460" s="55" t="s">
        <v>4746</v>
      </c>
      <c r="N460" s="55" t="s">
        <v>5192</v>
      </c>
      <c r="O460" s="55" t="s">
        <v>5191</v>
      </c>
    </row>
    <row r="461" spans="1:15" ht="15.75" x14ac:dyDescent="0.25">
      <c r="A461" s="55" t="s">
        <v>5188</v>
      </c>
      <c r="B461" s="55" t="s">
        <v>5510</v>
      </c>
      <c r="C461" s="55" t="s">
        <v>5511</v>
      </c>
      <c r="D461" s="55" t="s">
        <v>5390</v>
      </c>
      <c r="E461" s="55" t="s">
        <v>5393</v>
      </c>
      <c r="F461" s="55" t="s">
        <v>5301</v>
      </c>
      <c r="G461" s="55" t="s">
        <v>5394</v>
      </c>
      <c r="H461" s="55" t="s">
        <v>5395</v>
      </c>
      <c r="I461" s="55" t="s">
        <v>5512</v>
      </c>
      <c r="J461" s="55" t="s">
        <v>5189</v>
      </c>
      <c r="K461" s="55" t="s">
        <v>5480</v>
      </c>
      <c r="L461" s="55" t="s">
        <v>5513</v>
      </c>
      <c r="M461" s="55" t="s">
        <v>4746</v>
      </c>
      <c r="N461" s="55" t="s">
        <v>5192</v>
      </c>
      <c r="O461" s="55" t="s">
        <v>5191</v>
      </c>
    </row>
    <row r="462" spans="1:15" ht="15.75" x14ac:dyDescent="0.25">
      <c r="A462" s="55" t="s">
        <v>5188</v>
      </c>
      <c r="B462" s="55" t="s">
        <v>5539</v>
      </c>
      <c r="C462" s="55" t="s">
        <v>5540</v>
      </c>
      <c r="D462" s="55" t="s">
        <v>5541</v>
      </c>
      <c r="E462" s="55" t="s">
        <v>5542</v>
      </c>
      <c r="F462" s="55" t="s">
        <v>5543</v>
      </c>
      <c r="G462" s="55" t="s">
        <v>5544</v>
      </c>
      <c r="H462" s="55" t="s">
        <v>5545</v>
      </c>
      <c r="I462" s="55" t="s">
        <v>5546</v>
      </c>
      <c r="J462" s="55" t="s">
        <v>5189</v>
      </c>
      <c r="K462" s="55" t="s">
        <v>5547</v>
      </c>
      <c r="L462" s="55" t="s">
        <v>5548</v>
      </c>
      <c r="M462" s="55" t="s">
        <v>4926</v>
      </c>
      <c r="N462" s="55" t="s">
        <v>5192</v>
      </c>
      <c r="O462" s="55" t="s">
        <v>5191</v>
      </c>
    </row>
    <row r="463" spans="1:15" ht="15.75" x14ac:dyDescent="0.25">
      <c r="A463" s="55" t="s">
        <v>5188</v>
      </c>
      <c r="B463" s="55" t="s">
        <v>5551</v>
      </c>
      <c r="C463" s="55" t="s">
        <v>5552</v>
      </c>
      <c r="D463" s="55" t="s">
        <v>5553</v>
      </c>
      <c r="E463" s="55" t="s">
        <v>5554</v>
      </c>
      <c r="F463" s="55" t="s">
        <v>5555</v>
      </c>
      <c r="G463" s="55" t="s">
        <v>5414</v>
      </c>
      <c r="H463" s="55" t="s">
        <v>5415</v>
      </c>
      <c r="I463" s="55" t="s">
        <v>5556</v>
      </c>
      <c r="J463" s="55" t="s">
        <v>5189</v>
      </c>
      <c r="K463" s="55" t="s">
        <v>5557</v>
      </c>
      <c r="L463" s="55" t="s">
        <v>5558</v>
      </c>
      <c r="M463" s="55" t="s">
        <v>4583</v>
      </c>
      <c r="N463" s="55" t="s">
        <v>5192</v>
      </c>
      <c r="O463" s="55" t="s">
        <v>5191</v>
      </c>
    </row>
    <row r="464" spans="1:15" ht="15.75" x14ac:dyDescent="0.25">
      <c r="A464" s="55" t="s">
        <v>5188</v>
      </c>
      <c r="B464" s="55" t="s">
        <v>5559</v>
      </c>
      <c r="C464" s="55" t="s">
        <v>5560</v>
      </c>
      <c r="D464" s="55" t="s">
        <v>5561</v>
      </c>
      <c r="E464" s="55" t="s">
        <v>5562</v>
      </c>
      <c r="F464" s="55" t="s">
        <v>5563</v>
      </c>
      <c r="G464" s="55" t="s">
        <v>5564</v>
      </c>
      <c r="H464" s="55" t="s">
        <v>5565</v>
      </c>
      <c r="I464" s="55" t="s">
        <v>5566</v>
      </c>
      <c r="J464" s="55" t="s">
        <v>5189</v>
      </c>
      <c r="K464" s="55" t="s">
        <v>5567</v>
      </c>
      <c r="L464" s="55" t="s">
        <v>5568</v>
      </c>
      <c r="M464" s="55" t="s">
        <v>3551</v>
      </c>
      <c r="N464" s="55" t="s">
        <v>5192</v>
      </c>
      <c r="O464" s="55" t="s">
        <v>5191</v>
      </c>
    </row>
    <row r="465" spans="1:15" ht="15.75" x14ac:dyDescent="0.25">
      <c r="A465" s="55" t="s">
        <v>5188</v>
      </c>
      <c r="B465" s="55" t="s">
        <v>6839</v>
      </c>
      <c r="C465" s="55" t="s">
        <v>6416</v>
      </c>
      <c r="D465" s="55" t="s">
        <v>6417</v>
      </c>
      <c r="E465" s="55" t="s">
        <v>5398</v>
      </c>
      <c r="F465" s="55" t="s">
        <v>5399</v>
      </c>
      <c r="G465" s="55" t="s">
        <v>5391</v>
      </c>
      <c r="H465" s="55" t="s">
        <v>5392</v>
      </c>
      <c r="I465" s="55" t="s">
        <v>6418</v>
      </c>
      <c r="J465" s="55" t="s">
        <v>5189</v>
      </c>
      <c r="K465" s="55" t="s">
        <v>6419</v>
      </c>
      <c r="L465" s="55" t="s">
        <v>6420</v>
      </c>
      <c r="M465" s="55" t="s">
        <v>4944</v>
      </c>
      <c r="N465" s="55" t="s">
        <v>5192</v>
      </c>
      <c r="O465" s="55" t="s">
        <v>5191</v>
      </c>
    </row>
    <row r="466" spans="1:15" ht="15.75" x14ac:dyDescent="0.25">
      <c r="A466" s="55" t="s">
        <v>5188</v>
      </c>
      <c r="B466" s="55" t="s">
        <v>6840</v>
      </c>
      <c r="C466" s="55" t="s">
        <v>6416</v>
      </c>
      <c r="D466" s="55" t="s">
        <v>6417</v>
      </c>
      <c r="E466" s="55" t="s">
        <v>5398</v>
      </c>
      <c r="F466" s="55" t="s">
        <v>5399</v>
      </c>
      <c r="G466" s="55" t="s">
        <v>5391</v>
      </c>
      <c r="H466" s="55" t="s">
        <v>5392</v>
      </c>
      <c r="I466" s="55" t="s">
        <v>6418</v>
      </c>
      <c r="J466" s="55" t="s">
        <v>5189</v>
      </c>
      <c r="K466" s="55" t="s">
        <v>6419</v>
      </c>
      <c r="L466" s="55" t="s">
        <v>6420</v>
      </c>
      <c r="M466" s="55" t="s">
        <v>5232</v>
      </c>
      <c r="N466" s="55" t="s">
        <v>5192</v>
      </c>
      <c r="O466" s="55" t="s">
        <v>5191</v>
      </c>
    </row>
    <row r="467" spans="1:15" ht="15.75" x14ac:dyDescent="0.25">
      <c r="A467" s="55" t="s">
        <v>5188</v>
      </c>
      <c r="B467" s="55" t="s">
        <v>6841</v>
      </c>
      <c r="C467" s="55" t="s">
        <v>6422</v>
      </c>
      <c r="D467" s="55" t="s">
        <v>6423</v>
      </c>
      <c r="E467" s="55" t="s">
        <v>6424</v>
      </c>
      <c r="F467" s="55" t="s">
        <v>6425</v>
      </c>
      <c r="G467" s="55" t="s">
        <v>6426</v>
      </c>
      <c r="H467" s="55" t="s">
        <v>6427</v>
      </c>
      <c r="I467" s="55" t="s">
        <v>6428</v>
      </c>
      <c r="J467" s="55" t="s">
        <v>5189</v>
      </c>
      <c r="K467" s="55" t="s">
        <v>6429</v>
      </c>
      <c r="L467" s="55" t="s">
        <v>6430</v>
      </c>
      <c r="M467" s="55" t="s">
        <v>4944</v>
      </c>
      <c r="N467" s="55" t="s">
        <v>5192</v>
      </c>
      <c r="O467" s="55" t="s">
        <v>5191</v>
      </c>
    </row>
    <row r="468" spans="1:15" ht="15.75" x14ac:dyDescent="0.25">
      <c r="A468" s="55" t="s">
        <v>5188</v>
      </c>
      <c r="B468" s="55" t="s">
        <v>6842</v>
      </c>
      <c r="C468" s="55" t="s">
        <v>6422</v>
      </c>
      <c r="D468" s="55" t="s">
        <v>6423</v>
      </c>
      <c r="E468" s="55" t="s">
        <v>6424</v>
      </c>
      <c r="F468" s="55" t="s">
        <v>6425</v>
      </c>
      <c r="G468" s="55" t="s">
        <v>6426</v>
      </c>
      <c r="H468" s="55" t="s">
        <v>6427</v>
      </c>
      <c r="I468" s="55" t="s">
        <v>6428</v>
      </c>
      <c r="J468" s="55" t="s">
        <v>5189</v>
      </c>
      <c r="K468" s="55" t="s">
        <v>6429</v>
      </c>
      <c r="L468" s="55" t="s">
        <v>6430</v>
      </c>
      <c r="M468" s="55" t="s">
        <v>4567</v>
      </c>
      <c r="N468" s="55" t="s">
        <v>5192</v>
      </c>
      <c r="O468" s="55" t="s">
        <v>5191</v>
      </c>
    </row>
    <row r="469" spans="1:15" ht="15.75" x14ac:dyDescent="0.25">
      <c r="A469" s="55" t="s">
        <v>5188</v>
      </c>
      <c r="B469" s="55" t="s">
        <v>6843</v>
      </c>
      <c r="C469" s="55" t="s">
        <v>6422</v>
      </c>
      <c r="D469" s="55" t="s">
        <v>6423</v>
      </c>
      <c r="E469" s="55" t="s">
        <v>6424</v>
      </c>
      <c r="F469" s="55" t="s">
        <v>6425</v>
      </c>
      <c r="G469" s="55" t="s">
        <v>6426</v>
      </c>
      <c r="H469" s="55" t="s">
        <v>6427</v>
      </c>
      <c r="I469" s="55" t="s">
        <v>6428</v>
      </c>
      <c r="J469" s="55" t="s">
        <v>5189</v>
      </c>
      <c r="K469" s="55" t="s">
        <v>6429</v>
      </c>
      <c r="L469" s="55" t="s">
        <v>6430</v>
      </c>
      <c r="M469" s="55" t="s">
        <v>4944</v>
      </c>
      <c r="N469" s="55" t="s">
        <v>5192</v>
      </c>
      <c r="O469" s="55" t="s">
        <v>5191</v>
      </c>
    </row>
    <row r="470" spans="1:15" ht="15.75" x14ac:dyDescent="0.25">
      <c r="A470" s="55" t="s">
        <v>5188</v>
      </c>
      <c r="B470" s="55" t="s">
        <v>6844</v>
      </c>
      <c r="C470" s="55" t="s">
        <v>6422</v>
      </c>
      <c r="D470" s="55" t="s">
        <v>6423</v>
      </c>
      <c r="E470" s="55" t="s">
        <v>6424</v>
      </c>
      <c r="F470" s="55" t="s">
        <v>6425</v>
      </c>
      <c r="G470" s="55" t="s">
        <v>6426</v>
      </c>
      <c r="H470" s="55" t="s">
        <v>6427</v>
      </c>
      <c r="I470" s="55" t="s">
        <v>6428</v>
      </c>
      <c r="J470" s="55" t="s">
        <v>5189</v>
      </c>
      <c r="K470" s="55" t="s">
        <v>6429</v>
      </c>
      <c r="L470" s="55" t="s">
        <v>6430</v>
      </c>
      <c r="M470" s="55" t="s">
        <v>4567</v>
      </c>
      <c r="N470" s="55" t="s">
        <v>5192</v>
      </c>
      <c r="O470" s="55" t="s">
        <v>5191</v>
      </c>
    </row>
    <row r="471" spans="1:15" ht="15.75" x14ac:dyDescent="0.25">
      <c r="A471" s="55" t="s">
        <v>5188</v>
      </c>
      <c r="B471" s="55" t="s">
        <v>6845</v>
      </c>
      <c r="C471" s="55" t="s">
        <v>6432</v>
      </c>
      <c r="D471" s="55" t="s">
        <v>5219</v>
      </c>
      <c r="E471" s="55" t="s">
        <v>5194</v>
      </c>
      <c r="F471" s="55" t="s">
        <v>5195</v>
      </c>
      <c r="G471" s="55" t="s">
        <v>5198</v>
      </c>
      <c r="H471" s="55" t="s">
        <v>5199</v>
      </c>
      <c r="I471" s="55" t="s">
        <v>6433</v>
      </c>
      <c r="J471" s="55" t="s">
        <v>5189</v>
      </c>
      <c r="K471" s="55" t="s">
        <v>6434</v>
      </c>
      <c r="L471" s="55" t="s">
        <v>6435</v>
      </c>
      <c r="M471" s="55" t="s">
        <v>3411</v>
      </c>
      <c r="N471" s="55" t="s">
        <v>5192</v>
      </c>
      <c r="O471" s="55" t="s">
        <v>5191</v>
      </c>
    </row>
    <row r="472" spans="1:15" ht="15.75" x14ac:dyDescent="0.25">
      <c r="A472" s="55" t="s">
        <v>5188</v>
      </c>
      <c r="B472" s="55" t="s">
        <v>6846</v>
      </c>
      <c r="C472" s="55" t="s">
        <v>6432</v>
      </c>
      <c r="D472" s="55" t="s">
        <v>5219</v>
      </c>
      <c r="E472" s="55" t="s">
        <v>5194</v>
      </c>
      <c r="F472" s="55" t="s">
        <v>5195</v>
      </c>
      <c r="G472" s="55" t="s">
        <v>5198</v>
      </c>
      <c r="H472" s="55" t="s">
        <v>5199</v>
      </c>
      <c r="I472" s="55" t="s">
        <v>6433</v>
      </c>
      <c r="J472" s="55" t="s">
        <v>5189</v>
      </c>
      <c r="K472" s="55" t="s">
        <v>6434</v>
      </c>
      <c r="L472" s="55" t="s">
        <v>6435</v>
      </c>
      <c r="M472" s="55" t="s">
        <v>623</v>
      </c>
      <c r="N472" s="55" t="s">
        <v>5192</v>
      </c>
      <c r="O472" s="55" t="s">
        <v>5191</v>
      </c>
    </row>
    <row r="473" spans="1:15" ht="15.75" x14ac:dyDescent="0.25">
      <c r="A473" s="55" t="s">
        <v>5188</v>
      </c>
      <c r="B473" s="55" t="s">
        <v>8231</v>
      </c>
      <c r="C473" s="55" t="s">
        <v>8232</v>
      </c>
      <c r="D473" s="55" t="s">
        <v>8233</v>
      </c>
      <c r="E473" s="55" t="s">
        <v>8234</v>
      </c>
      <c r="F473" s="55" t="s">
        <v>8235</v>
      </c>
      <c r="G473" s="55" t="s">
        <v>8236</v>
      </c>
      <c r="H473" s="55" t="s">
        <v>8237</v>
      </c>
      <c r="I473" s="55" t="s">
        <v>8238</v>
      </c>
      <c r="J473" s="55" t="s">
        <v>5189</v>
      </c>
      <c r="K473" s="55" t="s">
        <v>8239</v>
      </c>
      <c r="L473" s="55" t="s">
        <v>8240</v>
      </c>
      <c r="M473" s="55" t="s">
        <v>4750</v>
      </c>
      <c r="N473" s="55" t="s">
        <v>5192</v>
      </c>
      <c r="O473" s="55" t="s">
        <v>5191</v>
      </c>
    </row>
    <row r="474" spans="1:15" ht="15.75" x14ac:dyDescent="0.25">
      <c r="A474" s="55" t="s">
        <v>5188</v>
      </c>
      <c r="B474" s="55" t="s">
        <v>6794</v>
      </c>
      <c r="C474" s="55" t="s">
        <v>6795</v>
      </c>
      <c r="D474" s="55" t="s">
        <v>6796</v>
      </c>
      <c r="E474" s="55" t="s">
        <v>5374</v>
      </c>
      <c r="F474" s="55" t="s">
        <v>5307</v>
      </c>
      <c r="G474" s="55" t="s">
        <v>5265</v>
      </c>
      <c r="H474" s="55" t="s">
        <v>5266</v>
      </c>
      <c r="I474" s="55" t="s">
        <v>6797</v>
      </c>
      <c r="J474" s="55" t="s">
        <v>5189</v>
      </c>
      <c r="K474" s="55" t="s">
        <v>6798</v>
      </c>
      <c r="L474" s="55" t="s">
        <v>6799</v>
      </c>
      <c r="M474" s="55" t="s">
        <v>3551</v>
      </c>
      <c r="N474" s="55" t="s">
        <v>5192</v>
      </c>
      <c r="O474" s="55" t="s">
        <v>5191</v>
      </c>
    </row>
    <row r="475" spans="1:15" ht="15.75" x14ac:dyDescent="0.25">
      <c r="A475" s="55" t="s">
        <v>5188</v>
      </c>
      <c r="B475" s="55" t="s">
        <v>6800</v>
      </c>
      <c r="C475" s="55" t="s">
        <v>6795</v>
      </c>
      <c r="D475" s="55" t="s">
        <v>6796</v>
      </c>
      <c r="E475" s="55" t="s">
        <v>5374</v>
      </c>
      <c r="F475" s="55" t="s">
        <v>5307</v>
      </c>
      <c r="G475" s="55" t="s">
        <v>5265</v>
      </c>
      <c r="H475" s="55" t="s">
        <v>5266</v>
      </c>
      <c r="I475" s="55" t="s">
        <v>6797</v>
      </c>
      <c r="J475" s="55" t="s">
        <v>5189</v>
      </c>
      <c r="K475" s="55" t="s">
        <v>6798</v>
      </c>
      <c r="L475" s="55" t="s">
        <v>6799</v>
      </c>
      <c r="M475" s="55" t="s">
        <v>3551</v>
      </c>
      <c r="N475" s="55" t="s">
        <v>5192</v>
      </c>
      <c r="O475" s="55" t="s">
        <v>5191</v>
      </c>
    </row>
    <row r="476" spans="1:15" ht="15.75" x14ac:dyDescent="0.25">
      <c r="A476" s="55" t="s">
        <v>5188</v>
      </c>
      <c r="B476" s="55" t="s">
        <v>6801</v>
      </c>
      <c r="C476" s="55" t="s">
        <v>6795</v>
      </c>
      <c r="D476" s="55" t="s">
        <v>6796</v>
      </c>
      <c r="E476" s="55" t="s">
        <v>5374</v>
      </c>
      <c r="F476" s="55" t="s">
        <v>5307</v>
      </c>
      <c r="G476" s="55" t="s">
        <v>5265</v>
      </c>
      <c r="H476" s="55" t="s">
        <v>5266</v>
      </c>
      <c r="I476" s="55" t="s">
        <v>6797</v>
      </c>
      <c r="J476" s="55" t="s">
        <v>5189</v>
      </c>
      <c r="K476" s="55" t="s">
        <v>6798</v>
      </c>
      <c r="L476" s="55" t="s">
        <v>6799</v>
      </c>
      <c r="M476" s="55" t="s">
        <v>4503</v>
      </c>
      <c r="N476" s="55" t="s">
        <v>5192</v>
      </c>
      <c r="O476" s="55" t="s">
        <v>5191</v>
      </c>
    </row>
    <row r="477" spans="1:15" ht="15.75" x14ac:dyDescent="0.25">
      <c r="A477" s="55" t="s">
        <v>5188</v>
      </c>
      <c r="B477" s="55" t="s">
        <v>6802</v>
      </c>
      <c r="C477" s="55" t="s">
        <v>6803</v>
      </c>
      <c r="D477" s="55" t="s">
        <v>6804</v>
      </c>
      <c r="E477" s="55" t="s">
        <v>6805</v>
      </c>
      <c r="F477" s="55" t="s">
        <v>6806</v>
      </c>
      <c r="G477" s="55" t="s">
        <v>6807</v>
      </c>
      <c r="H477" s="55" t="s">
        <v>6808</v>
      </c>
      <c r="I477" s="55" t="s">
        <v>6809</v>
      </c>
      <c r="J477" s="55" t="s">
        <v>5189</v>
      </c>
      <c r="K477" s="55" t="s">
        <v>6810</v>
      </c>
      <c r="L477" s="55" t="s">
        <v>6811</v>
      </c>
      <c r="M477" s="55" t="s">
        <v>3551</v>
      </c>
      <c r="N477" s="55" t="s">
        <v>5192</v>
      </c>
      <c r="O477" s="55" t="s">
        <v>5191</v>
      </c>
    </row>
    <row r="478" spans="1:15" ht="15.75" x14ac:dyDescent="0.25">
      <c r="A478" s="55" t="s">
        <v>5188</v>
      </c>
      <c r="B478" s="55" t="s">
        <v>6812</v>
      </c>
      <c r="C478" s="55" t="s">
        <v>6813</v>
      </c>
      <c r="D478" s="55" t="s">
        <v>6814</v>
      </c>
      <c r="E478" s="55" t="s">
        <v>6805</v>
      </c>
      <c r="F478" s="55" t="s">
        <v>6806</v>
      </c>
      <c r="G478" s="55" t="s">
        <v>6807</v>
      </c>
      <c r="H478" s="55" t="s">
        <v>6808</v>
      </c>
      <c r="I478" s="55" t="s">
        <v>6815</v>
      </c>
      <c r="J478" s="55" t="s">
        <v>5189</v>
      </c>
      <c r="K478" s="55" t="s">
        <v>6810</v>
      </c>
      <c r="L478" s="55" t="s">
        <v>6816</v>
      </c>
      <c r="M478" s="55" t="s">
        <v>4569</v>
      </c>
      <c r="N478" s="55" t="s">
        <v>5192</v>
      </c>
      <c r="O478" s="55" t="s">
        <v>5191</v>
      </c>
    </row>
    <row r="479" spans="1:15" ht="15.75" x14ac:dyDescent="0.25">
      <c r="A479" s="55" t="s">
        <v>5188</v>
      </c>
      <c r="B479" s="55" t="s">
        <v>6817</v>
      </c>
      <c r="C479" s="55" t="s">
        <v>6818</v>
      </c>
      <c r="D479" s="55" t="s">
        <v>5226</v>
      </c>
      <c r="E479" s="55" t="s">
        <v>5324</v>
      </c>
      <c r="F479" s="55" t="s">
        <v>5325</v>
      </c>
      <c r="G479" s="55" t="s">
        <v>5227</v>
      </c>
      <c r="H479" s="55" t="s">
        <v>5228</v>
      </c>
      <c r="I479" s="55" t="s">
        <v>6819</v>
      </c>
      <c r="J479" s="55" t="s">
        <v>5189</v>
      </c>
      <c r="K479" s="55" t="s">
        <v>6820</v>
      </c>
      <c r="L479" s="55" t="s">
        <v>6821</v>
      </c>
      <c r="M479" s="55" t="s">
        <v>4519</v>
      </c>
      <c r="N479" s="55" t="s">
        <v>5192</v>
      </c>
      <c r="O479" s="55" t="s">
        <v>5191</v>
      </c>
    </row>
    <row r="480" spans="1:15" ht="15.75" x14ac:dyDescent="0.25">
      <c r="A480" s="55" t="s">
        <v>5188</v>
      </c>
      <c r="B480" s="55" t="s">
        <v>6822</v>
      </c>
      <c r="C480" s="55" t="s">
        <v>6823</v>
      </c>
      <c r="D480" s="55" t="s">
        <v>5251</v>
      </c>
      <c r="E480" s="55" t="s">
        <v>5263</v>
      </c>
      <c r="F480" s="55" t="s">
        <v>5264</v>
      </c>
      <c r="G480" s="55" t="s">
        <v>5252</v>
      </c>
      <c r="H480" s="55" t="s">
        <v>5253</v>
      </c>
      <c r="I480" s="55" t="s">
        <v>6824</v>
      </c>
      <c r="J480" s="55" t="s">
        <v>5189</v>
      </c>
      <c r="K480" s="55" t="s">
        <v>6825</v>
      </c>
      <c r="L480" s="55" t="s">
        <v>6826</v>
      </c>
      <c r="M480" s="55" t="s">
        <v>2782</v>
      </c>
      <c r="N480" s="55" t="s">
        <v>5192</v>
      </c>
      <c r="O480" s="55" t="s">
        <v>5191</v>
      </c>
    </row>
    <row r="481" spans="1:15" ht="15.75" x14ac:dyDescent="0.25">
      <c r="A481" s="55" t="s">
        <v>5188</v>
      </c>
      <c r="B481" s="55" t="s">
        <v>6834</v>
      </c>
      <c r="C481" s="55" t="s">
        <v>6827</v>
      </c>
      <c r="D481" s="55" t="s">
        <v>6828</v>
      </c>
      <c r="E481" s="55" t="s">
        <v>6829</v>
      </c>
      <c r="F481" s="55" t="s">
        <v>6830</v>
      </c>
      <c r="G481" s="55" t="s">
        <v>5412</v>
      </c>
      <c r="H481" s="55" t="s">
        <v>5413</v>
      </c>
      <c r="I481" s="55" t="s">
        <v>6831</v>
      </c>
      <c r="J481" s="55" t="s">
        <v>5189</v>
      </c>
      <c r="K481" s="55" t="s">
        <v>6832</v>
      </c>
      <c r="L481" s="55" t="s">
        <v>6833</v>
      </c>
      <c r="M481" s="55" t="s">
        <v>4575</v>
      </c>
      <c r="N481" s="55" t="s">
        <v>5192</v>
      </c>
      <c r="O481" s="55" t="s">
        <v>5191</v>
      </c>
    </row>
    <row r="482" spans="1:15" ht="15.75" x14ac:dyDescent="0.25">
      <c r="A482" s="55" t="s">
        <v>5188</v>
      </c>
      <c r="B482" s="55" t="s">
        <v>6852</v>
      </c>
      <c r="C482" s="55" t="s">
        <v>6853</v>
      </c>
      <c r="D482" s="55" t="s">
        <v>5226</v>
      </c>
      <c r="E482" s="55" t="s">
        <v>5324</v>
      </c>
      <c r="F482" s="55" t="s">
        <v>5325</v>
      </c>
      <c r="G482" s="55" t="s">
        <v>5227</v>
      </c>
      <c r="H482" s="55" t="s">
        <v>5228</v>
      </c>
      <c r="I482" s="55" t="s">
        <v>6854</v>
      </c>
      <c r="J482" s="55" t="s">
        <v>5189</v>
      </c>
      <c r="K482" s="55" t="s">
        <v>6855</v>
      </c>
      <c r="L482" s="55" t="s">
        <v>6856</v>
      </c>
      <c r="M482" s="55" t="s">
        <v>4513</v>
      </c>
      <c r="N482" s="55" t="s">
        <v>5192</v>
      </c>
      <c r="O482" s="55" t="s">
        <v>5191</v>
      </c>
    </row>
    <row r="483" spans="1:15" ht="15.75" x14ac:dyDescent="0.25">
      <c r="A483" s="55" t="s">
        <v>5188</v>
      </c>
      <c r="B483" s="55" t="s">
        <v>6857</v>
      </c>
      <c r="C483" s="55" t="s">
        <v>6853</v>
      </c>
      <c r="D483" s="55" t="s">
        <v>5226</v>
      </c>
      <c r="E483" s="55" t="s">
        <v>5324</v>
      </c>
      <c r="F483" s="55" t="s">
        <v>5325</v>
      </c>
      <c r="G483" s="55" t="s">
        <v>5227</v>
      </c>
      <c r="H483" s="55" t="s">
        <v>5228</v>
      </c>
      <c r="I483" s="55" t="s">
        <v>6854</v>
      </c>
      <c r="J483" s="55" t="s">
        <v>5189</v>
      </c>
      <c r="K483" s="55" t="s">
        <v>6855</v>
      </c>
      <c r="L483" s="55" t="s">
        <v>6856</v>
      </c>
      <c r="M483" s="55" t="s">
        <v>972</v>
      </c>
      <c r="N483" s="55" t="s">
        <v>5192</v>
      </c>
      <c r="O483" s="55" t="s">
        <v>5191</v>
      </c>
    </row>
    <row r="484" spans="1:15" ht="15.75" x14ac:dyDescent="0.25">
      <c r="A484" s="55" t="s">
        <v>5188</v>
      </c>
      <c r="B484" s="55" t="s">
        <v>6858</v>
      </c>
      <c r="C484" s="55" t="s">
        <v>6853</v>
      </c>
      <c r="D484" s="55" t="s">
        <v>5226</v>
      </c>
      <c r="E484" s="55" t="s">
        <v>5324</v>
      </c>
      <c r="F484" s="55" t="s">
        <v>5325</v>
      </c>
      <c r="G484" s="55" t="s">
        <v>5227</v>
      </c>
      <c r="H484" s="55" t="s">
        <v>5228</v>
      </c>
      <c r="I484" s="55" t="s">
        <v>6854</v>
      </c>
      <c r="J484" s="55" t="s">
        <v>5189</v>
      </c>
      <c r="K484" s="55" t="s">
        <v>6855</v>
      </c>
      <c r="L484" s="55" t="s">
        <v>6856</v>
      </c>
      <c r="M484" s="55" t="s">
        <v>969</v>
      </c>
      <c r="N484" s="55" t="s">
        <v>5192</v>
      </c>
      <c r="O484" s="55" t="s">
        <v>5191</v>
      </c>
    </row>
    <row r="485" spans="1:15" ht="15.75" x14ac:dyDescent="0.25">
      <c r="A485" s="55" t="s">
        <v>5188</v>
      </c>
      <c r="B485" s="55" t="s">
        <v>6863</v>
      </c>
      <c r="C485" s="55" t="s">
        <v>6859</v>
      </c>
      <c r="D485" s="55" t="s">
        <v>5226</v>
      </c>
      <c r="E485" s="55" t="s">
        <v>5324</v>
      </c>
      <c r="F485" s="55" t="s">
        <v>5325</v>
      </c>
      <c r="G485" s="55" t="s">
        <v>5227</v>
      </c>
      <c r="H485" s="55" t="s">
        <v>5228</v>
      </c>
      <c r="I485" s="55" t="s">
        <v>6860</v>
      </c>
      <c r="J485" s="55" t="s">
        <v>5189</v>
      </c>
      <c r="K485" s="55" t="s">
        <v>6861</v>
      </c>
      <c r="L485" s="55" t="s">
        <v>6862</v>
      </c>
      <c r="M485" s="55" t="s">
        <v>969</v>
      </c>
      <c r="N485" s="55" t="s">
        <v>5192</v>
      </c>
      <c r="O485" s="55" t="s">
        <v>5191</v>
      </c>
    </row>
    <row r="486" spans="1:15" ht="15.75" x14ac:dyDescent="0.25">
      <c r="A486" s="55" t="s">
        <v>5188</v>
      </c>
      <c r="B486" s="55" t="s">
        <v>6864</v>
      </c>
      <c r="C486" s="55" t="s">
        <v>6865</v>
      </c>
      <c r="D486" s="55" t="s">
        <v>5251</v>
      </c>
      <c r="E486" s="55" t="s">
        <v>5263</v>
      </c>
      <c r="F486" s="55" t="s">
        <v>5264</v>
      </c>
      <c r="G486" s="55" t="s">
        <v>5252</v>
      </c>
      <c r="H486" s="55" t="s">
        <v>5253</v>
      </c>
      <c r="I486" s="55" t="s">
        <v>6866</v>
      </c>
      <c r="J486" s="55" t="s">
        <v>5189</v>
      </c>
      <c r="K486" s="55" t="s">
        <v>6867</v>
      </c>
      <c r="L486" s="55" t="s">
        <v>6868</v>
      </c>
      <c r="M486" s="55" t="s">
        <v>667</v>
      </c>
      <c r="N486" s="55" t="s">
        <v>5192</v>
      </c>
      <c r="O486" s="55" t="s">
        <v>5191</v>
      </c>
    </row>
    <row r="487" spans="1:15" ht="15.75" x14ac:dyDescent="0.25">
      <c r="A487" s="55" t="s">
        <v>5188</v>
      </c>
      <c r="B487" s="55" t="s">
        <v>6869</v>
      </c>
      <c r="C487" s="55" t="s">
        <v>6870</v>
      </c>
      <c r="D487" s="55" t="s">
        <v>5203</v>
      </c>
      <c r="E487" s="55" t="s">
        <v>5204</v>
      </c>
      <c r="F487" s="55" t="s">
        <v>5205</v>
      </c>
      <c r="G487" s="55" t="s">
        <v>5249</v>
      </c>
      <c r="H487" s="55" t="s">
        <v>5250</v>
      </c>
      <c r="I487" s="55" t="s">
        <v>6871</v>
      </c>
      <c r="J487" s="55" t="s">
        <v>5189</v>
      </c>
      <c r="K487" s="55" t="s">
        <v>6872</v>
      </c>
      <c r="L487" s="55" t="s">
        <v>6873</v>
      </c>
      <c r="M487" s="55" t="s">
        <v>4545</v>
      </c>
      <c r="N487" s="55" t="s">
        <v>5192</v>
      </c>
      <c r="O487" s="55" t="s">
        <v>5191</v>
      </c>
    </row>
    <row r="488" spans="1:15" ht="15.75" x14ac:dyDescent="0.25">
      <c r="A488" s="55" t="s">
        <v>5188</v>
      </c>
      <c r="B488" s="55" t="s">
        <v>6874</v>
      </c>
      <c r="C488" s="55" t="s">
        <v>6870</v>
      </c>
      <c r="D488" s="55" t="s">
        <v>5203</v>
      </c>
      <c r="E488" s="55" t="s">
        <v>5204</v>
      </c>
      <c r="F488" s="55" t="s">
        <v>5205</v>
      </c>
      <c r="G488" s="55" t="s">
        <v>5249</v>
      </c>
      <c r="H488" s="55" t="s">
        <v>5250</v>
      </c>
      <c r="I488" s="55" t="s">
        <v>6871</v>
      </c>
      <c r="J488" s="55" t="s">
        <v>5189</v>
      </c>
      <c r="K488" s="55" t="s">
        <v>6872</v>
      </c>
      <c r="L488" s="55" t="s">
        <v>6873</v>
      </c>
      <c r="M488" s="55" t="s">
        <v>4545</v>
      </c>
      <c r="N488" s="55" t="s">
        <v>5192</v>
      </c>
      <c r="O488" s="55" t="s">
        <v>5191</v>
      </c>
    </row>
    <row r="489" spans="1:15" ht="15.75" x14ac:dyDescent="0.25">
      <c r="A489" s="55" t="s">
        <v>5188</v>
      </c>
      <c r="B489" s="55" t="s">
        <v>6875</v>
      </c>
      <c r="C489" s="55" t="s">
        <v>6876</v>
      </c>
      <c r="D489" s="55" t="s">
        <v>6877</v>
      </c>
      <c r="E489" s="55" t="s">
        <v>5374</v>
      </c>
      <c r="F489" s="55" t="s">
        <v>5307</v>
      </c>
      <c r="G489" s="55" t="s">
        <v>5265</v>
      </c>
      <c r="H489" s="55" t="s">
        <v>5266</v>
      </c>
      <c r="I489" s="55" t="s">
        <v>6878</v>
      </c>
      <c r="J489" s="55" t="s">
        <v>5189</v>
      </c>
      <c r="K489" s="55" t="s">
        <v>6879</v>
      </c>
      <c r="L489" s="55" t="s">
        <v>6880</v>
      </c>
      <c r="M489" s="55" t="s">
        <v>2943</v>
      </c>
      <c r="N489" s="55" t="s">
        <v>5192</v>
      </c>
      <c r="O489" s="55" t="s">
        <v>5191</v>
      </c>
    </row>
    <row r="490" spans="1:15" ht="15.75" x14ac:dyDescent="0.25">
      <c r="A490" s="55" t="s">
        <v>5188</v>
      </c>
      <c r="B490" s="55" t="s">
        <v>6881</v>
      </c>
      <c r="C490" s="55" t="s">
        <v>6876</v>
      </c>
      <c r="D490" s="55" t="s">
        <v>6877</v>
      </c>
      <c r="E490" s="55" t="s">
        <v>5374</v>
      </c>
      <c r="F490" s="55" t="s">
        <v>5307</v>
      </c>
      <c r="G490" s="55" t="s">
        <v>5265</v>
      </c>
      <c r="H490" s="55" t="s">
        <v>5266</v>
      </c>
      <c r="I490" s="55" t="s">
        <v>6878</v>
      </c>
      <c r="J490" s="55" t="s">
        <v>5189</v>
      </c>
      <c r="K490" s="55" t="s">
        <v>6879</v>
      </c>
      <c r="L490" s="55" t="s">
        <v>6880</v>
      </c>
      <c r="M490" s="55" t="s">
        <v>3551</v>
      </c>
      <c r="N490" s="55" t="s">
        <v>5192</v>
      </c>
      <c r="O490" s="55" t="s">
        <v>5191</v>
      </c>
    </row>
    <row r="491" spans="1:15" ht="15.75" x14ac:dyDescent="0.25">
      <c r="A491" s="55" t="s">
        <v>5188</v>
      </c>
      <c r="B491" s="55" t="s">
        <v>6882</v>
      </c>
      <c r="C491" s="55" t="s">
        <v>6883</v>
      </c>
      <c r="D491" s="55" t="s">
        <v>5203</v>
      </c>
      <c r="E491" s="55" t="s">
        <v>5204</v>
      </c>
      <c r="F491" s="55" t="s">
        <v>5205</v>
      </c>
      <c r="G491" s="55" t="s">
        <v>5249</v>
      </c>
      <c r="H491" s="55" t="s">
        <v>5250</v>
      </c>
      <c r="I491" s="55" t="s">
        <v>6884</v>
      </c>
      <c r="J491" s="55" t="s">
        <v>5189</v>
      </c>
      <c r="K491" s="55" t="s">
        <v>6885</v>
      </c>
      <c r="L491" s="55" t="s">
        <v>6886</v>
      </c>
      <c r="M491" s="55" t="s">
        <v>4113</v>
      </c>
      <c r="N491" s="55" t="s">
        <v>5192</v>
      </c>
      <c r="O491" s="55" t="s">
        <v>5191</v>
      </c>
    </row>
    <row r="492" spans="1:15" ht="15.75" x14ac:dyDescent="0.25">
      <c r="A492" s="55" t="s">
        <v>5188</v>
      </c>
      <c r="B492" s="55" t="s">
        <v>6887</v>
      </c>
      <c r="C492" s="55" t="s">
        <v>6888</v>
      </c>
      <c r="D492" s="55" t="s">
        <v>6889</v>
      </c>
      <c r="E492" s="55" t="s">
        <v>5255</v>
      </c>
      <c r="F492" s="55" t="s">
        <v>5256</v>
      </c>
      <c r="G492" s="55" t="s">
        <v>5271</v>
      </c>
      <c r="H492" s="55" t="s">
        <v>5272</v>
      </c>
      <c r="I492" s="55" t="s">
        <v>6890</v>
      </c>
      <c r="J492" s="55" t="s">
        <v>5189</v>
      </c>
      <c r="K492" s="55" t="s">
        <v>6891</v>
      </c>
      <c r="L492" s="55" t="s">
        <v>6892</v>
      </c>
      <c r="M492" s="55" t="s">
        <v>1990</v>
      </c>
      <c r="N492" s="55" t="s">
        <v>5192</v>
      </c>
      <c r="O492" s="55" t="s">
        <v>5191</v>
      </c>
    </row>
    <row r="493" spans="1:15" ht="15.75" x14ac:dyDescent="0.25">
      <c r="A493" s="55" t="s">
        <v>5188</v>
      </c>
      <c r="B493" s="55" t="s">
        <v>6893</v>
      </c>
      <c r="C493" s="55" t="s">
        <v>6888</v>
      </c>
      <c r="D493" s="55" t="s">
        <v>6889</v>
      </c>
      <c r="E493" s="55" t="s">
        <v>5255</v>
      </c>
      <c r="F493" s="55" t="s">
        <v>5256</v>
      </c>
      <c r="G493" s="55" t="s">
        <v>5271</v>
      </c>
      <c r="H493" s="55" t="s">
        <v>5272</v>
      </c>
      <c r="I493" s="55" t="s">
        <v>6890</v>
      </c>
      <c r="J493" s="55" t="s">
        <v>5189</v>
      </c>
      <c r="K493" s="55" t="s">
        <v>6891</v>
      </c>
      <c r="L493" s="55" t="s">
        <v>6892</v>
      </c>
      <c r="M493" s="55" t="s">
        <v>227</v>
      </c>
      <c r="N493" s="55" t="s">
        <v>5192</v>
      </c>
      <c r="O493" s="55" t="s">
        <v>5191</v>
      </c>
    </row>
    <row r="494" spans="1:15" ht="15.75" x14ac:dyDescent="0.25">
      <c r="A494" s="55" t="s">
        <v>5188</v>
      </c>
      <c r="B494" s="55" t="s">
        <v>6894</v>
      </c>
      <c r="C494" s="55" t="s">
        <v>6888</v>
      </c>
      <c r="D494" s="55" t="s">
        <v>6889</v>
      </c>
      <c r="E494" s="55" t="s">
        <v>5255</v>
      </c>
      <c r="F494" s="55" t="s">
        <v>5256</v>
      </c>
      <c r="G494" s="55" t="s">
        <v>5271</v>
      </c>
      <c r="H494" s="55" t="s">
        <v>5272</v>
      </c>
      <c r="I494" s="55" t="s">
        <v>6890</v>
      </c>
      <c r="J494" s="55" t="s">
        <v>5189</v>
      </c>
      <c r="K494" s="55" t="s">
        <v>6891</v>
      </c>
      <c r="L494" s="55" t="s">
        <v>6892</v>
      </c>
      <c r="M494" s="55" t="s">
        <v>282</v>
      </c>
      <c r="N494" s="55" t="s">
        <v>5192</v>
      </c>
      <c r="O494" s="55" t="s">
        <v>5191</v>
      </c>
    </row>
    <row r="495" spans="1:15" ht="15.75" x14ac:dyDescent="0.25">
      <c r="A495" s="55" t="s">
        <v>5188</v>
      </c>
      <c r="B495" s="55" t="s">
        <v>6902</v>
      </c>
      <c r="C495" s="55" t="s">
        <v>6895</v>
      </c>
      <c r="D495" s="55" t="s">
        <v>6896</v>
      </c>
      <c r="E495" s="55" t="s">
        <v>6897</v>
      </c>
      <c r="F495" s="55" t="s">
        <v>6898</v>
      </c>
      <c r="G495" s="55" t="s">
        <v>5326</v>
      </c>
      <c r="H495" s="55" t="s">
        <v>5327</v>
      </c>
      <c r="I495" s="55" t="s">
        <v>6899</v>
      </c>
      <c r="J495" s="55" t="s">
        <v>5189</v>
      </c>
      <c r="K495" s="55" t="s">
        <v>6900</v>
      </c>
      <c r="L495" s="55" t="s">
        <v>6901</v>
      </c>
      <c r="M495" s="55" t="s">
        <v>5360</v>
      </c>
      <c r="N495" s="55" t="s">
        <v>5192</v>
      </c>
      <c r="O495" s="55" t="s">
        <v>5191</v>
      </c>
    </row>
    <row r="496" spans="1:15" ht="15.75" x14ac:dyDescent="0.25">
      <c r="A496" s="55" t="s">
        <v>5188</v>
      </c>
      <c r="B496" s="55" t="s">
        <v>6903</v>
      </c>
      <c r="C496" s="55" t="s">
        <v>6904</v>
      </c>
      <c r="D496" s="55" t="s">
        <v>5203</v>
      </c>
      <c r="E496" s="55" t="s">
        <v>5204</v>
      </c>
      <c r="F496" s="55" t="s">
        <v>5205</v>
      </c>
      <c r="G496" s="55" t="s">
        <v>5249</v>
      </c>
      <c r="H496" s="55" t="s">
        <v>5250</v>
      </c>
      <c r="I496" s="55" t="s">
        <v>6905</v>
      </c>
      <c r="J496" s="55" t="s">
        <v>5189</v>
      </c>
      <c r="K496" s="55" t="s">
        <v>6906</v>
      </c>
      <c r="L496" s="55" t="s">
        <v>6907</v>
      </c>
      <c r="M496" s="55" t="s">
        <v>5254</v>
      </c>
      <c r="N496" s="55" t="s">
        <v>5192</v>
      </c>
      <c r="O496" s="55" t="s">
        <v>5191</v>
      </c>
    </row>
    <row r="497" spans="1:15" ht="15.75" x14ac:dyDescent="0.25">
      <c r="A497" s="55" t="s">
        <v>5188</v>
      </c>
      <c r="B497" s="55" t="s">
        <v>6916</v>
      </c>
      <c r="C497" s="55" t="s">
        <v>6917</v>
      </c>
      <c r="D497" s="55" t="s">
        <v>6918</v>
      </c>
      <c r="E497" s="55" t="s">
        <v>6919</v>
      </c>
      <c r="F497" s="55" t="s">
        <v>6920</v>
      </c>
      <c r="G497" s="55" t="s">
        <v>5314</v>
      </c>
      <c r="H497" s="55" t="s">
        <v>5315</v>
      </c>
      <c r="I497" s="55" t="s">
        <v>6921</v>
      </c>
      <c r="J497" s="55" t="s">
        <v>5189</v>
      </c>
      <c r="K497" s="55" t="s">
        <v>6922</v>
      </c>
      <c r="L497" s="55" t="s">
        <v>6923</v>
      </c>
      <c r="M497" s="55" t="s">
        <v>4684</v>
      </c>
      <c r="N497" s="55" t="s">
        <v>5192</v>
      </c>
      <c r="O497" s="55" t="s">
        <v>5191</v>
      </c>
    </row>
    <row r="498" spans="1:15" ht="15.75" x14ac:dyDescent="0.25">
      <c r="A498" s="55" t="s">
        <v>5188</v>
      </c>
      <c r="B498" s="55" t="s">
        <v>8241</v>
      </c>
      <c r="C498" s="55" t="s">
        <v>7673</v>
      </c>
      <c r="D498" s="55" t="s">
        <v>7674</v>
      </c>
      <c r="E498" s="55" t="s">
        <v>7675</v>
      </c>
      <c r="F498" s="55" t="s">
        <v>7676</v>
      </c>
      <c r="G498" s="55" t="s">
        <v>5549</v>
      </c>
      <c r="H498" s="55" t="s">
        <v>5550</v>
      </c>
      <c r="I498" s="55" t="s">
        <v>7677</v>
      </c>
      <c r="J498" s="55" t="s">
        <v>5189</v>
      </c>
      <c r="K498" s="55" t="s">
        <v>7678</v>
      </c>
      <c r="L498" s="55" t="s">
        <v>7679</v>
      </c>
      <c r="M498" s="55" t="s">
        <v>4503</v>
      </c>
      <c r="N498" s="55" t="s">
        <v>5192</v>
      </c>
      <c r="O498" s="55" t="s">
        <v>5191</v>
      </c>
    </row>
    <row r="499" spans="1:15" ht="15.75" x14ac:dyDescent="0.25">
      <c r="A499" s="55" t="s">
        <v>5188</v>
      </c>
      <c r="B499" s="55" t="s">
        <v>8242</v>
      </c>
      <c r="C499" s="55" t="s">
        <v>8243</v>
      </c>
      <c r="D499" s="55" t="s">
        <v>5390</v>
      </c>
      <c r="E499" s="55" t="s">
        <v>5569</v>
      </c>
      <c r="F499" s="55" t="s">
        <v>5570</v>
      </c>
      <c r="G499" s="55" t="s">
        <v>5396</v>
      </c>
      <c r="H499" s="55" t="s">
        <v>5397</v>
      </c>
      <c r="I499" s="55" t="s">
        <v>8244</v>
      </c>
      <c r="J499" s="55" t="s">
        <v>5189</v>
      </c>
      <c r="K499" s="55" t="s">
        <v>8245</v>
      </c>
      <c r="L499" s="55" t="s">
        <v>8246</v>
      </c>
      <c r="M499" s="55" t="s">
        <v>3415</v>
      </c>
      <c r="N499" s="55" t="s">
        <v>5192</v>
      </c>
      <c r="O499" s="55" t="s">
        <v>5191</v>
      </c>
    </row>
    <row r="500" spans="1:15" ht="15.75" x14ac:dyDescent="0.25">
      <c r="A500" s="55" t="s">
        <v>5188</v>
      </c>
      <c r="B500" s="55" t="s">
        <v>8247</v>
      </c>
      <c r="C500" s="55" t="s">
        <v>7689</v>
      </c>
      <c r="D500" s="55" t="s">
        <v>7690</v>
      </c>
      <c r="E500" s="55" t="s">
        <v>7691</v>
      </c>
      <c r="F500" s="55" t="s">
        <v>7692</v>
      </c>
      <c r="G500" s="55" t="s">
        <v>7693</v>
      </c>
      <c r="H500" s="55" t="s">
        <v>7694</v>
      </c>
      <c r="I500" s="55" t="s">
        <v>7695</v>
      </c>
      <c r="J500" s="55" t="s">
        <v>5189</v>
      </c>
      <c r="K500" s="55" t="s">
        <v>7696</v>
      </c>
      <c r="L500" s="55" t="s">
        <v>7697</v>
      </c>
      <c r="M500" s="55" t="s">
        <v>4569</v>
      </c>
      <c r="N500" s="55" t="s">
        <v>5192</v>
      </c>
      <c r="O500" s="55" t="s">
        <v>5191</v>
      </c>
    </row>
    <row r="501" spans="1:15" ht="15.75" x14ac:dyDescent="0.25">
      <c r="A501" s="55" t="s">
        <v>5188</v>
      </c>
      <c r="B501" s="55" t="s">
        <v>8248</v>
      </c>
      <c r="C501" s="55" t="s">
        <v>7689</v>
      </c>
      <c r="D501" s="55" t="s">
        <v>7690</v>
      </c>
      <c r="E501" s="55" t="s">
        <v>7691</v>
      </c>
      <c r="F501" s="55" t="s">
        <v>7692</v>
      </c>
      <c r="G501" s="55" t="s">
        <v>7693</v>
      </c>
      <c r="H501" s="55" t="s">
        <v>7694</v>
      </c>
      <c r="I501" s="55" t="s">
        <v>7695</v>
      </c>
      <c r="J501" s="55" t="s">
        <v>5189</v>
      </c>
      <c r="K501" s="55" t="s">
        <v>7696</v>
      </c>
      <c r="L501" s="55" t="s">
        <v>7697</v>
      </c>
      <c r="M501" s="55" t="s">
        <v>965</v>
      </c>
      <c r="N501" s="55" t="s">
        <v>5192</v>
      </c>
      <c r="O501" s="55" t="s">
        <v>5191</v>
      </c>
    </row>
    <row r="502" spans="1:15" ht="15.75" x14ac:dyDescent="0.25">
      <c r="A502" s="55" t="s">
        <v>5188</v>
      </c>
      <c r="B502" s="55" t="s">
        <v>8249</v>
      </c>
      <c r="C502" s="55" t="s">
        <v>7689</v>
      </c>
      <c r="D502" s="55" t="s">
        <v>7690</v>
      </c>
      <c r="E502" s="55" t="s">
        <v>7691</v>
      </c>
      <c r="F502" s="55" t="s">
        <v>7692</v>
      </c>
      <c r="G502" s="55" t="s">
        <v>7693</v>
      </c>
      <c r="H502" s="55" t="s">
        <v>7694</v>
      </c>
      <c r="I502" s="55" t="s">
        <v>7695</v>
      </c>
      <c r="J502" s="55" t="s">
        <v>5189</v>
      </c>
      <c r="K502" s="55" t="s">
        <v>7696</v>
      </c>
      <c r="L502" s="55" t="s">
        <v>7697</v>
      </c>
      <c r="M502" s="55" t="s">
        <v>3551</v>
      </c>
      <c r="N502" s="55" t="s">
        <v>5192</v>
      </c>
      <c r="O502" s="55" t="s">
        <v>5191</v>
      </c>
    </row>
    <row r="503" spans="1:15" ht="15.75" x14ac:dyDescent="0.25">
      <c r="A503" s="55" t="s">
        <v>5188</v>
      </c>
      <c r="B503" s="55" t="s">
        <v>8250</v>
      </c>
      <c r="C503" s="55" t="s">
        <v>7699</v>
      </c>
      <c r="D503" s="55" t="s">
        <v>7700</v>
      </c>
      <c r="E503" s="55" t="s">
        <v>7701</v>
      </c>
      <c r="F503" s="55" t="s">
        <v>7702</v>
      </c>
      <c r="G503" s="55" t="s">
        <v>7703</v>
      </c>
      <c r="H503" s="55" t="s">
        <v>7704</v>
      </c>
      <c r="I503" s="55" t="s">
        <v>7705</v>
      </c>
      <c r="J503" s="55" t="s">
        <v>5189</v>
      </c>
      <c r="K503" s="55" t="s">
        <v>7706</v>
      </c>
      <c r="L503" s="55" t="s">
        <v>7707</v>
      </c>
      <c r="M503" s="55" t="s">
        <v>2872</v>
      </c>
      <c r="N503" s="55" t="s">
        <v>5192</v>
      </c>
      <c r="O503" s="55" t="s">
        <v>5191</v>
      </c>
    </row>
    <row r="504" spans="1:15" ht="15.75" x14ac:dyDescent="0.25">
      <c r="A504" s="55" t="s">
        <v>5188</v>
      </c>
      <c r="B504" s="55" t="s">
        <v>8251</v>
      </c>
      <c r="C504" s="55" t="s">
        <v>7699</v>
      </c>
      <c r="D504" s="55" t="s">
        <v>7700</v>
      </c>
      <c r="E504" s="55" t="s">
        <v>7701</v>
      </c>
      <c r="F504" s="55" t="s">
        <v>7702</v>
      </c>
      <c r="G504" s="55" t="s">
        <v>7703</v>
      </c>
      <c r="H504" s="55" t="s">
        <v>7704</v>
      </c>
      <c r="I504" s="55" t="s">
        <v>7705</v>
      </c>
      <c r="J504" s="55" t="s">
        <v>5189</v>
      </c>
      <c r="K504" s="55" t="s">
        <v>7706</v>
      </c>
      <c r="L504" s="55" t="s">
        <v>7707</v>
      </c>
      <c r="M504" s="55" t="s">
        <v>5232</v>
      </c>
      <c r="N504" s="55" t="s">
        <v>5192</v>
      </c>
      <c r="O504" s="55" t="s">
        <v>5191</v>
      </c>
    </row>
    <row r="505" spans="1:15" ht="15.75" x14ac:dyDescent="0.25">
      <c r="A505" s="55" t="s">
        <v>5188</v>
      </c>
      <c r="B505" s="55" t="s">
        <v>8252</v>
      </c>
      <c r="C505" s="55" t="s">
        <v>7699</v>
      </c>
      <c r="D505" s="55" t="s">
        <v>7700</v>
      </c>
      <c r="E505" s="55" t="s">
        <v>7701</v>
      </c>
      <c r="F505" s="55" t="s">
        <v>7702</v>
      </c>
      <c r="G505" s="55" t="s">
        <v>7703</v>
      </c>
      <c r="H505" s="55" t="s">
        <v>7704</v>
      </c>
      <c r="I505" s="55" t="s">
        <v>7705</v>
      </c>
      <c r="J505" s="55" t="s">
        <v>5189</v>
      </c>
      <c r="K505" s="55" t="s">
        <v>7706</v>
      </c>
      <c r="L505" s="55" t="s">
        <v>7707</v>
      </c>
      <c r="M505" s="55" t="s">
        <v>4286</v>
      </c>
      <c r="N505" s="55" t="s">
        <v>5192</v>
      </c>
      <c r="O505" s="55" t="s">
        <v>5191</v>
      </c>
    </row>
    <row r="506" spans="1:15" ht="15.75" x14ac:dyDescent="0.25">
      <c r="A506" s="55" t="s">
        <v>5188</v>
      </c>
      <c r="B506" s="55" t="s">
        <v>8253</v>
      </c>
      <c r="C506" s="55" t="s">
        <v>7699</v>
      </c>
      <c r="D506" s="55" t="s">
        <v>7700</v>
      </c>
      <c r="E506" s="55" t="s">
        <v>7701</v>
      </c>
      <c r="F506" s="55" t="s">
        <v>7702</v>
      </c>
      <c r="G506" s="55" t="s">
        <v>7703</v>
      </c>
      <c r="H506" s="55" t="s">
        <v>7704</v>
      </c>
      <c r="I506" s="55" t="s">
        <v>7705</v>
      </c>
      <c r="J506" s="55" t="s">
        <v>5189</v>
      </c>
      <c r="K506" s="55" t="s">
        <v>7706</v>
      </c>
      <c r="L506" s="55" t="s">
        <v>7707</v>
      </c>
      <c r="M506" s="55" t="s">
        <v>921</v>
      </c>
      <c r="N506" s="55" t="s">
        <v>5192</v>
      </c>
      <c r="O506" s="55" t="s">
        <v>5191</v>
      </c>
    </row>
    <row r="507" spans="1:15" ht="15.75" x14ac:dyDescent="0.25">
      <c r="A507" s="55" t="s">
        <v>5188</v>
      </c>
      <c r="B507" s="55" t="s">
        <v>8254</v>
      </c>
      <c r="C507" s="55" t="s">
        <v>7709</v>
      </c>
      <c r="D507" s="55" t="s">
        <v>7710</v>
      </c>
      <c r="E507" s="55" t="s">
        <v>7711</v>
      </c>
      <c r="F507" s="55" t="s">
        <v>7712</v>
      </c>
      <c r="G507" s="55" t="s">
        <v>5273</v>
      </c>
      <c r="H507" s="55" t="s">
        <v>5274</v>
      </c>
      <c r="I507" s="55" t="s">
        <v>7713</v>
      </c>
      <c r="J507" s="55" t="s">
        <v>5189</v>
      </c>
      <c r="K507" s="55" t="s">
        <v>7714</v>
      </c>
      <c r="L507" s="55" t="s">
        <v>7715</v>
      </c>
      <c r="M507" s="55" t="s">
        <v>4503</v>
      </c>
      <c r="N507" s="55" t="s">
        <v>5192</v>
      </c>
      <c r="O507" s="55" t="s">
        <v>5191</v>
      </c>
    </row>
    <row r="508" spans="1:15" ht="15.75" x14ac:dyDescent="0.25">
      <c r="A508" s="55" t="s">
        <v>5188</v>
      </c>
      <c r="B508" s="55" t="s">
        <v>8255</v>
      </c>
      <c r="C508" s="55" t="s">
        <v>7709</v>
      </c>
      <c r="D508" s="55" t="s">
        <v>7710</v>
      </c>
      <c r="E508" s="55" t="s">
        <v>7711</v>
      </c>
      <c r="F508" s="55" t="s">
        <v>7712</v>
      </c>
      <c r="G508" s="55" t="s">
        <v>5273</v>
      </c>
      <c r="H508" s="55" t="s">
        <v>5274</v>
      </c>
      <c r="I508" s="55" t="s">
        <v>7713</v>
      </c>
      <c r="J508" s="55" t="s">
        <v>5189</v>
      </c>
      <c r="K508" s="55" t="s">
        <v>7714</v>
      </c>
      <c r="L508" s="55" t="s">
        <v>7715</v>
      </c>
      <c r="M508" s="55" t="s">
        <v>2872</v>
      </c>
      <c r="N508" s="55" t="s">
        <v>5192</v>
      </c>
      <c r="O508" s="55" t="s">
        <v>5191</v>
      </c>
    </row>
    <row r="509" spans="1:15" ht="15.75" x14ac:dyDescent="0.25">
      <c r="A509" s="55" t="s">
        <v>5188</v>
      </c>
      <c r="B509" s="55" t="s">
        <v>8256</v>
      </c>
      <c r="C509" s="55" t="s">
        <v>7709</v>
      </c>
      <c r="D509" s="55" t="s">
        <v>7710</v>
      </c>
      <c r="E509" s="55" t="s">
        <v>7711</v>
      </c>
      <c r="F509" s="55" t="s">
        <v>7712</v>
      </c>
      <c r="G509" s="55" t="s">
        <v>5273</v>
      </c>
      <c r="H509" s="55" t="s">
        <v>5274</v>
      </c>
      <c r="I509" s="55" t="s">
        <v>7713</v>
      </c>
      <c r="J509" s="55" t="s">
        <v>5189</v>
      </c>
      <c r="K509" s="55" t="s">
        <v>7714</v>
      </c>
      <c r="L509" s="55" t="s">
        <v>7715</v>
      </c>
      <c r="M509" s="55" t="s">
        <v>4511</v>
      </c>
      <c r="N509" s="55" t="s">
        <v>5192</v>
      </c>
      <c r="O509" s="55" t="s">
        <v>5191</v>
      </c>
    </row>
    <row r="510" spans="1:15" ht="15.75" x14ac:dyDescent="0.25">
      <c r="A510" s="55" t="s">
        <v>5188</v>
      </c>
      <c r="B510" s="55" t="s">
        <v>8257</v>
      </c>
      <c r="C510" s="55" t="s">
        <v>7721</v>
      </c>
      <c r="D510" s="55" t="s">
        <v>7722</v>
      </c>
      <c r="E510" s="55" t="s">
        <v>7723</v>
      </c>
      <c r="F510" s="55" t="s">
        <v>7724</v>
      </c>
      <c r="G510" s="55" t="s">
        <v>7725</v>
      </c>
      <c r="H510" s="55" t="s">
        <v>7726</v>
      </c>
      <c r="I510" s="55" t="s">
        <v>7727</v>
      </c>
      <c r="J510" s="55" t="s">
        <v>5189</v>
      </c>
      <c r="K510" s="55" t="s">
        <v>7728</v>
      </c>
      <c r="L510" s="55" t="s">
        <v>7729</v>
      </c>
      <c r="M510" s="55" t="s">
        <v>4573</v>
      </c>
      <c r="N510" s="55" t="s">
        <v>5192</v>
      </c>
      <c r="O510" s="55" t="s">
        <v>5191</v>
      </c>
    </row>
    <row r="511" spans="1:15" ht="15.75" x14ac:dyDescent="0.25">
      <c r="A511" s="55" t="s">
        <v>5188</v>
      </c>
      <c r="B511" s="55" t="s">
        <v>8258</v>
      </c>
      <c r="C511" s="55" t="s">
        <v>7721</v>
      </c>
      <c r="D511" s="55" t="s">
        <v>7722</v>
      </c>
      <c r="E511" s="55" t="s">
        <v>7723</v>
      </c>
      <c r="F511" s="55" t="s">
        <v>7724</v>
      </c>
      <c r="G511" s="55" t="s">
        <v>7725</v>
      </c>
      <c r="H511" s="55" t="s">
        <v>7726</v>
      </c>
      <c r="I511" s="55" t="s">
        <v>7727</v>
      </c>
      <c r="J511" s="55" t="s">
        <v>5189</v>
      </c>
      <c r="K511" s="55" t="s">
        <v>7728</v>
      </c>
      <c r="L511" s="55" t="s">
        <v>7729</v>
      </c>
      <c r="M511" s="55" t="s">
        <v>4860</v>
      </c>
      <c r="N511" s="55" t="s">
        <v>5192</v>
      </c>
      <c r="O511" s="55" t="s">
        <v>5191</v>
      </c>
    </row>
    <row r="512" spans="1:15" ht="15.75" x14ac:dyDescent="0.25">
      <c r="A512" s="55" t="s">
        <v>5188</v>
      </c>
      <c r="B512" s="55" t="s">
        <v>8259</v>
      </c>
      <c r="C512" s="55" t="s">
        <v>7742</v>
      </c>
      <c r="D512" s="55" t="s">
        <v>5219</v>
      </c>
      <c r="E512" s="55" t="s">
        <v>5215</v>
      </c>
      <c r="F512" s="55" t="s">
        <v>5216</v>
      </c>
      <c r="G512" s="55" t="s">
        <v>5217</v>
      </c>
      <c r="H512" s="55" t="s">
        <v>5218</v>
      </c>
      <c r="I512" s="55" t="s">
        <v>7743</v>
      </c>
      <c r="J512" s="55" t="s">
        <v>5189</v>
      </c>
      <c r="K512" s="55" t="s">
        <v>7744</v>
      </c>
      <c r="L512" s="55" t="s">
        <v>7745</v>
      </c>
      <c r="M512" s="55" t="s">
        <v>4609</v>
      </c>
      <c r="N512" s="55" t="s">
        <v>5192</v>
      </c>
      <c r="O512" s="55" t="s">
        <v>5191</v>
      </c>
    </row>
    <row r="513" spans="1:15" ht="15.75" x14ac:dyDescent="0.25">
      <c r="A513" s="55" t="s">
        <v>5188</v>
      </c>
      <c r="B513" s="55" t="s">
        <v>8260</v>
      </c>
      <c r="C513" s="55" t="s">
        <v>7749</v>
      </c>
      <c r="D513" s="55" t="s">
        <v>5219</v>
      </c>
      <c r="E513" s="55" t="s">
        <v>5215</v>
      </c>
      <c r="F513" s="55" t="s">
        <v>5216</v>
      </c>
      <c r="G513" s="55" t="s">
        <v>5217</v>
      </c>
      <c r="H513" s="55" t="s">
        <v>5218</v>
      </c>
      <c r="I513" s="55" t="s">
        <v>7750</v>
      </c>
      <c r="J513" s="55" t="s">
        <v>5189</v>
      </c>
      <c r="K513" s="55" t="s">
        <v>7751</v>
      </c>
      <c r="L513" s="55" t="s">
        <v>7752</v>
      </c>
      <c r="M513" s="55" t="s">
        <v>4503</v>
      </c>
      <c r="N513" s="55" t="s">
        <v>5192</v>
      </c>
      <c r="O513" s="55" t="s">
        <v>5191</v>
      </c>
    </row>
    <row r="514" spans="1:15" ht="15.75" x14ac:dyDescent="0.25">
      <c r="A514" s="55" t="s">
        <v>5188</v>
      </c>
      <c r="B514" s="55" t="s">
        <v>8261</v>
      </c>
      <c r="C514" s="55" t="s">
        <v>7756</v>
      </c>
      <c r="D514" s="55" t="s">
        <v>5219</v>
      </c>
      <c r="E514" s="55" t="s">
        <v>5215</v>
      </c>
      <c r="F514" s="55" t="s">
        <v>5216</v>
      </c>
      <c r="G514" s="55" t="s">
        <v>5217</v>
      </c>
      <c r="H514" s="55" t="s">
        <v>5218</v>
      </c>
      <c r="I514" s="55" t="s">
        <v>7757</v>
      </c>
      <c r="J514" s="55" t="s">
        <v>5189</v>
      </c>
      <c r="K514" s="55" t="s">
        <v>7758</v>
      </c>
      <c r="L514" s="55" t="s">
        <v>7759</v>
      </c>
      <c r="M514" s="55" t="s">
        <v>4503</v>
      </c>
      <c r="N514" s="55" t="s">
        <v>5192</v>
      </c>
      <c r="O514" s="55" t="s">
        <v>5191</v>
      </c>
    </row>
    <row r="515" spans="1:15" ht="15.75" x14ac:dyDescent="0.25">
      <c r="A515" s="55" t="s">
        <v>5188</v>
      </c>
      <c r="B515" s="55" t="s">
        <v>8262</v>
      </c>
      <c r="C515" s="55" t="s">
        <v>7756</v>
      </c>
      <c r="D515" s="55" t="s">
        <v>5219</v>
      </c>
      <c r="E515" s="55" t="s">
        <v>5215</v>
      </c>
      <c r="F515" s="55" t="s">
        <v>5216</v>
      </c>
      <c r="G515" s="55" t="s">
        <v>5217</v>
      </c>
      <c r="H515" s="55" t="s">
        <v>5218</v>
      </c>
      <c r="I515" s="55" t="s">
        <v>7757</v>
      </c>
      <c r="J515" s="55" t="s">
        <v>5189</v>
      </c>
      <c r="K515" s="55" t="s">
        <v>7758</v>
      </c>
      <c r="L515" s="55" t="s">
        <v>7759</v>
      </c>
      <c r="M515" s="55" t="s">
        <v>5084</v>
      </c>
      <c r="N515" s="55" t="s">
        <v>5192</v>
      </c>
      <c r="O515" s="55" t="s">
        <v>5191</v>
      </c>
    </row>
    <row r="516" spans="1:15" ht="15.75" x14ac:dyDescent="0.25">
      <c r="A516" s="55" t="s">
        <v>5188</v>
      </c>
      <c r="B516" s="55" t="s">
        <v>8263</v>
      </c>
      <c r="C516" s="55" t="s">
        <v>7756</v>
      </c>
      <c r="D516" s="55" t="s">
        <v>5219</v>
      </c>
      <c r="E516" s="55" t="s">
        <v>5215</v>
      </c>
      <c r="F516" s="55" t="s">
        <v>5216</v>
      </c>
      <c r="G516" s="55" t="s">
        <v>5217</v>
      </c>
      <c r="H516" s="55" t="s">
        <v>5218</v>
      </c>
      <c r="I516" s="55" t="s">
        <v>7757</v>
      </c>
      <c r="J516" s="55" t="s">
        <v>5189</v>
      </c>
      <c r="K516" s="55" t="s">
        <v>7758</v>
      </c>
      <c r="L516" s="55" t="s">
        <v>7759</v>
      </c>
      <c r="M516" s="55" t="s">
        <v>4609</v>
      </c>
      <c r="N516" s="55" t="s">
        <v>5192</v>
      </c>
      <c r="O516" s="55" t="s">
        <v>5191</v>
      </c>
    </row>
    <row r="517" spans="1:15" ht="15.75" x14ac:dyDescent="0.25">
      <c r="A517" s="55" t="s">
        <v>5188</v>
      </c>
      <c r="B517" s="55" t="s">
        <v>8264</v>
      </c>
      <c r="C517" s="55" t="s">
        <v>7777</v>
      </c>
      <c r="D517" s="55" t="s">
        <v>5219</v>
      </c>
      <c r="E517" s="55" t="s">
        <v>5215</v>
      </c>
      <c r="F517" s="55" t="s">
        <v>5216</v>
      </c>
      <c r="G517" s="55" t="s">
        <v>5217</v>
      </c>
      <c r="H517" s="55" t="s">
        <v>5218</v>
      </c>
      <c r="I517" s="55" t="s">
        <v>8265</v>
      </c>
      <c r="J517" s="55" t="s">
        <v>5189</v>
      </c>
      <c r="K517" s="55" t="s">
        <v>7779</v>
      </c>
      <c r="L517" s="55" t="s">
        <v>7780</v>
      </c>
      <c r="M517" s="55" t="s">
        <v>4503</v>
      </c>
      <c r="N517" s="55" t="s">
        <v>5192</v>
      </c>
      <c r="O517" s="55" t="s">
        <v>5191</v>
      </c>
    </row>
    <row r="518" spans="1:15" ht="15.75" x14ac:dyDescent="0.25">
      <c r="A518" s="55" t="s">
        <v>5188</v>
      </c>
      <c r="B518" s="55" t="s">
        <v>8266</v>
      </c>
      <c r="C518" s="55" t="s">
        <v>7777</v>
      </c>
      <c r="D518" s="55" t="s">
        <v>5219</v>
      </c>
      <c r="E518" s="55" t="s">
        <v>5215</v>
      </c>
      <c r="F518" s="55" t="s">
        <v>5216</v>
      </c>
      <c r="G518" s="55" t="s">
        <v>5217</v>
      </c>
      <c r="H518" s="55" t="s">
        <v>5218</v>
      </c>
      <c r="I518" s="55" t="s">
        <v>7778</v>
      </c>
      <c r="J518" s="55" t="s">
        <v>5189</v>
      </c>
      <c r="K518" s="55" t="s">
        <v>7779</v>
      </c>
      <c r="L518" s="55" t="s">
        <v>7780</v>
      </c>
      <c r="M518" s="55" t="s">
        <v>4575</v>
      </c>
      <c r="N518" s="55" t="s">
        <v>5192</v>
      </c>
      <c r="O518" s="55" t="s">
        <v>5191</v>
      </c>
    </row>
    <row r="519" spans="1:15" ht="15.75" x14ac:dyDescent="0.25">
      <c r="A519" s="55" t="s">
        <v>5188</v>
      </c>
      <c r="B519" s="55" t="s">
        <v>8267</v>
      </c>
      <c r="C519" s="55" t="s">
        <v>7777</v>
      </c>
      <c r="D519" s="55" t="s">
        <v>5219</v>
      </c>
      <c r="E519" s="55" t="s">
        <v>5215</v>
      </c>
      <c r="F519" s="55" t="s">
        <v>5216</v>
      </c>
      <c r="G519" s="55" t="s">
        <v>5217</v>
      </c>
      <c r="H519" s="55" t="s">
        <v>5218</v>
      </c>
      <c r="I519" s="55" t="s">
        <v>7778</v>
      </c>
      <c r="J519" s="55" t="s">
        <v>5189</v>
      </c>
      <c r="K519" s="55" t="s">
        <v>7779</v>
      </c>
      <c r="L519" s="55" t="s">
        <v>7780</v>
      </c>
      <c r="M519" s="55" t="s">
        <v>5084</v>
      </c>
      <c r="N519" s="55" t="s">
        <v>5192</v>
      </c>
      <c r="O519" s="55" t="s">
        <v>5191</v>
      </c>
    </row>
    <row r="520" spans="1:15" ht="15.75" x14ac:dyDescent="0.25">
      <c r="A520" s="55" t="s">
        <v>5188</v>
      </c>
      <c r="B520" s="55" t="s">
        <v>6847</v>
      </c>
      <c r="C520" s="55" t="s">
        <v>6450</v>
      </c>
      <c r="D520" s="55" t="s">
        <v>6451</v>
      </c>
      <c r="E520" s="55" t="s">
        <v>6452</v>
      </c>
      <c r="F520" s="55" t="s">
        <v>6453</v>
      </c>
      <c r="G520" s="55" t="s">
        <v>5229</v>
      </c>
      <c r="H520" s="55" t="s">
        <v>5230</v>
      </c>
      <c r="I520" s="55" t="s">
        <v>6454</v>
      </c>
      <c r="J520" s="55" t="s">
        <v>5189</v>
      </c>
      <c r="K520" s="55" t="s">
        <v>6455</v>
      </c>
      <c r="L520" s="55" t="s">
        <v>6456</v>
      </c>
      <c r="M520" s="55" t="s">
        <v>4569</v>
      </c>
      <c r="N520" s="55" t="s">
        <v>5192</v>
      </c>
      <c r="O520" s="55" t="s">
        <v>5191</v>
      </c>
    </row>
    <row r="521" spans="1:15" ht="15.75" x14ac:dyDescent="0.25">
      <c r="A521" s="55" t="s">
        <v>5188</v>
      </c>
      <c r="B521" s="55" t="s">
        <v>6848</v>
      </c>
      <c r="C521" s="55" t="s">
        <v>6450</v>
      </c>
      <c r="D521" s="55" t="s">
        <v>6451</v>
      </c>
      <c r="E521" s="55" t="s">
        <v>6452</v>
      </c>
      <c r="F521" s="55" t="s">
        <v>6453</v>
      </c>
      <c r="G521" s="55" t="s">
        <v>5229</v>
      </c>
      <c r="H521" s="55" t="s">
        <v>5230</v>
      </c>
      <c r="I521" s="55" t="s">
        <v>6454</v>
      </c>
      <c r="J521" s="55" t="s">
        <v>5189</v>
      </c>
      <c r="K521" s="55" t="s">
        <v>6455</v>
      </c>
      <c r="L521" s="55" t="s">
        <v>6456</v>
      </c>
      <c r="M521" s="55" t="s">
        <v>4583</v>
      </c>
      <c r="N521" s="55" t="s">
        <v>5192</v>
      </c>
      <c r="O521" s="55" t="s">
        <v>5191</v>
      </c>
    </row>
    <row r="522" spans="1:15" ht="15.75" x14ac:dyDescent="0.25">
      <c r="A522" s="55" t="s">
        <v>5188</v>
      </c>
      <c r="B522" s="55" t="s">
        <v>6924</v>
      </c>
      <c r="C522" s="55" t="s">
        <v>6925</v>
      </c>
      <c r="D522" s="55" t="s">
        <v>6926</v>
      </c>
      <c r="E522" s="55" t="s">
        <v>5420</v>
      </c>
      <c r="F522" s="55" t="s">
        <v>5421</v>
      </c>
      <c r="G522" s="55" t="s">
        <v>5418</v>
      </c>
      <c r="H522" s="55" t="s">
        <v>5419</v>
      </c>
      <c r="I522" s="55" t="s">
        <v>6927</v>
      </c>
      <c r="J522" s="55" t="s">
        <v>5189</v>
      </c>
      <c r="K522" s="55" t="s">
        <v>6928</v>
      </c>
      <c r="L522" s="55" t="s">
        <v>6929</v>
      </c>
      <c r="M522" s="55" t="s">
        <v>4752</v>
      </c>
      <c r="N522" s="55" t="s">
        <v>5192</v>
      </c>
      <c r="O522" s="55" t="s">
        <v>5191</v>
      </c>
    </row>
    <row r="523" spans="1:15" ht="15.75" x14ac:dyDescent="0.25">
      <c r="A523" s="55" t="s">
        <v>5188</v>
      </c>
      <c r="B523" s="55" t="s">
        <v>6930</v>
      </c>
      <c r="C523" s="55" t="s">
        <v>6931</v>
      </c>
      <c r="D523" s="55" t="s">
        <v>6932</v>
      </c>
      <c r="E523" s="55" t="s">
        <v>6933</v>
      </c>
      <c r="F523" s="55" t="s">
        <v>6934</v>
      </c>
      <c r="G523" s="55" t="s">
        <v>6935</v>
      </c>
      <c r="H523" s="55" t="s">
        <v>6936</v>
      </c>
      <c r="I523" s="55" t="s">
        <v>6937</v>
      </c>
      <c r="J523" s="55" t="s">
        <v>5189</v>
      </c>
      <c r="K523" s="55" t="s">
        <v>6938</v>
      </c>
      <c r="L523" s="55" t="s">
        <v>6939</v>
      </c>
      <c r="M523" s="55" t="s">
        <v>965</v>
      </c>
      <c r="N523" s="55" t="s">
        <v>5192</v>
      </c>
      <c r="O523" s="55" t="s">
        <v>5191</v>
      </c>
    </row>
    <row r="524" spans="1:15" ht="15.75" x14ac:dyDescent="0.25">
      <c r="A524" s="55" t="s">
        <v>5188</v>
      </c>
      <c r="B524" s="55" t="s">
        <v>6940</v>
      </c>
      <c r="C524" s="55" t="s">
        <v>6941</v>
      </c>
      <c r="D524" s="55" t="s">
        <v>5203</v>
      </c>
      <c r="E524" s="55" t="s">
        <v>5204</v>
      </c>
      <c r="F524" s="55" t="s">
        <v>5205</v>
      </c>
      <c r="G524" s="55" t="s">
        <v>5249</v>
      </c>
      <c r="H524" s="55" t="s">
        <v>5250</v>
      </c>
      <c r="I524" s="55" t="s">
        <v>6942</v>
      </c>
      <c r="J524" s="55" t="s">
        <v>5189</v>
      </c>
      <c r="K524" s="55" t="s">
        <v>6943</v>
      </c>
      <c r="L524" s="55" t="s">
        <v>6944</v>
      </c>
      <c r="M524" s="55" t="s">
        <v>4607</v>
      </c>
      <c r="N524" s="55" t="s">
        <v>5192</v>
      </c>
      <c r="O524" s="55" t="s">
        <v>5191</v>
      </c>
    </row>
    <row r="525" spans="1:15" ht="15.75" x14ac:dyDescent="0.25">
      <c r="A525" s="55" t="s">
        <v>5188</v>
      </c>
      <c r="B525" s="55" t="s">
        <v>6945</v>
      </c>
      <c r="C525" s="55" t="s">
        <v>6946</v>
      </c>
      <c r="D525" s="55" t="s">
        <v>5203</v>
      </c>
      <c r="E525" s="55" t="s">
        <v>5204</v>
      </c>
      <c r="F525" s="55" t="s">
        <v>5205</v>
      </c>
      <c r="G525" s="55" t="s">
        <v>5249</v>
      </c>
      <c r="H525" s="55" t="s">
        <v>5250</v>
      </c>
      <c r="I525" s="55" t="s">
        <v>6947</v>
      </c>
      <c r="J525" s="55" t="s">
        <v>5189</v>
      </c>
      <c r="K525" s="55" t="s">
        <v>6948</v>
      </c>
      <c r="L525" s="55" t="s">
        <v>6949</v>
      </c>
      <c r="M525" s="55" t="s">
        <v>4864</v>
      </c>
      <c r="N525" s="55" t="s">
        <v>5192</v>
      </c>
      <c r="O525" s="55" t="s">
        <v>5191</v>
      </c>
    </row>
    <row r="526" spans="1:15" ht="15.75" x14ac:dyDescent="0.25">
      <c r="A526" s="55" t="s">
        <v>5188</v>
      </c>
      <c r="B526" s="55" t="s">
        <v>6950</v>
      </c>
      <c r="C526" s="55" t="s">
        <v>6951</v>
      </c>
      <c r="D526" s="55" t="s">
        <v>6952</v>
      </c>
      <c r="E526" s="55" t="s">
        <v>5220</v>
      </c>
      <c r="F526" s="55" t="s">
        <v>5221</v>
      </c>
      <c r="G526" s="55" t="s">
        <v>5222</v>
      </c>
      <c r="H526" s="55" t="s">
        <v>5223</v>
      </c>
      <c r="I526" s="55" t="s">
        <v>6953</v>
      </c>
      <c r="J526" s="55" t="s">
        <v>5189</v>
      </c>
      <c r="K526" s="55" t="s">
        <v>6954</v>
      </c>
      <c r="L526" s="55" t="s">
        <v>6955</v>
      </c>
      <c r="M526" s="55" t="s">
        <v>4503</v>
      </c>
      <c r="N526" s="55" t="s">
        <v>5192</v>
      </c>
      <c r="O526" s="55" t="s">
        <v>5191</v>
      </c>
    </row>
    <row r="527" spans="1:15" ht="15.75" x14ac:dyDescent="0.25">
      <c r="A527" s="55" t="s">
        <v>5188</v>
      </c>
      <c r="B527" s="55" t="s">
        <v>6956</v>
      </c>
      <c r="C527" s="55" t="s">
        <v>6957</v>
      </c>
      <c r="D527" s="55" t="s">
        <v>6958</v>
      </c>
      <c r="E527" s="55" t="s">
        <v>5411</v>
      </c>
      <c r="F527" s="55" t="s">
        <v>6959</v>
      </c>
      <c r="G527" s="55" t="s">
        <v>5412</v>
      </c>
      <c r="H527" s="55" t="s">
        <v>5413</v>
      </c>
      <c r="I527" s="55" t="s">
        <v>6960</v>
      </c>
      <c r="J527" s="55" t="s">
        <v>5189</v>
      </c>
      <c r="K527" s="55" t="s">
        <v>6961</v>
      </c>
      <c r="L527" s="55" t="s">
        <v>6962</v>
      </c>
      <c r="M527" s="55" t="s">
        <v>3411</v>
      </c>
      <c r="N527" s="55" t="s">
        <v>5192</v>
      </c>
      <c r="O527" s="55" t="s">
        <v>5191</v>
      </c>
    </row>
    <row r="528" spans="1:15" ht="15.75" x14ac:dyDescent="0.25">
      <c r="A528" s="55" t="s">
        <v>5188</v>
      </c>
      <c r="B528" s="55" t="s">
        <v>6963</v>
      </c>
      <c r="C528" s="55" t="s">
        <v>6964</v>
      </c>
      <c r="D528" s="55" t="s">
        <v>6965</v>
      </c>
      <c r="E528" s="55" t="s">
        <v>6966</v>
      </c>
      <c r="F528" s="55" t="s">
        <v>6967</v>
      </c>
      <c r="G528" s="55" t="s">
        <v>6968</v>
      </c>
      <c r="H528" s="55" t="s">
        <v>6969</v>
      </c>
      <c r="I528" s="55" t="s">
        <v>6970</v>
      </c>
      <c r="J528" s="55" t="s">
        <v>5189</v>
      </c>
      <c r="K528" s="55" t="s">
        <v>6971</v>
      </c>
      <c r="L528" s="55" t="s">
        <v>6972</v>
      </c>
      <c r="M528" s="55" t="s">
        <v>3551</v>
      </c>
      <c r="N528" s="55" t="s">
        <v>5192</v>
      </c>
      <c r="O528" s="55" t="s">
        <v>5191</v>
      </c>
    </row>
    <row r="529" spans="1:15" ht="15.75" x14ac:dyDescent="0.25">
      <c r="A529" s="55" t="s">
        <v>5188</v>
      </c>
      <c r="B529" s="55" t="s">
        <v>6973</v>
      </c>
      <c r="C529" s="55" t="s">
        <v>6974</v>
      </c>
      <c r="D529" s="55" t="s">
        <v>6975</v>
      </c>
      <c r="E529" s="55" t="s">
        <v>6976</v>
      </c>
      <c r="F529" s="55" t="s">
        <v>6977</v>
      </c>
      <c r="G529" s="55" t="s">
        <v>5322</v>
      </c>
      <c r="H529" s="55" t="s">
        <v>5323</v>
      </c>
      <c r="I529" s="55" t="s">
        <v>6978</v>
      </c>
      <c r="J529" s="55" t="s">
        <v>5189</v>
      </c>
      <c r="K529" s="55" t="s">
        <v>6979</v>
      </c>
      <c r="L529" s="55" t="s">
        <v>6980</v>
      </c>
      <c r="M529" s="55" t="s">
        <v>4944</v>
      </c>
      <c r="N529" s="55" t="s">
        <v>5192</v>
      </c>
      <c r="O529" s="55" t="s">
        <v>5191</v>
      </c>
    </row>
    <row r="530" spans="1:15" ht="15.75" x14ac:dyDescent="0.25">
      <c r="A530" s="55" t="s">
        <v>5188</v>
      </c>
      <c r="B530" s="55" t="s">
        <v>6981</v>
      </c>
      <c r="C530" s="55" t="s">
        <v>6982</v>
      </c>
      <c r="D530" s="55" t="s">
        <v>5226</v>
      </c>
      <c r="E530" s="55" t="s">
        <v>5324</v>
      </c>
      <c r="F530" s="55" t="s">
        <v>5325</v>
      </c>
      <c r="G530" s="55" t="s">
        <v>5227</v>
      </c>
      <c r="H530" s="55" t="s">
        <v>5228</v>
      </c>
      <c r="I530" s="55" t="s">
        <v>6983</v>
      </c>
      <c r="J530" s="55" t="s">
        <v>5189</v>
      </c>
      <c r="K530" s="55" t="s">
        <v>6984</v>
      </c>
      <c r="L530" s="55" t="s">
        <v>6985</v>
      </c>
      <c r="M530" s="55" t="s">
        <v>3411</v>
      </c>
      <c r="N530" s="55" t="s">
        <v>5192</v>
      </c>
      <c r="O530" s="55" t="s">
        <v>5191</v>
      </c>
    </row>
    <row r="531" spans="1:15" ht="15.75" x14ac:dyDescent="0.25">
      <c r="A531" s="55" t="s">
        <v>5188</v>
      </c>
      <c r="B531" s="55" t="s">
        <v>6986</v>
      </c>
      <c r="C531" s="55" t="s">
        <v>6982</v>
      </c>
      <c r="D531" s="55" t="s">
        <v>5226</v>
      </c>
      <c r="E531" s="55" t="s">
        <v>5324</v>
      </c>
      <c r="F531" s="55" t="s">
        <v>5325</v>
      </c>
      <c r="G531" s="55" t="s">
        <v>5227</v>
      </c>
      <c r="H531" s="55" t="s">
        <v>5228</v>
      </c>
      <c r="I531" s="55" t="s">
        <v>6983</v>
      </c>
      <c r="J531" s="55" t="s">
        <v>5189</v>
      </c>
      <c r="K531" s="55" t="s">
        <v>6984</v>
      </c>
      <c r="L531" s="55" t="s">
        <v>6985</v>
      </c>
      <c r="M531" s="55" t="s">
        <v>6987</v>
      </c>
      <c r="N531" s="55" t="s">
        <v>5192</v>
      </c>
      <c r="O531" s="55" t="s">
        <v>5191</v>
      </c>
    </row>
    <row r="532" spans="1:15" ht="15.75" x14ac:dyDescent="0.25">
      <c r="A532" s="55" t="s">
        <v>5188</v>
      </c>
      <c r="B532" s="55" t="s">
        <v>6988</v>
      </c>
      <c r="C532" s="55" t="s">
        <v>6982</v>
      </c>
      <c r="D532" s="55" t="s">
        <v>5226</v>
      </c>
      <c r="E532" s="55" t="s">
        <v>5324</v>
      </c>
      <c r="F532" s="55" t="s">
        <v>5325</v>
      </c>
      <c r="G532" s="55" t="s">
        <v>5227</v>
      </c>
      <c r="H532" s="55" t="s">
        <v>5228</v>
      </c>
      <c r="I532" s="55" t="s">
        <v>6983</v>
      </c>
      <c r="J532" s="55" t="s">
        <v>5189</v>
      </c>
      <c r="K532" s="55" t="s">
        <v>6984</v>
      </c>
      <c r="L532" s="55" t="s">
        <v>6985</v>
      </c>
      <c r="M532" s="55" t="s">
        <v>2872</v>
      </c>
      <c r="N532" s="55" t="s">
        <v>5192</v>
      </c>
      <c r="O532" s="55" t="s">
        <v>5191</v>
      </c>
    </row>
    <row r="533" spans="1:15" ht="15.75" x14ac:dyDescent="0.25">
      <c r="A533" s="55" t="s">
        <v>5188</v>
      </c>
      <c r="B533" s="55" t="s">
        <v>6989</v>
      </c>
      <c r="C533" s="55" t="s">
        <v>6982</v>
      </c>
      <c r="D533" s="55" t="s">
        <v>5226</v>
      </c>
      <c r="E533" s="55" t="s">
        <v>5324</v>
      </c>
      <c r="F533" s="55" t="s">
        <v>5325</v>
      </c>
      <c r="G533" s="55" t="s">
        <v>5227</v>
      </c>
      <c r="H533" s="55" t="s">
        <v>5228</v>
      </c>
      <c r="I533" s="55" t="s">
        <v>6983</v>
      </c>
      <c r="J533" s="55" t="s">
        <v>5189</v>
      </c>
      <c r="K533" s="55" t="s">
        <v>6984</v>
      </c>
      <c r="L533" s="55" t="s">
        <v>6985</v>
      </c>
      <c r="M533" s="55" t="s">
        <v>6990</v>
      </c>
      <c r="N533" s="55" t="s">
        <v>5192</v>
      </c>
      <c r="O533" s="55" t="s">
        <v>5191</v>
      </c>
    </row>
    <row r="534" spans="1:15" ht="15.75" x14ac:dyDescent="0.25">
      <c r="A534" s="55" t="s">
        <v>5188</v>
      </c>
      <c r="B534" s="55" t="s">
        <v>6991</v>
      </c>
      <c r="C534" s="55" t="s">
        <v>6992</v>
      </c>
      <c r="D534" s="55" t="s">
        <v>6993</v>
      </c>
      <c r="E534" s="55" t="s">
        <v>6994</v>
      </c>
      <c r="F534" s="55" t="s">
        <v>6995</v>
      </c>
      <c r="G534" s="55" t="s">
        <v>6996</v>
      </c>
      <c r="H534" s="55" t="s">
        <v>6997</v>
      </c>
      <c r="I534" s="55" t="s">
        <v>6370</v>
      </c>
      <c r="J534" s="55" t="s">
        <v>5189</v>
      </c>
      <c r="K534" s="55" t="s">
        <v>6998</v>
      </c>
      <c r="L534" s="55" t="s">
        <v>6999</v>
      </c>
      <c r="M534" s="55" t="s">
        <v>3551</v>
      </c>
      <c r="N534" s="55" t="s">
        <v>5192</v>
      </c>
      <c r="O534" s="55" t="s">
        <v>5191</v>
      </c>
    </row>
    <row r="535" spans="1:15" ht="15.75" x14ac:dyDescent="0.25">
      <c r="A535" s="55" t="s">
        <v>5188</v>
      </c>
      <c r="B535" s="55" t="s">
        <v>7000</v>
      </c>
      <c r="C535" s="55" t="s">
        <v>6992</v>
      </c>
      <c r="D535" s="55" t="s">
        <v>6993</v>
      </c>
      <c r="E535" s="55" t="s">
        <v>6994</v>
      </c>
      <c r="F535" s="55" t="s">
        <v>6995</v>
      </c>
      <c r="G535" s="55" t="s">
        <v>6996</v>
      </c>
      <c r="H535" s="55" t="s">
        <v>6997</v>
      </c>
      <c r="I535" s="55" t="s">
        <v>6370</v>
      </c>
      <c r="J535" s="55" t="s">
        <v>5189</v>
      </c>
      <c r="K535" s="55" t="s">
        <v>6998</v>
      </c>
      <c r="L535" s="55" t="s">
        <v>6999</v>
      </c>
      <c r="M535" s="55" t="s">
        <v>2872</v>
      </c>
      <c r="N535" s="55" t="s">
        <v>5192</v>
      </c>
      <c r="O535" s="55" t="s">
        <v>5191</v>
      </c>
    </row>
    <row r="536" spans="1:15" ht="15.75" x14ac:dyDescent="0.25">
      <c r="A536" s="55" t="s">
        <v>5188</v>
      </c>
      <c r="B536" s="55" t="s">
        <v>7001</v>
      </c>
      <c r="C536" s="55" t="s">
        <v>7002</v>
      </c>
      <c r="D536" s="55" t="s">
        <v>7003</v>
      </c>
      <c r="E536" s="55" t="s">
        <v>7004</v>
      </c>
      <c r="F536" s="55" t="s">
        <v>7005</v>
      </c>
      <c r="G536" s="55" t="s">
        <v>7006</v>
      </c>
      <c r="H536" s="55" t="s">
        <v>7007</v>
      </c>
      <c r="I536" s="55" t="s">
        <v>7008</v>
      </c>
      <c r="J536" s="55" t="s">
        <v>5189</v>
      </c>
      <c r="K536" s="55" t="s">
        <v>7009</v>
      </c>
      <c r="L536" s="55" t="s">
        <v>7010</v>
      </c>
      <c r="M536" s="55" t="s">
        <v>3411</v>
      </c>
      <c r="N536" s="55" t="s">
        <v>5192</v>
      </c>
      <c r="O536" s="55" t="s">
        <v>5191</v>
      </c>
    </row>
    <row r="537" spans="1:15" ht="15.75" x14ac:dyDescent="0.25">
      <c r="A537" s="55" t="s">
        <v>5188</v>
      </c>
      <c r="B537" s="55" t="s">
        <v>7011</v>
      </c>
      <c r="C537" s="55" t="s">
        <v>7012</v>
      </c>
      <c r="D537" s="55" t="s">
        <v>7013</v>
      </c>
      <c r="E537" s="55" t="s">
        <v>5319</v>
      </c>
      <c r="F537" s="55" t="s">
        <v>5306</v>
      </c>
      <c r="G537" s="55" t="s">
        <v>5320</v>
      </c>
      <c r="H537" s="55" t="s">
        <v>5321</v>
      </c>
      <c r="I537" s="55" t="s">
        <v>7014</v>
      </c>
      <c r="J537" s="55" t="s">
        <v>5189</v>
      </c>
      <c r="K537" s="55" t="s">
        <v>7015</v>
      </c>
      <c r="L537" s="55" t="s">
        <v>7016</v>
      </c>
      <c r="M537" s="55" t="s">
        <v>4846</v>
      </c>
      <c r="N537" s="55" t="s">
        <v>5192</v>
      </c>
      <c r="O537" s="55" t="s">
        <v>5191</v>
      </c>
    </row>
    <row r="538" spans="1:15" ht="15.75" x14ac:dyDescent="0.25">
      <c r="A538" s="55" t="s">
        <v>5188</v>
      </c>
      <c r="B538" s="55" t="s">
        <v>7017</v>
      </c>
      <c r="C538" s="55" t="s">
        <v>7012</v>
      </c>
      <c r="D538" s="55" t="s">
        <v>7013</v>
      </c>
      <c r="E538" s="55" t="s">
        <v>5319</v>
      </c>
      <c r="F538" s="55" t="s">
        <v>5306</v>
      </c>
      <c r="G538" s="55" t="s">
        <v>5320</v>
      </c>
      <c r="H538" s="55" t="s">
        <v>5321</v>
      </c>
      <c r="I538" s="55" t="s">
        <v>7014</v>
      </c>
      <c r="J538" s="55" t="s">
        <v>5189</v>
      </c>
      <c r="K538" s="55" t="s">
        <v>7015</v>
      </c>
      <c r="L538" s="55" t="s">
        <v>7016</v>
      </c>
      <c r="M538" s="55" t="s">
        <v>4846</v>
      </c>
      <c r="N538" s="55" t="s">
        <v>5192</v>
      </c>
      <c r="O538" s="55" t="s">
        <v>5191</v>
      </c>
    </row>
    <row r="539" spans="1:15" ht="15.75" x14ac:dyDescent="0.25">
      <c r="A539" s="55" t="s">
        <v>5188</v>
      </c>
      <c r="B539" s="55" t="s">
        <v>7018</v>
      </c>
      <c r="C539" s="55" t="s">
        <v>7019</v>
      </c>
      <c r="D539" s="55" t="s">
        <v>7020</v>
      </c>
      <c r="E539" s="55" t="s">
        <v>7021</v>
      </c>
      <c r="F539" s="55" t="s">
        <v>7022</v>
      </c>
      <c r="G539" s="55" t="s">
        <v>7023</v>
      </c>
      <c r="H539" s="55" t="s">
        <v>7024</v>
      </c>
      <c r="I539" s="55" t="s">
        <v>7025</v>
      </c>
      <c r="J539" s="55" t="s">
        <v>5189</v>
      </c>
      <c r="K539" s="55" t="s">
        <v>7026</v>
      </c>
      <c r="L539" s="55" t="s">
        <v>7027</v>
      </c>
      <c r="M539" s="55" t="s">
        <v>5141</v>
      </c>
      <c r="N539" s="55" t="s">
        <v>5192</v>
      </c>
      <c r="O539" s="55" t="s">
        <v>5191</v>
      </c>
    </row>
    <row r="540" spans="1:15" ht="15.75" x14ac:dyDescent="0.25">
      <c r="A540" s="55" t="s">
        <v>5188</v>
      </c>
      <c r="B540" s="55" t="s">
        <v>7028</v>
      </c>
      <c r="C540" s="55" t="s">
        <v>7019</v>
      </c>
      <c r="D540" s="55" t="s">
        <v>7020</v>
      </c>
      <c r="E540" s="55" t="s">
        <v>7021</v>
      </c>
      <c r="F540" s="55" t="s">
        <v>7022</v>
      </c>
      <c r="G540" s="55" t="s">
        <v>7023</v>
      </c>
      <c r="H540" s="55" t="s">
        <v>7024</v>
      </c>
      <c r="I540" s="55" t="s">
        <v>7025</v>
      </c>
      <c r="J540" s="55" t="s">
        <v>5189</v>
      </c>
      <c r="K540" s="55" t="s">
        <v>7026</v>
      </c>
      <c r="L540" s="55" t="s">
        <v>7027</v>
      </c>
      <c r="M540" s="55" t="s">
        <v>5960</v>
      </c>
      <c r="N540" s="55" t="s">
        <v>5192</v>
      </c>
      <c r="O540" s="55" t="s">
        <v>5191</v>
      </c>
    </row>
    <row r="541" spans="1:15" ht="15.75" x14ac:dyDescent="0.25">
      <c r="A541" s="55" t="s">
        <v>5188</v>
      </c>
      <c r="B541" s="55" t="s">
        <v>7029</v>
      </c>
      <c r="C541" s="55" t="s">
        <v>7030</v>
      </c>
      <c r="D541" s="55" t="s">
        <v>7031</v>
      </c>
      <c r="E541" s="55" t="s">
        <v>7032</v>
      </c>
      <c r="F541" s="55" t="s">
        <v>7033</v>
      </c>
      <c r="G541" s="55" t="s">
        <v>7034</v>
      </c>
      <c r="H541" s="55" t="s">
        <v>7035</v>
      </c>
      <c r="I541" s="55" t="s">
        <v>7036</v>
      </c>
      <c r="J541" s="55" t="s">
        <v>5189</v>
      </c>
      <c r="K541" s="55" t="s">
        <v>7037</v>
      </c>
      <c r="L541" s="55" t="s">
        <v>7038</v>
      </c>
      <c r="M541" s="55" t="s">
        <v>4521</v>
      </c>
      <c r="N541" s="55" t="s">
        <v>5192</v>
      </c>
      <c r="O541" s="55" t="s">
        <v>5191</v>
      </c>
    </row>
    <row r="542" spans="1:15" ht="15.75" x14ac:dyDescent="0.25">
      <c r="A542" s="55" t="s">
        <v>5188</v>
      </c>
      <c r="B542" s="55" t="s">
        <v>7039</v>
      </c>
      <c r="C542" s="55" t="s">
        <v>7040</v>
      </c>
      <c r="D542" s="55" t="s">
        <v>7041</v>
      </c>
      <c r="E542" s="55" t="s">
        <v>5261</v>
      </c>
      <c r="F542" s="55" t="s">
        <v>5262</v>
      </c>
      <c r="G542" s="55" t="s">
        <v>7042</v>
      </c>
      <c r="H542" s="55" t="s">
        <v>7043</v>
      </c>
      <c r="I542" s="55" t="s">
        <v>7044</v>
      </c>
      <c r="J542" s="55" t="s">
        <v>5189</v>
      </c>
      <c r="K542" s="55" t="s">
        <v>7045</v>
      </c>
      <c r="L542" s="55" t="s">
        <v>7046</v>
      </c>
      <c r="M542" s="55" t="s">
        <v>2782</v>
      </c>
      <c r="N542" s="55" t="s">
        <v>5192</v>
      </c>
      <c r="O542" s="55" t="s">
        <v>5191</v>
      </c>
    </row>
    <row r="543" spans="1:15" ht="15.75" x14ac:dyDescent="0.25">
      <c r="A543" s="55" t="s">
        <v>5188</v>
      </c>
      <c r="B543" s="55" t="s">
        <v>7047</v>
      </c>
      <c r="C543" s="55" t="s">
        <v>7040</v>
      </c>
      <c r="D543" s="55" t="s">
        <v>7041</v>
      </c>
      <c r="E543" s="55" t="s">
        <v>5261</v>
      </c>
      <c r="F543" s="55" t="s">
        <v>5262</v>
      </c>
      <c r="G543" s="55" t="s">
        <v>7042</v>
      </c>
      <c r="H543" s="55" t="s">
        <v>7043</v>
      </c>
      <c r="I543" s="55" t="s">
        <v>7044</v>
      </c>
      <c r="J543" s="55" t="s">
        <v>5189</v>
      </c>
      <c r="K543" s="55" t="s">
        <v>7045</v>
      </c>
      <c r="L543" s="55" t="s">
        <v>7046</v>
      </c>
      <c r="M543" s="55" t="s">
        <v>23</v>
      </c>
      <c r="N543" s="55" t="s">
        <v>5192</v>
      </c>
      <c r="O543" s="55" t="s">
        <v>5191</v>
      </c>
    </row>
    <row r="544" spans="1:15" ht="15.75" x14ac:dyDescent="0.25">
      <c r="A544" s="55" t="s">
        <v>5188</v>
      </c>
      <c r="B544" s="55" t="s">
        <v>7048</v>
      </c>
      <c r="C544" s="55" t="s">
        <v>7049</v>
      </c>
      <c r="D544" s="55" t="s">
        <v>7050</v>
      </c>
      <c r="E544" s="55" t="s">
        <v>5261</v>
      </c>
      <c r="F544" s="55" t="s">
        <v>5262</v>
      </c>
      <c r="G544" s="55" t="s">
        <v>7042</v>
      </c>
      <c r="H544" s="55" t="s">
        <v>7043</v>
      </c>
      <c r="I544" s="55" t="s">
        <v>7051</v>
      </c>
      <c r="J544" s="55" t="s">
        <v>5189</v>
      </c>
      <c r="K544" s="55" t="s">
        <v>7052</v>
      </c>
      <c r="L544" s="55" t="s">
        <v>7053</v>
      </c>
      <c r="M544" s="55" t="s">
        <v>653</v>
      </c>
      <c r="N544" s="55" t="s">
        <v>5192</v>
      </c>
      <c r="O544" s="55" t="s">
        <v>5191</v>
      </c>
    </row>
    <row r="545" spans="1:15" ht="15.75" x14ac:dyDescent="0.25">
      <c r="A545" s="55" t="s">
        <v>5188</v>
      </c>
      <c r="B545" s="55" t="s">
        <v>7054</v>
      </c>
      <c r="C545" s="55" t="s">
        <v>7055</v>
      </c>
      <c r="D545" s="55" t="s">
        <v>5226</v>
      </c>
      <c r="E545" s="55" t="s">
        <v>5375</v>
      </c>
      <c r="F545" s="55" t="s">
        <v>5304</v>
      </c>
      <c r="G545" s="55" t="s">
        <v>5227</v>
      </c>
      <c r="H545" s="55" t="s">
        <v>5228</v>
      </c>
      <c r="I545" s="55" t="s">
        <v>7056</v>
      </c>
      <c r="J545" s="55" t="s">
        <v>5189</v>
      </c>
      <c r="K545" s="55" t="s">
        <v>7057</v>
      </c>
      <c r="L545" s="55" t="s">
        <v>7058</v>
      </c>
      <c r="M545" s="55" t="s">
        <v>2943</v>
      </c>
      <c r="N545" s="55" t="s">
        <v>5192</v>
      </c>
      <c r="O545" s="55" t="s">
        <v>5191</v>
      </c>
    </row>
    <row r="546" spans="1:15" ht="15.75" x14ac:dyDescent="0.25">
      <c r="A546" s="55" t="s">
        <v>5188</v>
      </c>
      <c r="B546" s="55" t="s">
        <v>7133</v>
      </c>
      <c r="C546" s="55" t="s">
        <v>7134</v>
      </c>
      <c r="D546" s="55" t="s">
        <v>5203</v>
      </c>
      <c r="E546" s="55" t="s">
        <v>5204</v>
      </c>
      <c r="F546" s="55" t="s">
        <v>5205</v>
      </c>
      <c r="G546" s="55" t="s">
        <v>5249</v>
      </c>
      <c r="H546" s="55" t="s">
        <v>5250</v>
      </c>
      <c r="I546" s="55" t="s">
        <v>7135</v>
      </c>
      <c r="J546" s="55" t="s">
        <v>5189</v>
      </c>
      <c r="K546" s="55" t="s">
        <v>7136</v>
      </c>
      <c r="L546" s="55" t="s">
        <v>7137</v>
      </c>
      <c r="M546" s="55" t="s">
        <v>4866</v>
      </c>
      <c r="N546" s="55" t="s">
        <v>5192</v>
      </c>
      <c r="O546" s="55" t="s">
        <v>5191</v>
      </c>
    </row>
    <row r="547" spans="1:15" ht="15.75" x14ac:dyDescent="0.25">
      <c r="A547" s="55" t="s">
        <v>5188</v>
      </c>
      <c r="B547" s="55" t="s">
        <v>7138</v>
      </c>
      <c r="C547" s="55" t="s">
        <v>7134</v>
      </c>
      <c r="D547" s="55" t="s">
        <v>5203</v>
      </c>
      <c r="E547" s="55" t="s">
        <v>5204</v>
      </c>
      <c r="F547" s="55" t="s">
        <v>5205</v>
      </c>
      <c r="G547" s="55" t="s">
        <v>5249</v>
      </c>
      <c r="H547" s="55" t="s">
        <v>5250</v>
      </c>
      <c r="I547" s="55" t="s">
        <v>7135</v>
      </c>
      <c r="J547" s="55" t="s">
        <v>5189</v>
      </c>
      <c r="K547" s="55" t="s">
        <v>7136</v>
      </c>
      <c r="L547" s="55" t="s">
        <v>7137</v>
      </c>
      <c r="M547" s="55" t="s">
        <v>1098</v>
      </c>
      <c r="N547" s="55" t="s">
        <v>5192</v>
      </c>
      <c r="O547" s="55" t="s">
        <v>5191</v>
      </c>
    </row>
    <row r="548" spans="1:15" ht="15.75" x14ac:dyDescent="0.25">
      <c r="A548" s="55" t="s">
        <v>5188</v>
      </c>
      <c r="B548" s="55" t="s">
        <v>7139</v>
      </c>
      <c r="C548" s="55" t="s">
        <v>7140</v>
      </c>
      <c r="D548" s="55" t="s">
        <v>7141</v>
      </c>
      <c r="E548" s="55" t="s">
        <v>7142</v>
      </c>
      <c r="F548" s="55" t="s">
        <v>7143</v>
      </c>
      <c r="G548" s="55" t="s">
        <v>5259</v>
      </c>
      <c r="H548" s="55" t="s">
        <v>5260</v>
      </c>
      <c r="I548" s="55" t="s">
        <v>7144</v>
      </c>
      <c r="J548" s="55" t="s">
        <v>5189</v>
      </c>
      <c r="K548" s="55" t="s">
        <v>7145</v>
      </c>
      <c r="L548" s="55" t="s">
        <v>7146</v>
      </c>
      <c r="M548" s="55" t="s">
        <v>4569</v>
      </c>
      <c r="N548" s="55" t="s">
        <v>5192</v>
      </c>
      <c r="O548" s="55" t="s">
        <v>5191</v>
      </c>
    </row>
    <row r="549" spans="1:15" ht="15.75" x14ac:dyDescent="0.25">
      <c r="A549" s="55" t="s">
        <v>5188</v>
      </c>
      <c r="B549" s="55" t="s">
        <v>7147</v>
      </c>
      <c r="C549" s="55" t="s">
        <v>7148</v>
      </c>
      <c r="D549" s="55" t="s">
        <v>7149</v>
      </c>
      <c r="E549" s="55" t="s">
        <v>7150</v>
      </c>
      <c r="F549" s="55" t="s">
        <v>7151</v>
      </c>
      <c r="G549" s="55" t="s">
        <v>7152</v>
      </c>
      <c r="H549" s="55" t="s">
        <v>7153</v>
      </c>
      <c r="I549" s="55" t="s">
        <v>7154</v>
      </c>
      <c r="J549" s="55" t="s">
        <v>5189</v>
      </c>
      <c r="K549" s="55" t="s">
        <v>7155</v>
      </c>
      <c r="L549" s="55" t="s">
        <v>7156</v>
      </c>
      <c r="M549" s="55" t="s">
        <v>4758</v>
      </c>
      <c r="N549" s="55" t="s">
        <v>5192</v>
      </c>
      <c r="O549" s="55" t="s">
        <v>5191</v>
      </c>
    </row>
    <row r="550" spans="1:15" ht="15.75" x14ac:dyDescent="0.25">
      <c r="A550" s="55" t="s">
        <v>5188</v>
      </c>
      <c r="B550" s="55" t="s">
        <v>7157</v>
      </c>
      <c r="C550" s="55" t="s">
        <v>7158</v>
      </c>
      <c r="D550" s="55" t="s">
        <v>7159</v>
      </c>
      <c r="E550" s="55" t="s">
        <v>7160</v>
      </c>
      <c r="F550" s="55" t="s">
        <v>7161</v>
      </c>
      <c r="G550" s="55" t="s">
        <v>5259</v>
      </c>
      <c r="H550" s="55" t="s">
        <v>5260</v>
      </c>
      <c r="I550" s="55" t="s">
        <v>7162</v>
      </c>
      <c r="J550" s="55" t="s">
        <v>5189</v>
      </c>
      <c r="K550" s="55" t="s">
        <v>7163</v>
      </c>
      <c r="L550" s="55" t="s">
        <v>7164</v>
      </c>
      <c r="M550" s="55" t="s">
        <v>4944</v>
      </c>
      <c r="N550" s="55" t="s">
        <v>5192</v>
      </c>
      <c r="O550" s="55" t="s">
        <v>5191</v>
      </c>
    </row>
    <row r="551" spans="1:15" ht="15.75" x14ac:dyDescent="0.25">
      <c r="A551" s="55" t="s">
        <v>5188</v>
      </c>
      <c r="B551" s="55" t="s">
        <v>7165</v>
      </c>
      <c r="C551" s="55" t="s">
        <v>7166</v>
      </c>
      <c r="D551" s="55" t="s">
        <v>7167</v>
      </c>
      <c r="E551" s="55" t="s">
        <v>7168</v>
      </c>
      <c r="F551" s="55" t="s">
        <v>7169</v>
      </c>
      <c r="G551" s="55" t="s">
        <v>7006</v>
      </c>
      <c r="H551" s="55" t="s">
        <v>7007</v>
      </c>
      <c r="I551" s="55" t="s">
        <v>7170</v>
      </c>
      <c r="J551" s="55" t="s">
        <v>5189</v>
      </c>
      <c r="K551" s="55" t="s">
        <v>7171</v>
      </c>
      <c r="L551" s="55" t="s">
        <v>7172</v>
      </c>
      <c r="M551" s="55" t="s">
        <v>3551</v>
      </c>
      <c r="N551" s="55" t="s">
        <v>5192</v>
      </c>
      <c r="O551" s="55" t="s">
        <v>5191</v>
      </c>
    </row>
    <row r="552" spans="1:15" ht="15.75" x14ac:dyDescent="0.25">
      <c r="A552" s="55" t="s">
        <v>5188</v>
      </c>
      <c r="B552" s="55" t="s">
        <v>7173</v>
      </c>
      <c r="C552" s="55" t="s">
        <v>7166</v>
      </c>
      <c r="D552" s="55" t="s">
        <v>7167</v>
      </c>
      <c r="E552" s="55" t="s">
        <v>7168</v>
      </c>
      <c r="F552" s="55" t="s">
        <v>7169</v>
      </c>
      <c r="G552" s="55" t="s">
        <v>7006</v>
      </c>
      <c r="H552" s="55" t="s">
        <v>7007</v>
      </c>
      <c r="I552" s="55" t="s">
        <v>7170</v>
      </c>
      <c r="J552" s="55" t="s">
        <v>5189</v>
      </c>
      <c r="K552" s="55" t="s">
        <v>7171</v>
      </c>
      <c r="L552" s="55" t="s">
        <v>7172</v>
      </c>
      <c r="M552" s="55" t="s">
        <v>2872</v>
      </c>
      <c r="N552" s="55" t="s">
        <v>5192</v>
      </c>
      <c r="O552" s="55" t="s">
        <v>5191</v>
      </c>
    </row>
    <row r="553" spans="1:15" ht="15.75" x14ac:dyDescent="0.25">
      <c r="A553" s="55" t="s">
        <v>5188</v>
      </c>
      <c r="B553" s="55" t="s">
        <v>7174</v>
      </c>
      <c r="C553" s="55" t="s">
        <v>7175</v>
      </c>
      <c r="D553" s="55" t="s">
        <v>7176</v>
      </c>
      <c r="E553" s="55" t="s">
        <v>7177</v>
      </c>
      <c r="F553" s="55" t="s">
        <v>7178</v>
      </c>
      <c r="G553" s="55" t="s">
        <v>5257</v>
      </c>
      <c r="H553" s="55" t="s">
        <v>5258</v>
      </c>
      <c r="I553" s="55" t="s">
        <v>7179</v>
      </c>
      <c r="J553" s="55" t="s">
        <v>5189</v>
      </c>
      <c r="K553" s="55" t="s">
        <v>7180</v>
      </c>
      <c r="L553" s="55" t="s">
        <v>7181</v>
      </c>
      <c r="M553" s="55" t="s">
        <v>4565</v>
      </c>
      <c r="N553" s="55" t="s">
        <v>5192</v>
      </c>
      <c r="O553" s="55" t="s">
        <v>5191</v>
      </c>
    </row>
    <row r="554" spans="1:15" ht="15.75" x14ac:dyDescent="0.25">
      <c r="A554" s="55" t="s">
        <v>5188</v>
      </c>
      <c r="B554" s="55" t="s">
        <v>7182</v>
      </c>
      <c r="C554" s="55" t="s">
        <v>7175</v>
      </c>
      <c r="D554" s="55" t="s">
        <v>7176</v>
      </c>
      <c r="E554" s="55" t="s">
        <v>7177</v>
      </c>
      <c r="F554" s="55" t="s">
        <v>7178</v>
      </c>
      <c r="G554" s="55" t="s">
        <v>5257</v>
      </c>
      <c r="H554" s="55" t="s">
        <v>5258</v>
      </c>
      <c r="I554" s="55" t="s">
        <v>7183</v>
      </c>
      <c r="J554" s="55" t="s">
        <v>5189</v>
      </c>
      <c r="K554" s="55" t="s">
        <v>7180</v>
      </c>
      <c r="L554" s="55" t="s">
        <v>7181</v>
      </c>
      <c r="M554" s="55" t="s">
        <v>4571</v>
      </c>
      <c r="N554" s="55" t="s">
        <v>5192</v>
      </c>
      <c r="O554" s="55" t="s">
        <v>5191</v>
      </c>
    </row>
    <row r="555" spans="1:15" ht="15.75" x14ac:dyDescent="0.25">
      <c r="A555" s="55" t="s">
        <v>5188</v>
      </c>
      <c r="B555" s="55" t="s">
        <v>7184</v>
      </c>
      <c r="C555" s="55" t="s">
        <v>7185</v>
      </c>
      <c r="D555" s="55" t="s">
        <v>7186</v>
      </c>
      <c r="E555" s="55" t="s">
        <v>7187</v>
      </c>
      <c r="F555" s="55" t="s">
        <v>7188</v>
      </c>
      <c r="G555" s="55" t="s">
        <v>5267</v>
      </c>
      <c r="H555" s="55" t="s">
        <v>5268</v>
      </c>
      <c r="I555" s="55" t="s">
        <v>7189</v>
      </c>
      <c r="J555" s="55" t="s">
        <v>5189</v>
      </c>
      <c r="K555" s="55" t="s">
        <v>7190</v>
      </c>
      <c r="L555" s="55" t="s">
        <v>7191</v>
      </c>
      <c r="M555" s="55" t="s">
        <v>4998</v>
      </c>
      <c r="N555" s="55" t="s">
        <v>5192</v>
      </c>
      <c r="O555" s="55" t="s">
        <v>5191</v>
      </c>
    </row>
    <row r="556" spans="1:15" ht="15.75" x14ac:dyDescent="0.25">
      <c r="A556" s="55" t="s">
        <v>5188</v>
      </c>
      <c r="B556" s="55" t="s">
        <v>7192</v>
      </c>
      <c r="C556" s="55" t="s">
        <v>7193</v>
      </c>
      <c r="D556" s="55" t="s">
        <v>7194</v>
      </c>
      <c r="E556" s="55" t="s">
        <v>7195</v>
      </c>
      <c r="F556" s="55" t="s">
        <v>7196</v>
      </c>
      <c r="G556" s="55" t="s">
        <v>5376</v>
      </c>
      <c r="H556" s="55" t="s">
        <v>5377</v>
      </c>
      <c r="I556" s="55" t="s">
        <v>7197</v>
      </c>
      <c r="J556" s="55" t="s">
        <v>5189</v>
      </c>
      <c r="K556" s="55" t="s">
        <v>7198</v>
      </c>
      <c r="L556" s="55" t="s">
        <v>7199</v>
      </c>
      <c r="M556" s="55" t="s">
        <v>4569</v>
      </c>
      <c r="N556" s="55" t="s">
        <v>5192</v>
      </c>
      <c r="O556" s="55" t="s">
        <v>5191</v>
      </c>
    </row>
    <row r="557" spans="1:15" ht="15.75" x14ac:dyDescent="0.25">
      <c r="A557" s="55" t="s">
        <v>5188</v>
      </c>
      <c r="B557" s="55" t="s">
        <v>8268</v>
      </c>
      <c r="C557" s="55" t="s">
        <v>8269</v>
      </c>
      <c r="D557" s="55" t="s">
        <v>8270</v>
      </c>
      <c r="E557" s="55" t="s">
        <v>8271</v>
      </c>
      <c r="F557" s="55" t="s">
        <v>8272</v>
      </c>
      <c r="G557" s="55" t="s">
        <v>5363</v>
      </c>
      <c r="H557" s="55" t="s">
        <v>5364</v>
      </c>
      <c r="I557" s="55" t="s">
        <v>8273</v>
      </c>
      <c r="J557" s="55" t="s">
        <v>5189</v>
      </c>
      <c r="K557" s="55" t="s">
        <v>8274</v>
      </c>
      <c r="L557" s="55" t="s">
        <v>8275</v>
      </c>
      <c r="M557" s="55" t="s">
        <v>4581</v>
      </c>
      <c r="N557" s="55" t="s">
        <v>5192</v>
      </c>
      <c r="O557" s="55" t="s">
        <v>5191</v>
      </c>
    </row>
    <row r="558" spans="1:15" ht="15.75" x14ac:dyDescent="0.25">
      <c r="A558" s="55" t="s">
        <v>5188</v>
      </c>
      <c r="B558" s="55" t="s">
        <v>8276</v>
      </c>
      <c r="C558" s="55" t="s">
        <v>8269</v>
      </c>
      <c r="D558" s="55" t="s">
        <v>8270</v>
      </c>
      <c r="E558" s="55" t="s">
        <v>8271</v>
      </c>
      <c r="F558" s="55" t="s">
        <v>8272</v>
      </c>
      <c r="G558" s="55" t="s">
        <v>5363</v>
      </c>
      <c r="H558" s="55" t="s">
        <v>5364</v>
      </c>
      <c r="I558" s="55" t="s">
        <v>8273</v>
      </c>
      <c r="J558" s="55" t="s">
        <v>5189</v>
      </c>
      <c r="K558" s="55" t="s">
        <v>8274</v>
      </c>
      <c r="L558" s="55" t="s">
        <v>8275</v>
      </c>
      <c r="M558" s="55" t="s">
        <v>4569</v>
      </c>
      <c r="N558" s="55" t="s">
        <v>5192</v>
      </c>
      <c r="O558" s="55" t="s">
        <v>5191</v>
      </c>
    </row>
    <row r="559" spans="1:15" ht="15.75" x14ac:dyDescent="0.25">
      <c r="A559" s="55" t="s">
        <v>5188</v>
      </c>
      <c r="B559" s="55" t="s">
        <v>8277</v>
      </c>
      <c r="C559" s="55" t="s">
        <v>8278</v>
      </c>
      <c r="D559" s="55" t="s">
        <v>8279</v>
      </c>
      <c r="E559" s="55" t="s">
        <v>8280</v>
      </c>
      <c r="F559" s="55" t="s">
        <v>8281</v>
      </c>
      <c r="G559" s="55" t="s">
        <v>8282</v>
      </c>
      <c r="H559" s="55" t="s">
        <v>8283</v>
      </c>
      <c r="I559" s="55" t="s">
        <v>8284</v>
      </c>
      <c r="J559" s="55" t="s">
        <v>5189</v>
      </c>
      <c r="K559" s="55" t="s">
        <v>8285</v>
      </c>
      <c r="L559" s="55" t="s">
        <v>8286</v>
      </c>
      <c r="M559" s="55" t="s">
        <v>4519</v>
      </c>
      <c r="N559" s="55" t="s">
        <v>5192</v>
      </c>
      <c r="O559" s="55" t="s">
        <v>5191</v>
      </c>
    </row>
    <row r="560" spans="1:15" ht="15.75" x14ac:dyDescent="0.25">
      <c r="A560" s="55" t="s">
        <v>5188</v>
      </c>
      <c r="B560" s="55" t="s">
        <v>8287</v>
      </c>
      <c r="C560" s="55" t="s">
        <v>8278</v>
      </c>
      <c r="D560" s="55" t="s">
        <v>8279</v>
      </c>
      <c r="E560" s="55" t="s">
        <v>8280</v>
      </c>
      <c r="F560" s="55" t="s">
        <v>8281</v>
      </c>
      <c r="G560" s="55" t="s">
        <v>8282</v>
      </c>
      <c r="H560" s="55" t="s">
        <v>8283</v>
      </c>
      <c r="I560" s="55" t="s">
        <v>8284</v>
      </c>
      <c r="J560" s="55" t="s">
        <v>5189</v>
      </c>
      <c r="K560" s="55" t="s">
        <v>8285</v>
      </c>
      <c r="L560" s="55" t="s">
        <v>8286</v>
      </c>
      <c r="M560" s="55" t="s">
        <v>4926</v>
      </c>
      <c r="N560" s="55" t="s">
        <v>5192</v>
      </c>
      <c r="O560" s="55" t="s">
        <v>5191</v>
      </c>
    </row>
    <row r="561" spans="1:15" ht="15.75" x14ac:dyDescent="0.25">
      <c r="A561" s="55" t="s">
        <v>5188</v>
      </c>
      <c r="B561" s="55" t="s">
        <v>8288</v>
      </c>
      <c r="C561" s="55" t="s">
        <v>8278</v>
      </c>
      <c r="D561" s="55" t="s">
        <v>8279</v>
      </c>
      <c r="E561" s="55" t="s">
        <v>8280</v>
      </c>
      <c r="F561" s="55" t="s">
        <v>8281</v>
      </c>
      <c r="G561" s="55" t="s">
        <v>8282</v>
      </c>
      <c r="H561" s="55" t="s">
        <v>8283</v>
      </c>
      <c r="I561" s="55" t="s">
        <v>8284</v>
      </c>
      <c r="J561" s="55" t="s">
        <v>5189</v>
      </c>
      <c r="K561" s="55" t="s">
        <v>8285</v>
      </c>
      <c r="L561" s="55" t="s">
        <v>8286</v>
      </c>
      <c r="M561" s="55" t="s">
        <v>5382</v>
      </c>
      <c r="N561" s="55" t="s">
        <v>5192</v>
      </c>
      <c r="O561" s="55" t="s">
        <v>5191</v>
      </c>
    </row>
    <row r="562" spans="1:15" ht="15.75" x14ac:dyDescent="0.25">
      <c r="A562" s="55" t="s">
        <v>5188</v>
      </c>
      <c r="B562" s="55" t="s">
        <v>8289</v>
      </c>
      <c r="C562" s="55" t="s">
        <v>8290</v>
      </c>
      <c r="D562" s="55" t="s">
        <v>8291</v>
      </c>
      <c r="E562" s="55" t="s">
        <v>7333</v>
      </c>
      <c r="F562" s="55" t="s">
        <v>7334</v>
      </c>
      <c r="G562" s="55" t="s">
        <v>7152</v>
      </c>
      <c r="H562" s="55" t="s">
        <v>7153</v>
      </c>
      <c r="I562" s="55" t="s">
        <v>8292</v>
      </c>
      <c r="J562" s="55" t="s">
        <v>5189</v>
      </c>
      <c r="K562" s="55" t="s">
        <v>8293</v>
      </c>
      <c r="L562" s="55" t="s">
        <v>8294</v>
      </c>
      <c r="M562" s="55" t="s">
        <v>5054</v>
      </c>
      <c r="N562" s="55" t="s">
        <v>5192</v>
      </c>
      <c r="O562" s="55" t="s">
        <v>5191</v>
      </c>
    </row>
    <row r="563" spans="1:15" ht="15.75" x14ac:dyDescent="0.25">
      <c r="A563" s="55" t="s">
        <v>5188</v>
      </c>
      <c r="B563" s="55" t="s">
        <v>8295</v>
      </c>
      <c r="C563" s="55" t="s">
        <v>8296</v>
      </c>
      <c r="D563" s="55" t="s">
        <v>8297</v>
      </c>
      <c r="E563" s="55" t="s">
        <v>8298</v>
      </c>
      <c r="F563" s="55" t="s">
        <v>8299</v>
      </c>
      <c r="G563" s="55" t="s">
        <v>8300</v>
      </c>
      <c r="H563" s="55" t="s">
        <v>8301</v>
      </c>
      <c r="I563" s="55" t="s">
        <v>8302</v>
      </c>
      <c r="J563" s="55" t="s">
        <v>5189</v>
      </c>
      <c r="K563" s="55" t="s">
        <v>8303</v>
      </c>
      <c r="L563" s="55" t="s">
        <v>8304</v>
      </c>
      <c r="M563" s="55" t="s">
        <v>4501</v>
      </c>
      <c r="N563" s="55" t="s">
        <v>5192</v>
      </c>
      <c r="O563" s="55" t="s">
        <v>5191</v>
      </c>
    </row>
    <row r="564" spans="1:15" ht="15.75" x14ac:dyDescent="0.25">
      <c r="A564" s="55" t="s">
        <v>5188</v>
      </c>
      <c r="B564" s="55" t="s">
        <v>8305</v>
      </c>
      <c r="C564" s="55" t="s">
        <v>8306</v>
      </c>
      <c r="D564" s="55" t="s">
        <v>8297</v>
      </c>
      <c r="E564" s="55" t="s">
        <v>8298</v>
      </c>
      <c r="F564" s="55" t="s">
        <v>8299</v>
      </c>
      <c r="G564" s="55" t="s">
        <v>8300</v>
      </c>
      <c r="H564" s="55" t="s">
        <v>8301</v>
      </c>
      <c r="I564" s="55" t="s">
        <v>8307</v>
      </c>
      <c r="J564" s="55" t="s">
        <v>5189</v>
      </c>
      <c r="K564" s="55" t="s">
        <v>8308</v>
      </c>
      <c r="L564" s="55" t="s">
        <v>8309</v>
      </c>
      <c r="M564" s="55" t="s">
        <v>3551</v>
      </c>
      <c r="N564" s="55" t="s">
        <v>5192</v>
      </c>
      <c r="O564" s="55" t="s">
        <v>5191</v>
      </c>
    </row>
    <row r="565" spans="1:15" ht="15.75" x14ac:dyDescent="0.25">
      <c r="A565" s="55" t="s">
        <v>5188</v>
      </c>
      <c r="B565" s="55" t="s">
        <v>8310</v>
      </c>
      <c r="C565" s="55" t="s">
        <v>8306</v>
      </c>
      <c r="D565" s="55" t="s">
        <v>8297</v>
      </c>
      <c r="E565" s="55" t="s">
        <v>8298</v>
      </c>
      <c r="F565" s="55" t="s">
        <v>8299</v>
      </c>
      <c r="G565" s="55" t="s">
        <v>8300</v>
      </c>
      <c r="H565" s="55" t="s">
        <v>8301</v>
      </c>
      <c r="I565" s="55" t="s">
        <v>8307</v>
      </c>
      <c r="J565" s="55" t="s">
        <v>5189</v>
      </c>
      <c r="K565" s="55" t="s">
        <v>8308</v>
      </c>
      <c r="L565" s="55" t="s">
        <v>8309</v>
      </c>
      <c r="M565" s="55" t="s">
        <v>4501</v>
      </c>
      <c r="N565" s="55" t="s">
        <v>5192</v>
      </c>
      <c r="O565" s="55" t="s">
        <v>5191</v>
      </c>
    </row>
    <row r="566" spans="1:15" ht="15.75" x14ac:dyDescent="0.25">
      <c r="A566" s="55" t="s">
        <v>5188</v>
      </c>
      <c r="B566" s="55" t="s">
        <v>8311</v>
      </c>
      <c r="C566" s="55" t="s">
        <v>8312</v>
      </c>
      <c r="D566" s="55" t="s">
        <v>8297</v>
      </c>
      <c r="E566" s="55" t="s">
        <v>8298</v>
      </c>
      <c r="F566" s="55" t="s">
        <v>8299</v>
      </c>
      <c r="G566" s="55" t="s">
        <v>8300</v>
      </c>
      <c r="H566" s="55" t="s">
        <v>8301</v>
      </c>
      <c r="I566" s="55" t="s">
        <v>8313</v>
      </c>
      <c r="J566" s="55" t="s">
        <v>5189</v>
      </c>
      <c r="K566" s="55" t="s">
        <v>8314</v>
      </c>
      <c r="L566" s="55" t="s">
        <v>8315</v>
      </c>
      <c r="M566" s="55" t="s">
        <v>4501</v>
      </c>
      <c r="N566" s="55" t="s">
        <v>5192</v>
      </c>
      <c r="O566" s="55" t="s">
        <v>5191</v>
      </c>
    </row>
    <row r="567" spans="1:15" ht="15.75" x14ac:dyDescent="0.25">
      <c r="A567" s="55" t="s">
        <v>5188</v>
      </c>
      <c r="B567" s="55" t="s">
        <v>8316</v>
      </c>
      <c r="C567" s="55" t="s">
        <v>8317</v>
      </c>
      <c r="D567" s="55" t="s">
        <v>8297</v>
      </c>
      <c r="E567" s="55" t="s">
        <v>8298</v>
      </c>
      <c r="F567" s="55" t="s">
        <v>8299</v>
      </c>
      <c r="G567" s="55" t="s">
        <v>8300</v>
      </c>
      <c r="H567" s="55" t="s">
        <v>8301</v>
      </c>
      <c r="I567" s="55" t="s">
        <v>8318</v>
      </c>
      <c r="J567" s="55" t="s">
        <v>5189</v>
      </c>
      <c r="K567" s="55" t="s">
        <v>8319</v>
      </c>
      <c r="L567" s="55" t="s">
        <v>8320</v>
      </c>
      <c r="M567" s="55" t="s">
        <v>4501</v>
      </c>
      <c r="N567" s="55" t="s">
        <v>5192</v>
      </c>
      <c r="O567" s="55" t="s">
        <v>5191</v>
      </c>
    </row>
    <row r="568" spans="1:15" ht="15.75" x14ac:dyDescent="0.25">
      <c r="A568" s="55" t="s">
        <v>5188</v>
      </c>
      <c r="B568" s="55" t="s">
        <v>8321</v>
      </c>
      <c r="C568" s="55" t="s">
        <v>8322</v>
      </c>
      <c r="D568" s="55" t="s">
        <v>8323</v>
      </c>
      <c r="E568" s="55" t="s">
        <v>8324</v>
      </c>
      <c r="F568" s="55" t="s">
        <v>8325</v>
      </c>
      <c r="G568" s="55" t="s">
        <v>8326</v>
      </c>
      <c r="H568" s="55" t="s">
        <v>8327</v>
      </c>
      <c r="I568" s="55" t="s">
        <v>8328</v>
      </c>
      <c r="J568" s="55" t="s">
        <v>5189</v>
      </c>
      <c r="K568" s="55" t="s">
        <v>8329</v>
      </c>
      <c r="L568" s="55" t="s">
        <v>8330</v>
      </c>
      <c r="M568" s="55" t="s">
        <v>3551</v>
      </c>
      <c r="N568" s="55" t="s">
        <v>5192</v>
      </c>
      <c r="O568" s="55" t="s">
        <v>5191</v>
      </c>
    </row>
    <row r="569" spans="1:15" ht="15.75" x14ac:dyDescent="0.25">
      <c r="A569" s="55" t="s">
        <v>5188</v>
      </c>
      <c r="B569" s="55" t="s">
        <v>8331</v>
      </c>
      <c r="C569" s="55" t="s">
        <v>8332</v>
      </c>
      <c r="D569" s="55" t="s">
        <v>8333</v>
      </c>
      <c r="E569" s="55" t="s">
        <v>5312</v>
      </c>
      <c r="F569" s="55" t="s">
        <v>5313</v>
      </c>
      <c r="G569" s="55" t="s">
        <v>5229</v>
      </c>
      <c r="H569" s="55" t="s">
        <v>5230</v>
      </c>
      <c r="I569" s="55" t="s">
        <v>8334</v>
      </c>
      <c r="J569" s="55" t="s">
        <v>5189</v>
      </c>
      <c r="K569" s="55" t="s">
        <v>8335</v>
      </c>
      <c r="L569" s="55" t="s">
        <v>8336</v>
      </c>
      <c r="M569" s="55" t="s">
        <v>4547</v>
      </c>
      <c r="N569" s="55" t="s">
        <v>5192</v>
      </c>
      <c r="O569" s="55" t="s">
        <v>5191</v>
      </c>
    </row>
    <row r="570" spans="1:15" ht="15.75" x14ac:dyDescent="0.25">
      <c r="A570" s="55" t="s">
        <v>5188</v>
      </c>
      <c r="B570" s="55" t="s">
        <v>8337</v>
      </c>
      <c r="C570" s="55" t="s">
        <v>8338</v>
      </c>
      <c r="D570" s="55" t="s">
        <v>8339</v>
      </c>
      <c r="E570" s="55" t="s">
        <v>8340</v>
      </c>
      <c r="F570" s="55" t="s">
        <v>8341</v>
      </c>
      <c r="G570" s="55" t="s">
        <v>7006</v>
      </c>
      <c r="H570" s="55" t="s">
        <v>7007</v>
      </c>
      <c r="I570" s="55" t="s">
        <v>8342</v>
      </c>
      <c r="J570" s="55" t="s">
        <v>5189</v>
      </c>
      <c r="K570" s="55" t="s">
        <v>8343</v>
      </c>
      <c r="L570" s="55" t="s">
        <v>8344</v>
      </c>
      <c r="M570" s="55" t="s">
        <v>5056</v>
      </c>
      <c r="N570" s="55" t="s">
        <v>5192</v>
      </c>
      <c r="O570" s="55" t="s">
        <v>5191</v>
      </c>
    </row>
    <row r="571" spans="1:15" ht="15.75" x14ac:dyDescent="0.25">
      <c r="A571" s="55" t="s">
        <v>5188</v>
      </c>
      <c r="B571" s="55" t="s">
        <v>8345</v>
      </c>
      <c r="C571" s="55" t="s">
        <v>8338</v>
      </c>
      <c r="D571" s="55" t="s">
        <v>8339</v>
      </c>
      <c r="E571" s="55" t="s">
        <v>8340</v>
      </c>
      <c r="F571" s="55" t="s">
        <v>8341</v>
      </c>
      <c r="G571" s="55" t="s">
        <v>7006</v>
      </c>
      <c r="H571" s="55" t="s">
        <v>7007</v>
      </c>
      <c r="I571" s="55" t="s">
        <v>8342</v>
      </c>
      <c r="J571" s="55" t="s">
        <v>5189</v>
      </c>
      <c r="K571" s="55" t="s">
        <v>8343</v>
      </c>
      <c r="L571" s="55" t="s">
        <v>8344</v>
      </c>
      <c r="M571" s="55" t="s">
        <v>5058</v>
      </c>
      <c r="N571" s="55" t="s">
        <v>5192</v>
      </c>
      <c r="O571" s="55" t="s">
        <v>5191</v>
      </c>
    </row>
    <row r="572" spans="1:15" ht="15.75" x14ac:dyDescent="0.25">
      <c r="A572" s="55" t="s">
        <v>5188</v>
      </c>
      <c r="B572" s="55" t="s">
        <v>6849</v>
      </c>
      <c r="C572" s="55" t="s">
        <v>6458</v>
      </c>
      <c r="D572" s="55" t="s">
        <v>5407</v>
      </c>
      <c r="E572" s="55" t="s">
        <v>5408</v>
      </c>
      <c r="F572" s="55" t="s">
        <v>5305</v>
      </c>
      <c r="G572" s="55" t="s">
        <v>5235</v>
      </c>
      <c r="H572" s="55" t="s">
        <v>5236</v>
      </c>
      <c r="I572" s="55" t="s">
        <v>6459</v>
      </c>
      <c r="J572" s="55" t="s">
        <v>5189</v>
      </c>
      <c r="K572" s="55" t="s">
        <v>6460</v>
      </c>
      <c r="L572" s="55" t="s">
        <v>6461</v>
      </c>
      <c r="M572" s="55" t="s">
        <v>4501</v>
      </c>
      <c r="N572" s="55" t="s">
        <v>5192</v>
      </c>
      <c r="O572" s="55" t="s">
        <v>5191</v>
      </c>
    </row>
    <row r="573" spans="1:15" ht="15.75" x14ac:dyDescent="0.25">
      <c r="A573" s="55" t="s">
        <v>5188</v>
      </c>
      <c r="B573" s="55" t="s">
        <v>6850</v>
      </c>
      <c r="C573" s="55" t="s">
        <v>6458</v>
      </c>
      <c r="D573" s="55" t="s">
        <v>5407</v>
      </c>
      <c r="E573" s="55" t="s">
        <v>5408</v>
      </c>
      <c r="F573" s="55" t="s">
        <v>5305</v>
      </c>
      <c r="G573" s="55" t="s">
        <v>5235</v>
      </c>
      <c r="H573" s="55" t="s">
        <v>5236</v>
      </c>
      <c r="I573" s="55" t="s">
        <v>6459</v>
      </c>
      <c r="J573" s="55" t="s">
        <v>5189</v>
      </c>
      <c r="K573" s="55" t="s">
        <v>6460</v>
      </c>
      <c r="L573" s="55" t="s">
        <v>6461</v>
      </c>
      <c r="M573" s="55" t="s">
        <v>4720</v>
      </c>
      <c r="N573" s="55" t="s">
        <v>5192</v>
      </c>
      <c r="O573" s="55" t="s">
        <v>5191</v>
      </c>
    </row>
    <row r="574" spans="1:15" ht="15.75" x14ac:dyDescent="0.25">
      <c r="A574" s="55" t="s">
        <v>5188</v>
      </c>
      <c r="B574" s="55" t="s">
        <v>6851</v>
      </c>
      <c r="C574" s="55" t="s">
        <v>6467</v>
      </c>
      <c r="D574" s="55" t="s">
        <v>6468</v>
      </c>
      <c r="E574" s="55" t="s">
        <v>6469</v>
      </c>
      <c r="F574" s="55" t="s">
        <v>6470</v>
      </c>
      <c r="G574" s="55" t="s">
        <v>5229</v>
      </c>
      <c r="H574" s="55" t="s">
        <v>5230</v>
      </c>
      <c r="I574" s="55" t="s">
        <v>6471</v>
      </c>
      <c r="J574" s="55" t="s">
        <v>5189</v>
      </c>
      <c r="K574" s="55" t="s">
        <v>6472</v>
      </c>
      <c r="L574" s="55" t="s">
        <v>6473</v>
      </c>
      <c r="M574" s="55" t="s">
        <v>4684</v>
      </c>
      <c r="N574" s="55" t="s">
        <v>5192</v>
      </c>
      <c r="O574" s="55" t="s">
        <v>5191</v>
      </c>
    </row>
    <row r="575" spans="1:15" ht="15.75" x14ac:dyDescent="0.25">
      <c r="A575" s="55" t="s">
        <v>5188</v>
      </c>
      <c r="B575" s="55" t="s">
        <v>7066</v>
      </c>
      <c r="C575" s="55" t="s">
        <v>6475</v>
      </c>
      <c r="D575" s="55" t="s">
        <v>6476</v>
      </c>
      <c r="E575" s="55" t="s">
        <v>6477</v>
      </c>
      <c r="F575" s="55" t="s">
        <v>6478</v>
      </c>
      <c r="G575" s="55" t="s">
        <v>5424</v>
      </c>
      <c r="H575" s="55" t="s">
        <v>5425</v>
      </c>
      <c r="I575" s="55" t="s">
        <v>6479</v>
      </c>
      <c r="J575" s="55" t="s">
        <v>5189</v>
      </c>
      <c r="K575" s="55" t="s">
        <v>6480</v>
      </c>
      <c r="L575" s="55" t="s">
        <v>6481</v>
      </c>
      <c r="M575" s="55" t="s">
        <v>4752</v>
      </c>
      <c r="N575" s="55" t="s">
        <v>5192</v>
      </c>
      <c r="O575" s="55" t="s">
        <v>5191</v>
      </c>
    </row>
    <row r="576" spans="1:15" ht="15.75" x14ac:dyDescent="0.25">
      <c r="A576" s="55" t="s">
        <v>5188</v>
      </c>
      <c r="B576" s="55" t="s">
        <v>7067</v>
      </c>
      <c r="C576" s="55" t="s">
        <v>6482</v>
      </c>
      <c r="D576" s="55" t="s">
        <v>6483</v>
      </c>
      <c r="E576" s="55" t="s">
        <v>6484</v>
      </c>
      <c r="F576" s="55" t="s">
        <v>6485</v>
      </c>
      <c r="G576" s="55" t="s">
        <v>5314</v>
      </c>
      <c r="H576" s="55" t="s">
        <v>5315</v>
      </c>
      <c r="I576" s="55" t="s">
        <v>6486</v>
      </c>
      <c r="J576" s="55" t="s">
        <v>5189</v>
      </c>
      <c r="K576" s="55" t="s">
        <v>6487</v>
      </c>
      <c r="L576" s="55" t="s">
        <v>6488</v>
      </c>
      <c r="M576" s="55" t="s">
        <v>5231</v>
      </c>
      <c r="N576" s="55" t="s">
        <v>5192</v>
      </c>
      <c r="O576" s="55" t="s">
        <v>5191</v>
      </c>
    </row>
    <row r="577" spans="1:15" ht="15.75" x14ac:dyDescent="0.25">
      <c r="A577" s="55" t="s">
        <v>5188</v>
      </c>
      <c r="B577" s="55" t="s">
        <v>7068</v>
      </c>
      <c r="C577" s="55" t="s">
        <v>6482</v>
      </c>
      <c r="D577" s="55" t="s">
        <v>6483</v>
      </c>
      <c r="E577" s="55" t="s">
        <v>6484</v>
      </c>
      <c r="F577" s="55" t="s">
        <v>6485</v>
      </c>
      <c r="G577" s="55" t="s">
        <v>5314</v>
      </c>
      <c r="H577" s="55" t="s">
        <v>5315</v>
      </c>
      <c r="I577" s="55" t="s">
        <v>6486</v>
      </c>
      <c r="J577" s="55" t="s">
        <v>5189</v>
      </c>
      <c r="K577" s="55" t="s">
        <v>6487</v>
      </c>
      <c r="L577" s="55" t="s">
        <v>6488</v>
      </c>
      <c r="M577" s="55" t="s">
        <v>4567</v>
      </c>
      <c r="N577" s="55" t="s">
        <v>5192</v>
      </c>
      <c r="O577" s="55" t="s">
        <v>5191</v>
      </c>
    </row>
    <row r="578" spans="1:15" ht="15.75" x14ac:dyDescent="0.25">
      <c r="A578" s="55" t="s">
        <v>5188</v>
      </c>
      <c r="B578" s="55" t="s">
        <v>7069</v>
      </c>
      <c r="C578" s="55" t="s">
        <v>6493</v>
      </c>
      <c r="D578" s="55" t="s">
        <v>6494</v>
      </c>
      <c r="E578" s="55" t="s">
        <v>5367</v>
      </c>
      <c r="F578" s="55" t="s">
        <v>5368</v>
      </c>
      <c r="G578" s="55" t="s">
        <v>5365</v>
      </c>
      <c r="H578" s="55" t="s">
        <v>5366</v>
      </c>
      <c r="I578" s="55" t="s">
        <v>6495</v>
      </c>
      <c r="J578" s="55" t="s">
        <v>5189</v>
      </c>
      <c r="K578" s="55" t="s">
        <v>6496</v>
      </c>
      <c r="L578" s="55" t="s">
        <v>6497</v>
      </c>
      <c r="M578" s="55" t="s">
        <v>5024</v>
      </c>
      <c r="N578" s="55" t="s">
        <v>5192</v>
      </c>
      <c r="O578" s="55" t="s">
        <v>5191</v>
      </c>
    </row>
    <row r="579" spans="1:15" ht="15.75" x14ac:dyDescent="0.25">
      <c r="A579" s="55" t="s">
        <v>5188</v>
      </c>
      <c r="B579" s="55" t="s">
        <v>7070</v>
      </c>
      <c r="C579" s="55" t="s">
        <v>6493</v>
      </c>
      <c r="D579" s="55" t="s">
        <v>6494</v>
      </c>
      <c r="E579" s="55" t="s">
        <v>5367</v>
      </c>
      <c r="F579" s="55" t="s">
        <v>5368</v>
      </c>
      <c r="G579" s="55" t="s">
        <v>5365</v>
      </c>
      <c r="H579" s="55" t="s">
        <v>5366</v>
      </c>
      <c r="I579" s="55" t="s">
        <v>6495</v>
      </c>
      <c r="J579" s="55" t="s">
        <v>5189</v>
      </c>
      <c r="K579" s="55" t="s">
        <v>6496</v>
      </c>
      <c r="L579" s="55" t="s">
        <v>6497</v>
      </c>
      <c r="M579" s="55" t="s">
        <v>2872</v>
      </c>
      <c r="N579" s="55" t="s">
        <v>5192</v>
      </c>
      <c r="O579" s="55" t="s">
        <v>5191</v>
      </c>
    </row>
    <row r="580" spans="1:15" ht="15.75" x14ac:dyDescent="0.25">
      <c r="A580" s="55" t="s">
        <v>5188</v>
      </c>
      <c r="B580" s="55" t="s">
        <v>7071</v>
      </c>
      <c r="C580" s="55" t="s">
        <v>6493</v>
      </c>
      <c r="D580" s="55" t="s">
        <v>6494</v>
      </c>
      <c r="E580" s="55" t="s">
        <v>5367</v>
      </c>
      <c r="F580" s="55" t="s">
        <v>5368</v>
      </c>
      <c r="G580" s="55" t="s">
        <v>5365</v>
      </c>
      <c r="H580" s="55" t="s">
        <v>5366</v>
      </c>
      <c r="I580" s="55" t="s">
        <v>6495</v>
      </c>
      <c r="J580" s="55" t="s">
        <v>5189</v>
      </c>
      <c r="K580" s="55" t="s">
        <v>6496</v>
      </c>
      <c r="L580" s="55" t="s">
        <v>6497</v>
      </c>
      <c r="M580" s="55" t="s">
        <v>4501</v>
      </c>
      <c r="N580" s="55" t="s">
        <v>5192</v>
      </c>
      <c r="O580" s="55" t="s">
        <v>5191</v>
      </c>
    </row>
    <row r="581" spans="1:15" ht="15.75" x14ac:dyDescent="0.25">
      <c r="A581" s="55" t="s">
        <v>5188</v>
      </c>
      <c r="B581" s="55" t="s">
        <v>7072</v>
      </c>
      <c r="C581" s="55" t="s">
        <v>7073</v>
      </c>
      <c r="D581" s="55" t="s">
        <v>7074</v>
      </c>
      <c r="E581" s="55" t="s">
        <v>7075</v>
      </c>
      <c r="F581" s="55" t="s">
        <v>7076</v>
      </c>
      <c r="G581" s="55" t="s">
        <v>5237</v>
      </c>
      <c r="H581" s="55" t="s">
        <v>5238</v>
      </c>
      <c r="I581" s="55" t="s">
        <v>7077</v>
      </c>
      <c r="J581" s="55" t="s">
        <v>5189</v>
      </c>
      <c r="K581" s="55" t="s">
        <v>7078</v>
      </c>
      <c r="L581" s="55" t="s">
        <v>7079</v>
      </c>
      <c r="M581" s="55" t="s">
        <v>4569</v>
      </c>
      <c r="N581" s="55" t="s">
        <v>5192</v>
      </c>
      <c r="O581" s="55" t="s">
        <v>5191</v>
      </c>
    </row>
    <row r="582" spans="1:15" ht="15.75" x14ac:dyDescent="0.25">
      <c r="A582" s="55" t="s">
        <v>5188</v>
      </c>
      <c r="B582" s="55" t="s">
        <v>7080</v>
      </c>
      <c r="C582" s="55" t="s">
        <v>7073</v>
      </c>
      <c r="D582" s="55" t="s">
        <v>7074</v>
      </c>
      <c r="E582" s="55" t="s">
        <v>7075</v>
      </c>
      <c r="F582" s="55" t="s">
        <v>7076</v>
      </c>
      <c r="G582" s="55" t="s">
        <v>5237</v>
      </c>
      <c r="H582" s="55" t="s">
        <v>5238</v>
      </c>
      <c r="I582" s="55" t="s">
        <v>7077</v>
      </c>
      <c r="J582" s="55" t="s">
        <v>5189</v>
      </c>
      <c r="K582" s="55" t="s">
        <v>7078</v>
      </c>
      <c r="L582" s="55" t="s">
        <v>7079</v>
      </c>
      <c r="M582" s="55" t="s">
        <v>3551</v>
      </c>
      <c r="N582" s="55" t="s">
        <v>5192</v>
      </c>
      <c r="O582" s="55" t="s">
        <v>5191</v>
      </c>
    </row>
    <row r="583" spans="1:15" ht="15.75" x14ac:dyDescent="0.25">
      <c r="A583" s="55" t="s">
        <v>5188</v>
      </c>
      <c r="B583" s="55" t="s">
        <v>7081</v>
      </c>
      <c r="C583" s="55" t="s">
        <v>7082</v>
      </c>
      <c r="D583" s="55" t="s">
        <v>7083</v>
      </c>
      <c r="E583" s="55" t="s">
        <v>7084</v>
      </c>
      <c r="F583" s="55" t="s">
        <v>7085</v>
      </c>
      <c r="G583" s="55" t="s">
        <v>5237</v>
      </c>
      <c r="H583" s="55" t="s">
        <v>5238</v>
      </c>
      <c r="I583" s="55" t="s">
        <v>7086</v>
      </c>
      <c r="J583" s="55" t="s">
        <v>5189</v>
      </c>
      <c r="K583" s="55" t="s">
        <v>7087</v>
      </c>
      <c r="L583" s="55" t="s">
        <v>7088</v>
      </c>
      <c r="M583" s="55" t="s">
        <v>4567</v>
      </c>
      <c r="N583" s="55" t="s">
        <v>5192</v>
      </c>
      <c r="O583" s="55" t="s">
        <v>5191</v>
      </c>
    </row>
    <row r="584" spans="1:15" ht="15.75" x14ac:dyDescent="0.25">
      <c r="A584" s="55" t="s">
        <v>5188</v>
      </c>
      <c r="B584" s="55" t="s">
        <v>7089</v>
      </c>
      <c r="C584" s="55" t="s">
        <v>7082</v>
      </c>
      <c r="D584" s="55" t="s">
        <v>7083</v>
      </c>
      <c r="E584" s="55" t="s">
        <v>7084</v>
      </c>
      <c r="F584" s="55" t="s">
        <v>7085</v>
      </c>
      <c r="G584" s="55" t="s">
        <v>5237</v>
      </c>
      <c r="H584" s="55" t="s">
        <v>5238</v>
      </c>
      <c r="I584" s="55" t="s">
        <v>7086</v>
      </c>
      <c r="J584" s="55" t="s">
        <v>5189</v>
      </c>
      <c r="K584" s="55" t="s">
        <v>7087</v>
      </c>
      <c r="L584" s="55" t="s">
        <v>7088</v>
      </c>
      <c r="M584" s="55" t="s">
        <v>2943</v>
      </c>
      <c r="N584" s="55" t="s">
        <v>5192</v>
      </c>
      <c r="O584" s="55" t="s">
        <v>5191</v>
      </c>
    </row>
    <row r="585" spans="1:15" ht="15.75" x14ac:dyDescent="0.25">
      <c r="A585" s="55" t="s">
        <v>5188</v>
      </c>
      <c r="B585" s="55" t="s">
        <v>7090</v>
      </c>
      <c r="C585" s="55" t="s">
        <v>7082</v>
      </c>
      <c r="D585" s="55" t="s">
        <v>7083</v>
      </c>
      <c r="E585" s="55" t="s">
        <v>7084</v>
      </c>
      <c r="F585" s="55" t="s">
        <v>7085</v>
      </c>
      <c r="G585" s="55" t="s">
        <v>5237</v>
      </c>
      <c r="H585" s="55" t="s">
        <v>5238</v>
      </c>
      <c r="I585" s="55" t="s">
        <v>7086</v>
      </c>
      <c r="J585" s="55" t="s">
        <v>5189</v>
      </c>
      <c r="K585" s="55" t="s">
        <v>7087</v>
      </c>
      <c r="L585" s="55" t="s">
        <v>7088</v>
      </c>
      <c r="M585" s="55" t="s">
        <v>2939</v>
      </c>
      <c r="N585" s="55" t="s">
        <v>5192</v>
      </c>
      <c r="O585" s="55" t="s">
        <v>5191</v>
      </c>
    </row>
    <row r="586" spans="1:15" ht="15.75" x14ac:dyDescent="0.25">
      <c r="A586" s="55" t="s">
        <v>5188</v>
      </c>
      <c r="B586" s="55" t="s">
        <v>7091</v>
      </c>
      <c r="C586" s="55" t="s">
        <v>6529</v>
      </c>
      <c r="D586" s="55" t="s">
        <v>6530</v>
      </c>
      <c r="E586" s="55" t="s">
        <v>6531</v>
      </c>
      <c r="F586" s="55" t="s">
        <v>6532</v>
      </c>
      <c r="G586" s="55" t="s">
        <v>6533</v>
      </c>
      <c r="H586" s="55" t="s">
        <v>6534</v>
      </c>
      <c r="I586" s="55" t="s">
        <v>6535</v>
      </c>
      <c r="J586" s="55" t="s">
        <v>5189</v>
      </c>
      <c r="K586" s="55" t="s">
        <v>6536</v>
      </c>
      <c r="L586" s="55" t="s">
        <v>6537</v>
      </c>
      <c r="M586" s="55" t="s">
        <v>4758</v>
      </c>
      <c r="N586" s="55" t="s">
        <v>5192</v>
      </c>
      <c r="O586" s="55" t="s">
        <v>5191</v>
      </c>
    </row>
    <row r="587" spans="1:15" ht="15.75" x14ac:dyDescent="0.25">
      <c r="A587" s="55" t="s">
        <v>5188</v>
      </c>
      <c r="B587" s="55" t="s">
        <v>7092</v>
      </c>
      <c r="C587" s="55" t="s">
        <v>6529</v>
      </c>
      <c r="D587" s="55" t="s">
        <v>6530</v>
      </c>
      <c r="E587" s="55" t="s">
        <v>6531</v>
      </c>
      <c r="F587" s="55" t="s">
        <v>6532</v>
      </c>
      <c r="G587" s="55" t="s">
        <v>6533</v>
      </c>
      <c r="H587" s="55" t="s">
        <v>6534</v>
      </c>
      <c r="I587" s="55" t="s">
        <v>6535</v>
      </c>
      <c r="J587" s="55" t="s">
        <v>5189</v>
      </c>
      <c r="K587" s="55" t="s">
        <v>6536</v>
      </c>
      <c r="L587" s="55" t="s">
        <v>6537</v>
      </c>
      <c r="M587" s="55" t="s">
        <v>23</v>
      </c>
      <c r="N587" s="55" t="s">
        <v>5192</v>
      </c>
      <c r="O587" s="55" t="s">
        <v>5191</v>
      </c>
    </row>
    <row r="588" spans="1:15" ht="15.75" x14ac:dyDescent="0.25">
      <c r="A588" s="55" t="s">
        <v>5188</v>
      </c>
      <c r="B588" s="55" t="s">
        <v>7093</v>
      </c>
      <c r="C588" s="55" t="s">
        <v>6551</v>
      </c>
      <c r="D588" s="55" t="s">
        <v>6552</v>
      </c>
      <c r="E588" s="55" t="s">
        <v>6553</v>
      </c>
      <c r="F588" s="55" t="s">
        <v>6554</v>
      </c>
      <c r="G588" s="55" t="s">
        <v>5233</v>
      </c>
      <c r="H588" s="55" t="s">
        <v>5234</v>
      </c>
      <c r="I588" s="55" t="s">
        <v>6555</v>
      </c>
      <c r="J588" s="55" t="s">
        <v>5189</v>
      </c>
      <c r="K588" s="55" t="s">
        <v>6556</v>
      </c>
      <c r="L588" s="55" t="s">
        <v>6557</v>
      </c>
      <c r="M588" s="55" t="s">
        <v>2872</v>
      </c>
      <c r="N588" s="55" t="s">
        <v>5192</v>
      </c>
      <c r="O588" s="55" t="s">
        <v>5191</v>
      </c>
    </row>
    <row r="589" spans="1:15" ht="15.75" x14ac:dyDescent="0.25">
      <c r="A589" s="55" t="s">
        <v>5188</v>
      </c>
      <c r="B589" s="55" t="s">
        <v>7094</v>
      </c>
      <c r="C589" s="55" t="s">
        <v>6560</v>
      </c>
      <c r="D589" s="55" t="s">
        <v>6561</v>
      </c>
      <c r="E589" s="55" t="s">
        <v>6562</v>
      </c>
      <c r="F589" s="55" t="s">
        <v>6563</v>
      </c>
      <c r="G589" s="55" t="s">
        <v>5365</v>
      </c>
      <c r="H589" s="55" t="s">
        <v>5366</v>
      </c>
      <c r="I589" s="55" t="s">
        <v>6564</v>
      </c>
      <c r="J589" s="55" t="s">
        <v>5189</v>
      </c>
      <c r="K589" s="55" t="s">
        <v>6565</v>
      </c>
      <c r="L589" s="55" t="s">
        <v>6566</v>
      </c>
      <c r="M589" s="55" t="s">
        <v>3551</v>
      </c>
      <c r="N589" s="55" t="s">
        <v>5192</v>
      </c>
      <c r="O589" s="55" t="s">
        <v>5191</v>
      </c>
    </row>
    <row r="590" spans="1:15" ht="15.75" x14ac:dyDescent="0.25">
      <c r="A590" s="55" t="s">
        <v>5188</v>
      </c>
      <c r="B590" s="55" t="s">
        <v>7095</v>
      </c>
      <c r="C590" s="55" t="s">
        <v>6560</v>
      </c>
      <c r="D590" s="55" t="s">
        <v>6561</v>
      </c>
      <c r="E590" s="55" t="s">
        <v>6562</v>
      </c>
      <c r="F590" s="55" t="s">
        <v>6563</v>
      </c>
      <c r="G590" s="55" t="s">
        <v>5365</v>
      </c>
      <c r="H590" s="55" t="s">
        <v>5366</v>
      </c>
      <c r="I590" s="55" t="s">
        <v>6564</v>
      </c>
      <c r="J590" s="55" t="s">
        <v>5189</v>
      </c>
      <c r="K590" s="55" t="s">
        <v>6565</v>
      </c>
      <c r="L590" s="55" t="s">
        <v>6566</v>
      </c>
      <c r="M590" s="55" t="s">
        <v>4370</v>
      </c>
      <c r="N590" s="55" t="s">
        <v>5192</v>
      </c>
      <c r="O590" s="55" t="s">
        <v>5191</v>
      </c>
    </row>
    <row r="591" spans="1:15" ht="15.75" x14ac:dyDescent="0.25">
      <c r="A591" s="55" t="s">
        <v>5188</v>
      </c>
      <c r="B591" s="55" t="s">
        <v>7096</v>
      </c>
      <c r="C591" s="55" t="s">
        <v>6560</v>
      </c>
      <c r="D591" s="55" t="s">
        <v>6561</v>
      </c>
      <c r="E591" s="55" t="s">
        <v>6562</v>
      </c>
      <c r="F591" s="55" t="s">
        <v>6563</v>
      </c>
      <c r="G591" s="55" t="s">
        <v>5365</v>
      </c>
      <c r="H591" s="55" t="s">
        <v>5366</v>
      </c>
      <c r="I591" s="55" t="s">
        <v>6564</v>
      </c>
      <c r="J591" s="55" t="s">
        <v>5189</v>
      </c>
      <c r="K591" s="55" t="s">
        <v>6565</v>
      </c>
      <c r="L591" s="55" t="s">
        <v>6566</v>
      </c>
      <c r="M591" s="55" t="s">
        <v>4377</v>
      </c>
      <c r="N591" s="55" t="s">
        <v>5192</v>
      </c>
      <c r="O591" s="55" t="s">
        <v>5191</v>
      </c>
    </row>
    <row r="592" spans="1:15" ht="15.75" x14ac:dyDescent="0.25">
      <c r="A592" s="55" t="s">
        <v>5188</v>
      </c>
      <c r="B592" s="55" t="s">
        <v>7097</v>
      </c>
      <c r="C592" s="55" t="s">
        <v>6560</v>
      </c>
      <c r="D592" s="55" t="s">
        <v>6561</v>
      </c>
      <c r="E592" s="55" t="s">
        <v>6562</v>
      </c>
      <c r="F592" s="55" t="s">
        <v>6563</v>
      </c>
      <c r="G592" s="55" t="s">
        <v>5365</v>
      </c>
      <c r="H592" s="55" t="s">
        <v>5366</v>
      </c>
      <c r="I592" s="55" t="s">
        <v>6564</v>
      </c>
      <c r="J592" s="55" t="s">
        <v>5189</v>
      </c>
      <c r="K592" s="55" t="s">
        <v>6565</v>
      </c>
      <c r="L592" s="55" t="s">
        <v>6566</v>
      </c>
      <c r="M592" s="55" t="s">
        <v>4569</v>
      </c>
      <c r="N592" s="55" t="s">
        <v>5192</v>
      </c>
      <c r="O592" s="55" t="s">
        <v>5191</v>
      </c>
    </row>
    <row r="593" spans="1:15" ht="15.75" x14ac:dyDescent="0.25">
      <c r="A593" s="55" t="s">
        <v>5188</v>
      </c>
      <c r="B593" s="55" t="s">
        <v>7098</v>
      </c>
      <c r="C593" s="55" t="s">
        <v>7099</v>
      </c>
      <c r="D593" s="55" t="s">
        <v>7100</v>
      </c>
      <c r="E593" s="55" t="s">
        <v>5194</v>
      </c>
      <c r="F593" s="55" t="s">
        <v>5195</v>
      </c>
      <c r="G593" s="55" t="s">
        <v>5235</v>
      </c>
      <c r="H593" s="55" t="s">
        <v>5236</v>
      </c>
      <c r="I593" s="55" t="s">
        <v>7101</v>
      </c>
      <c r="J593" s="55" t="s">
        <v>5189</v>
      </c>
      <c r="K593" s="55" t="s">
        <v>7102</v>
      </c>
      <c r="L593" s="55" t="s">
        <v>7103</v>
      </c>
      <c r="M593" s="55" t="s">
        <v>4944</v>
      </c>
      <c r="N593" s="55" t="s">
        <v>5192</v>
      </c>
      <c r="O593" s="55" t="s">
        <v>5191</v>
      </c>
    </row>
    <row r="594" spans="1:15" ht="15.75" x14ac:dyDescent="0.25">
      <c r="A594" s="55" t="s">
        <v>5188</v>
      </c>
      <c r="B594" s="55" t="s">
        <v>7104</v>
      </c>
      <c r="C594" s="55" t="s">
        <v>6576</v>
      </c>
      <c r="D594" s="55" t="s">
        <v>6577</v>
      </c>
      <c r="E594" s="55" t="s">
        <v>5401</v>
      </c>
      <c r="F594" s="55" t="s">
        <v>5402</v>
      </c>
      <c r="G594" s="55" t="s">
        <v>5403</v>
      </c>
      <c r="H594" s="55" t="s">
        <v>5404</v>
      </c>
      <c r="I594" s="55" t="s">
        <v>6578</v>
      </c>
      <c r="J594" s="55" t="s">
        <v>5189</v>
      </c>
      <c r="K594" s="55" t="s">
        <v>6579</v>
      </c>
      <c r="L594" s="55" t="s">
        <v>6580</v>
      </c>
      <c r="M594" s="55" t="s">
        <v>5026</v>
      </c>
      <c r="N594" s="55" t="s">
        <v>5192</v>
      </c>
      <c r="O594" s="55" t="s">
        <v>5191</v>
      </c>
    </row>
    <row r="595" spans="1:15" ht="15.75" x14ac:dyDescent="0.25">
      <c r="A595" s="55" t="s">
        <v>5188</v>
      </c>
      <c r="B595" s="55" t="s">
        <v>7105</v>
      </c>
      <c r="C595" s="55" t="s">
        <v>6582</v>
      </c>
      <c r="D595" s="55" t="s">
        <v>6583</v>
      </c>
      <c r="E595" s="55" t="s">
        <v>5401</v>
      </c>
      <c r="F595" s="55" t="s">
        <v>5402</v>
      </c>
      <c r="G595" s="55" t="s">
        <v>5403</v>
      </c>
      <c r="H595" s="55" t="s">
        <v>5404</v>
      </c>
      <c r="I595" s="55" t="s">
        <v>6584</v>
      </c>
      <c r="J595" s="55" t="s">
        <v>5189</v>
      </c>
      <c r="K595" s="55" t="s">
        <v>6585</v>
      </c>
      <c r="L595" s="55" t="s">
        <v>6586</v>
      </c>
      <c r="M595" s="55" t="s">
        <v>5026</v>
      </c>
      <c r="N595" s="55" t="s">
        <v>5192</v>
      </c>
      <c r="O595" s="55" t="s">
        <v>5191</v>
      </c>
    </row>
    <row r="596" spans="1:15" ht="15.75" x14ac:dyDescent="0.25">
      <c r="A596" s="55" t="s">
        <v>5188</v>
      </c>
      <c r="B596" s="55" t="s">
        <v>7106</v>
      </c>
      <c r="C596" s="55" t="s">
        <v>7107</v>
      </c>
      <c r="D596" s="55" t="s">
        <v>7108</v>
      </c>
      <c r="E596" s="55" t="s">
        <v>5416</v>
      </c>
      <c r="F596" s="55" t="s">
        <v>5417</v>
      </c>
      <c r="G596" s="55" t="s">
        <v>5233</v>
      </c>
      <c r="H596" s="55" t="s">
        <v>5234</v>
      </c>
      <c r="I596" s="55" t="s">
        <v>7109</v>
      </c>
      <c r="J596" s="55" t="s">
        <v>5189</v>
      </c>
      <c r="K596" s="55" t="s">
        <v>7110</v>
      </c>
      <c r="L596" s="55" t="s">
        <v>7111</v>
      </c>
      <c r="M596" s="55" t="s">
        <v>5316</v>
      </c>
      <c r="N596" s="55" t="s">
        <v>5192</v>
      </c>
      <c r="O596" s="55" t="s">
        <v>5191</v>
      </c>
    </row>
    <row r="597" spans="1:15" ht="15.75" x14ac:dyDescent="0.25">
      <c r="A597" s="55" t="s">
        <v>5188</v>
      </c>
      <c r="B597" s="55" t="s">
        <v>7112</v>
      </c>
      <c r="C597" s="55" t="s">
        <v>6588</v>
      </c>
      <c r="D597" s="55" t="s">
        <v>6589</v>
      </c>
      <c r="E597" s="55" t="s">
        <v>5416</v>
      </c>
      <c r="F597" s="55" t="s">
        <v>5417</v>
      </c>
      <c r="G597" s="55" t="s">
        <v>5233</v>
      </c>
      <c r="H597" s="55" t="s">
        <v>5234</v>
      </c>
      <c r="I597" s="55" t="s">
        <v>6590</v>
      </c>
      <c r="J597" s="55" t="s">
        <v>5189</v>
      </c>
      <c r="K597" s="55" t="s">
        <v>6591</v>
      </c>
      <c r="L597" s="55" t="s">
        <v>6592</v>
      </c>
      <c r="M597" s="55" t="s">
        <v>3551</v>
      </c>
      <c r="N597" s="55" t="s">
        <v>5192</v>
      </c>
      <c r="O597" s="55" t="s">
        <v>5191</v>
      </c>
    </row>
    <row r="598" spans="1:15" ht="15.75" x14ac:dyDescent="0.25">
      <c r="A598" s="55" t="s">
        <v>5188</v>
      </c>
      <c r="B598" s="55" t="s">
        <v>7113</v>
      </c>
      <c r="C598" s="55" t="s">
        <v>6588</v>
      </c>
      <c r="D598" s="55" t="s">
        <v>6589</v>
      </c>
      <c r="E598" s="55" t="s">
        <v>5416</v>
      </c>
      <c r="F598" s="55" t="s">
        <v>5417</v>
      </c>
      <c r="G598" s="55" t="s">
        <v>5233</v>
      </c>
      <c r="H598" s="55" t="s">
        <v>5234</v>
      </c>
      <c r="I598" s="55" t="s">
        <v>6590</v>
      </c>
      <c r="J598" s="55" t="s">
        <v>5189</v>
      </c>
      <c r="K598" s="55" t="s">
        <v>6591</v>
      </c>
      <c r="L598" s="55" t="s">
        <v>6592</v>
      </c>
      <c r="M598" s="55" t="s">
        <v>5208</v>
      </c>
      <c r="N598" s="55" t="s">
        <v>5192</v>
      </c>
      <c r="O598" s="55" t="s">
        <v>5191</v>
      </c>
    </row>
    <row r="599" spans="1:15" ht="15.75" x14ac:dyDescent="0.25">
      <c r="A599" s="55" t="s">
        <v>5188</v>
      </c>
      <c r="B599" s="55" t="s">
        <v>7114</v>
      </c>
      <c r="C599" s="55" t="s">
        <v>7115</v>
      </c>
      <c r="D599" s="55" t="s">
        <v>7116</v>
      </c>
      <c r="E599" s="55" t="s">
        <v>7117</v>
      </c>
      <c r="F599" s="55" t="s">
        <v>7118</v>
      </c>
      <c r="G599" s="55" t="s">
        <v>5229</v>
      </c>
      <c r="H599" s="55" t="s">
        <v>5230</v>
      </c>
      <c r="I599" s="55" t="s">
        <v>7119</v>
      </c>
      <c r="J599" s="55" t="s">
        <v>5189</v>
      </c>
      <c r="K599" s="55" t="s">
        <v>7120</v>
      </c>
      <c r="L599" s="55" t="s">
        <v>7121</v>
      </c>
      <c r="M599" s="55" t="s">
        <v>4569</v>
      </c>
      <c r="N599" s="55" t="s">
        <v>5192</v>
      </c>
      <c r="O599" s="55" t="s">
        <v>5191</v>
      </c>
    </row>
    <row r="600" spans="1:15" ht="15.75" x14ac:dyDescent="0.25">
      <c r="A600" s="55" t="s">
        <v>5188</v>
      </c>
      <c r="B600" s="55" t="s">
        <v>7122</v>
      </c>
      <c r="C600" s="55" t="s">
        <v>7115</v>
      </c>
      <c r="D600" s="55" t="s">
        <v>7116</v>
      </c>
      <c r="E600" s="55" t="s">
        <v>7117</v>
      </c>
      <c r="F600" s="55" t="s">
        <v>7118</v>
      </c>
      <c r="G600" s="55" t="s">
        <v>5229</v>
      </c>
      <c r="H600" s="55" t="s">
        <v>5230</v>
      </c>
      <c r="I600" s="55" t="s">
        <v>7119</v>
      </c>
      <c r="J600" s="55" t="s">
        <v>5189</v>
      </c>
      <c r="K600" s="55" t="s">
        <v>7120</v>
      </c>
      <c r="L600" s="55" t="s">
        <v>7121</v>
      </c>
      <c r="M600" s="55" t="s">
        <v>4972</v>
      </c>
      <c r="N600" s="55" t="s">
        <v>5192</v>
      </c>
      <c r="O600" s="55" t="s">
        <v>5191</v>
      </c>
    </row>
    <row r="601" spans="1:15" ht="15.75" x14ac:dyDescent="0.25">
      <c r="A601" s="55" t="s">
        <v>5188</v>
      </c>
      <c r="B601" s="55" t="s">
        <v>7123</v>
      </c>
      <c r="C601" s="55" t="s">
        <v>7115</v>
      </c>
      <c r="D601" s="55" t="s">
        <v>7116</v>
      </c>
      <c r="E601" s="55" t="s">
        <v>7117</v>
      </c>
      <c r="F601" s="55" t="s">
        <v>7118</v>
      </c>
      <c r="G601" s="55" t="s">
        <v>5229</v>
      </c>
      <c r="H601" s="55" t="s">
        <v>5230</v>
      </c>
      <c r="I601" s="55" t="s">
        <v>7119</v>
      </c>
      <c r="J601" s="55" t="s">
        <v>5189</v>
      </c>
      <c r="K601" s="55" t="s">
        <v>7120</v>
      </c>
      <c r="L601" s="55" t="s">
        <v>7121</v>
      </c>
      <c r="M601" s="55" t="s">
        <v>4567</v>
      </c>
      <c r="N601" s="55" t="s">
        <v>5192</v>
      </c>
      <c r="O601" s="55" t="s">
        <v>5191</v>
      </c>
    </row>
    <row r="602" spans="1:15" ht="15.75" x14ac:dyDescent="0.25">
      <c r="A602" s="55" t="s">
        <v>5188</v>
      </c>
      <c r="B602" s="55" t="s">
        <v>7124</v>
      </c>
      <c r="C602" s="55" t="s">
        <v>6594</v>
      </c>
      <c r="D602" s="55" t="s">
        <v>6595</v>
      </c>
      <c r="E602" s="55" t="s">
        <v>5401</v>
      </c>
      <c r="F602" s="55" t="s">
        <v>5402</v>
      </c>
      <c r="G602" s="55" t="s">
        <v>5403</v>
      </c>
      <c r="H602" s="55" t="s">
        <v>5404</v>
      </c>
      <c r="I602" s="55" t="s">
        <v>6596</v>
      </c>
      <c r="J602" s="55" t="s">
        <v>5189</v>
      </c>
      <c r="K602" s="55" t="s">
        <v>6597</v>
      </c>
      <c r="L602" s="55" t="s">
        <v>6598</v>
      </c>
      <c r="M602" s="55" t="s">
        <v>5026</v>
      </c>
      <c r="N602" s="55" t="s">
        <v>5192</v>
      </c>
      <c r="O602" s="55" t="s">
        <v>5191</v>
      </c>
    </row>
    <row r="603" spans="1:15" ht="15.75" x14ac:dyDescent="0.25">
      <c r="A603" s="55" t="s">
        <v>5188</v>
      </c>
      <c r="B603" s="55" t="s">
        <v>7125</v>
      </c>
      <c r="C603" s="55" t="s">
        <v>6610</v>
      </c>
      <c r="D603" s="55" t="s">
        <v>6611</v>
      </c>
      <c r="E603" s="55" t="s">
        <v>6612</v>
      </c>
      <c r="F603" s="55" t="s">
        <v>6613</v>
      </c>
      <c r="G603" s="55" t="s">
        <v>6614</v>
      </c>
      <c r="H603" s="55" t="s">
        <v>6615</v>
      </c>
      <c r="I603" s="55" t="s">
        <v>6616</v>
      </c>
      <c r="J603" s="55" t="s">
        <v>5189</v>
      </c>
      <c r="K603" s="55" t="s">
        <v>6617</v>
      </c>
      <c r="L603" s="55" t="s">
        <v>6618</v>
      </c>
      <c r="M603" s="55" t="s">
        <v>3551</v>
      </c>
      <c r="N603" s="55" t="s">
        <v>5192</v>
      </c>
      <c r="O603" s="55" t="s">
        <v>5191</v>
      </c>
    </row>
    <row r="604" spans="1:15" ht="15.75" x14ac:dyDescent="0.25">
      <c r="A604" s="55" t="s">
        <v>5188</v>
      </c>
      <c r="B604" s="55" t="s">
        <v>7126</v>
      </c>
      <c r="C604" s="55" t="s">
        <v>6621</v>
      </c>
      <c r="D604" s="55" t="s">
        <v>6622</v>
      </c>
      <c r="E604" s="55" t="s">
        <v>6623</v>
      </c>
      <c r="F604" s="55" t="s">
        <v>6624</v>
      </c>
      <c r="G604" s="55" t="s">
        <v>5422</v>
      </c>
      <c r="H604" s="55" t="s">
        <v>5423</v>
      </c>
      <c r="I604" s="55" t="s">
        <v>6625</v>
      </c>
      <c r="J604" s="55" t="s">
        <v>5189</v>
      </c>
      <c r="K604" s="55" t="s">
        <v>6626</v>
      </c>
      <c r="L604" s="55" t="s">
        <v>6627</v>
      </c>
      <c r="M604" s="55" t="s">
        <v>4565</v>
      </c>
      <c r="N604" s="55" t="s">
        <v>5192</v>
      </c>
      <c r="O604" s="55" t="s">
        <v>5191</v>
      </c>
    </row>
    <row r="605" spans="1:15" ht="15.75" x14ac:dyDescent="0.25">
      <c r="A605" s="55" t="s">
        <v>5188</v>
      </c>
      <c r="B605" s="55" t="s">
        <v>7127</v>
      </c>
      <c r="C605" s="55" t="s">
        <v>6639</v>
      </c>
      <c r="D605" s="55" t="s">
        <v>6640</v>
      </c>
      <c r="E605" s="55" t="s">
        <v>6641</v>
      </c>
      <c r="F605" s="55" t="s">
        <v>6642</v>
      </c>
      <c r="G605" s="55" t="s">
        <v>5235</v>
      </c>
      <c r="H605" s="55" t="s">
        <v>5236</v>
      </c>
      <c r="I605" s="55" t="s">
        <v>6643</v>
      </c>
      <c r="J605" s="55" t="s">
        <v>5189</v>
      </c>
      <c r="K605" s="55" t="s">
        <v>6644</v>
      </c>
      <c r="L605" s="55" t="s">
        <v>6645</v>
      </c>
      <c r="M605" s="55" t="s">
        <v>4752</v>
      </c>
      <c r="N605" s="55" t="s">
        <v>5192</v>
      </c>
      <c r="O605" s="55" t="s">
        <v>5191</v>
      </c>
    </row>
    <row r="606" spans="1:15" ht="15.75" x14ac:dyDescent="0.25">
      <c r="A606" s="55" t="s">
        <v>5188</v>
      </c>
      <c r="B606" s="55" t="s">
        <v>7128</v>
      </c>
      <c r="C606" s="55" t="s">
        <v>7129</v>
      </c>
      <c r="D606" s="55" t="s">
        <v>7130</v>
      </c>
      <c r="E606" s="55" t="s">
        <v>5401</v>
      </c>
      <c r="F606" s="55" t="s">
        <v>5402</v>
      </c>
      <c r="G606" s="55" t="s">
        <v>5403</v>
      </c>
      <c r="H606" s="55" t="s">
        <v>5404</v>
      </c>
      <c r="I606" s="55" t="s">
        <v>7131</v>
      </c>
      <c r="J606" s="55" t="s">
        <v>5189</v>
      </c>
      <c r="K606" s="55" t="s">
        <v>6649</v>
      </c>
      <c r="L606" s="55" t="s">
        <v>7132</v>
      </c>
      <c r="M606" s="55" t="s">
        <v>4501</v>
      </c>
      <c r="N606" s="55" t="s">
        <v>5192</v>
      </c>
      <c r="O606" s="55" t="s">
        <v>5191</v>
      </c>
    </row>
    <row r="607" spans="1:15" ht="15.75" x14ac:dyDescent="0.25">
      <c r="A607" s="55" t="s">
        <v>5188</v>
      </c>
      <c r="B607" s="55" t="s">
        <v>7200</v>
      </c>
      <c r="C607" s="55" t="s">
        <v>7201</v>
      </c>
      <c r="D607" s="55" t="s">
        <v>7202</v>
      </c>
      <c r="E607" s="55" t="s">
        <v>5401</v>
      </c>
      <c r="F607" s="55" t="s">
        <v>5402</v>
      </c>
      <c r="G607" s="55" t="s">
        <v>5403</v>
      </c>
      <c r="H607" s="55" t="s">
        <v>5404</v>
      </c>
      <c r="I607" s="55" t="s">
        <v>7203</v>
      </c>
      <c r="J607" s="55" t="s">
        <v>5189</v>
      </c>
      <c r="K607" s="55" t="s">
        <v>6649</v>
      </c>
      <c r="L607" s="55" t="s">
        <v>7204</v>
      </c>
      <c r="M607" s="55" t="s">
        <v>4501</v>
      </c>
      <c r="N607" s="55" t="s">
        <v>5192</v>
      </c>
      <c r="O607" s="55" t="s">
        <v>5191</v>
      </c>
    </row>
    <row r="608" spans="1:15" ht="15.75" x14ac:dyDescent="0.25">
      <c r="A608" s="55" t="s">
        <v>5188</v>
      </c>
      <c r="B608" s="55" t="s">
        <v>7205</v>
      </c>
      <c r="C608" s="55" t="s">
        <v>6657</v>
      </c>
      <c r="D608" s="55" t="s">
        <v>6658</v>
      </c>
      <c r="E608" s="55" t="s">
        <v>6659</v>
      </c>
      <c r="F608" s="55" t="s">
        <v>6660</v>
      </c>
      <c r="G608" s="55" t="s">
        <v>6661</v>
      </c>
      <c r="H608" s="55" t="s">
        <v>6662</v>
      </c>
      <c r="I608" s="55" t="s">
        <v>6663</v>
      </c>
      <c r="J608" s="55" t="s">
        <v>5189</v>
      </c>
      <c r="K608" s="55" t="s">
        <v>6664</v>
      </c>
      <c r="L608" s="55" t="s">
        <v>6665</v>
      </c>
      <c r="M608" s="55" t="s">
        <v>4754</v>
      </c>
      <c r="N608" s="55" t="s">
        <v>5192</v>
      </c>
      <c r="O608" s="55" t="s">
        <v>5191</v>
      </c>
    </row>
    <row r="609" spans="1:15" ht="15.75" x14ac:dyDescent="0.25">
      <c r="A609" s="55" t="s">
        <v>5188</v>
      </c>
      <c r="B609" s="55" t="s">
        <v>7206</v>
      </c>
      <c r="C609" s="55" t="s">
        <v>7207</v>
      </c>
      <c r="D609" s="55" t="s">
        <v>7208</v>
      </c>
      <c r="E609" s="55" t="s">
        <v>7117</v>
      </c>
      <c r="F609" s="55" t="s">
        <v>7118</v>
      </c>
      <c r="G609" s="55" t="s">
        <v>5229</v>
      </c>
      <c r="H609" s="55" t="s">
        <v>5230</v>
      </c>
      <c r="I609" s="55" t="s">
        <v>7209</v>
      </c>
      <c r="J609" s="55" t="s">
        <v>5189</v>
      </c>
      <c r="K609" s="55" t="s">
        <v>7210</v>
      </c>
      <c r="L609" s="55" t="s">
        <v>7211</v>
      </c>
      <c r="M609" s="55" t="s">
        <v>4565</v>
      </c>
      <c r="N609" s="55" t="s">
        <v>5192</v>
      </c>
      <c r="O609" s="55" t="s">
        <v>5191</v>
      </c>
    </row>
    <row r="610" spans="1:15" ht="15.75" x14ac:dyDescent="0.25">
      <c r="A610" s="55" t="s">
        <v>5188</v>
      </c>
      <c r="B610" s="55" t="s">
        <v>7212</v>
      </c>
      <c r="C610" s="55" t="s">
        <v>6673</v>
      </c>
      <c r="D610" s="55" t="s">
        <v>6674</v>
      </c>
      <c r="E610" s="55" t="s">
        <v>6675</v>
      </c>
      <c r="F610" s="55" t="s">
        <v>6676</v>
      </c>
      <c r="G610" s="55" t="s">
        <v>5369</v>
      </c>
      <c r="H610" s="55" t="s">
        <v>5370</v>
      </c>
      <c r="I610" s="55" t="s">
        <v>6677</v>
      </c>
      <c r="J610" s="55" t="s">
        <v>5189</v>
      </c>
      <c r="K610" s="55" t="s">
        <v>6678</v>
      </c>
      <c r="L610" s="55" t="s">
        <v>6679</v>
      </c>
      <c r="M610" s="55" t="s">
        <v>4992</v>
      </c>
      <c r="N610" s="55" t="s">
        <v>5192</v>
      </c>
      <c r="O610" s="55" t="s">
        <v>5191</v>
      </c>
    </row>
    <row r="611" spans="1:15" ht="15.75" x14ac:dyDescent="0.25">
      <c r="A611" s="55" t="s">
        <v>5188</v>
      </c>
      <c r="B611" s="55" t="s">
        <v>7213</v>
      </c>
      <c r="C611" s="55" t="s">
        <v>6673</v>
      </c>
      <c r="D611" s="55" t="s">
        <v>6674</v>
      </c>
      <c r="E611" s="55" t="s">
        <v>6675</v>
      </c>
      <c r="F611" s="55" t="s">
        <v>6676</v>
      </c>
      <c r="G611" s="55" t="s">
        <v>5369</v>
      </c>
      <c r="H611" s="55" t="s">
        <v>5370</v>
      </c>
      <c r="I611" s="55" t="s">
        <v>6677</v>
      </c>
      <c r="J611" s="55" t="s">
        <v>5189</v>
      </c>
      <c r="K611" s="55" t="s">
        <v>6678</v>
      </c>
      <c r="L611" s="55" t="s">
        <v>6679</v>
      </c>
      <c r="M611" s="55" t="s">
        <v>7214</v>
      </c>
      <c r="N611" s="55" t="s">
        <v>5192</v>
      </c>
      <c r="O611" s="55" t="s">
        <v>5191</v>
      </c>
    </row>
    <row r="612" spans="1:15" ht="15.75" x14ac:dyDescent="0.25">
      <c r="A612" s="55" t="s">
        <v>5188</v>
      </c>
      <c r="B612" s="55" t="s">
        <v>7215</v>
      </c>
      <c r="C612" s="55" t="s">
        <v>6673</v>
      </c>
      <c r="D612" s="55" t="s">
        <v>6674</v>
      </c>
      <c r="E612" s="55" t="s">
        <v>6675</v>
      </c>
      <c r="F612" s="55" t="s">
        <v>6676</v>
      </c>
      <c r="G612" s="55" t="s">
        <v>5369</v>
      </c>
      <c r="H612" s="55" t="s">
        <v>5370</v>
      </c>
      <c r="I612" s="55" t="s">
        <v>6677</v>
      </c>
      <c r="J612" s="55" t="s">
        <v>5189</v>
      </c>
      <c r="K612" s="55" t="s">
        <v>6678</v>
      </c>
      <c r="L612" s="55" t="s">
        <v>6679</v>
      </c>
      <c r="M612" s="55" t="s">
        <v>5682</v>
      </c>
      <c r="N612" s="55" t="s">
        <v>5192</v>
      </c>
      <c r="O612" s="55" t="s">
        <v>5191</v>
      </c>
    </row>
    <row r="613" spans="1:15" ht="15.75" x14ac:dyDescent="0.25">
      <c r="A613" s="55" t="s">
        <v>5188</v>
      </c>
      <c r="B613" s="55" t="s">
        <v>7216</v>
      </c>
      <c r="C613" s="55" t="s">
        <v>6684</v>
      </c>
      <c r="D613" s="55" t="s">
        <v>6685</v>
      </c>
      <c r="E613" s="55" t="s">
        <v>6686</v>
      </c>
      <c r="F613" s="55" t="s">
        <v>6687</v>
      </c>
      <c r="G613" s="55" t="s">
        <v>5235</v>
      </c>
      <c r="H613" s="55" t="s">
        <v>5236</v>
      </c>
      <c r="I613" s="55" t="s">
        <v>6688</v>
      </c>
      <c r="J613" s="55" t="s">
        <v>5189</v>
      </c>
      <c r="K613" s="55" t="s">
        <v>6689</v>
      </c>
      <c r="L613" s="55" t="s">
        <v>6690</v>
      </c>
      <c r="M613" s="55" t="s">
        <v>906</v>
      </c>
      <c r="N613" s="55" t="s">
        <v>5192</v>
      </c>
      <c r="O613" s="55" t="s">
        <v>5191</v>
      </c>
    </row>
    <row r="614" spans="1:15" ht="15.75" x14ac:dyDescent="0.25">
      <c r="A614" s="55" t="s">
        <v>5188</v>
      </c>
      <c r="B614" s="55" t="s">
        <v>7217</v>
      </c>
      <c r="C614" s="55" t="s">
        <v>6684</v>
      </c>
      <c r="D614" s="55" t="s">
        <v>6685</v>
      </c>
      <c r="E614" s="55" t="s">
        <v>6686</v>
      </c>
      <c r="F614" s="55" t="s">
        <v>6687</v>
      </c>
      <c r="G614" s="55" t="s">
        <v>5235</v>
      </c>
      <c r="H614" s="55" t="s">
        <v>5236</v>
      </c>
      <c r="I614" s="55" t="s">
        <v>6688</v>
      </c>
      <c r="J614" s="55" t="s">
        <v>5189</v>
      </c>
      <c r="K614" s="55" t="s">
        <v>6689</v>
      </c>
      <c r="L614" s="55" t="s">
        <v>6690</v>
      </c>
      <c r="M614" s="55" t="s">
        <v>4358</v>
      </c>
      <c r="N614" s="55" t="s">
        <v>5192</v>
      </c>
      <c r="O614" s="55" t="s">
        <v>5191</v>
      </c>
    </row>
    <row r="615" spans="1:15" ht="15.75" x14ac:dyDescent="0.25">
      <c r="A615" s="55" t="s">
        <v>5188</v>
      </c>
      <c r="B615" s="55" t="s">
        <v>8346</v>
      </c>
      <c r="C615" s="55" t="s">
        <v>7817</v>
      </c>
      <c r="D615" s="55" t="s">
        <v>7818</v>
      </c>
      <c r="E615" s="55" t="s">
        <v>7819</v>
      </c>
      <c r="F615" s="55" t="s">
        <v>7820</v>
      </c>
      <c r="G615" s="55" t="s">
        <v>7821</v>
      </c>
      <c r="H615" s="55" t="s">
        <v>7822</v>
      </c>
      <c r="I615" s="55" t="s">
        <v>7823</v>
      </c>
      <c r="J615" s="55" t="s">
        <v>5189</v>
      </c>
      <c r="K615" s="55" t="s">
        <v>7824</v>
      </c>
      <c r="L615" s="55" t="s">
        <v>7825</v>
      </c>
      <c r="M615" s="55" t="s">
        <v>3551</v>
      </c>
      <c r="N615" s="55" t="s">
        <v>5192</v>
      </c>
      <c r="O615" s="55" t="s">
        <v>5191</v>
      </c>
    </row>
    <row r="616" spans="1:15" ht="15.75" x14ac:dyDescent="0.25">
      <c r="A616" s="55" t="s">
        <v>5188</v>
      </c>
      <c r="B616" s="55" t="s">
        <v>8347</v>
      </c>
      <c r="C616" s="55" t="s">
        <v>7817</v>
      </c>
      <c r="D616" s="55" t="s">
        <v>7818</v>
      </c>
      <c r="E616" s="55" t="s">
        <v>7819</v>
      </c>
      <c r="F616" s="55" t="s">
        <v>7820</v>
      </c>
      <c r="G616" s="55" t="s">
        <v>7821</v>
      </c>
      <c r="H616" s="55" t="s">
        <v>7822</v>
      </c>
      <c r="I616" s="55" t="s">
        <v>7823</v>
      </c>
      <c r="J616" s="55" t="s">
        <v>5189</v>
      </c>
      <c r="K616" s="55" t="s">
        <v>7824</v>
      </c>
      <c r="L616" s="55" t="s">
        <v>7825</v>
      </c>
      <c r="M616" s="55" t="s">
        <v>2872</v>
      </c>
      <c r="N616" s="55" t="s">
        <v>5192</v>
      </c>
      <c r="O616" s="55" t="s">
        <v>5191</v>
      </c>
    </row>
    <row r="617" spans="1:15" ht="15.75" x14ac:dyDescent="0.25">
      <c r="A617" s="55" t="s">
        <v>5188</v>
      </c>
      <c r="B617" s="55" t="s">
        <v>8348</v>
      </c>
      <c r="C617" s="55" t="s">
        <v>7827</v>
      </c>
      <c r="D617" s="55" t="s">
        <v>7828</v>
      </c>
      <c r="E617" s="55" t="s">
        <v>7819</v>
      </c>
      <c r="F617" s="55" t="s">
        <v>7820</v>
      </c>
      <c r="G617" s="55" t="s">
        <v>7821</v>
      </c>
      <c r="H617" s="55" t="s">
        <v>7822</v>
      </c>
      <c r="I617" s="55" t="s">
        <v>7829</v>
      </c>
      <c r="J617" s="55" t="s">
        <v>5189</v>
      </c>
      <c r="K617" s="55" t="s">
        <v>7830</v>
      </c>
      <c r="L617" s="55" t="s">
        <v>7831</v>
      </c>
      <c r="M617" s="55" t="s">
        <v>4684</v>
      </c>
      <c r="N617" s="55" t="s">
        <v>5192</v>
      </c>
      <c r="O617" s="55" t="s">
        <v>5191</v>
      </c>
    </row>
    <row r="618" spans="1:15" ht="15.75" x14ac:dyDescent="0.25">
      <c r="A618" s="55" t="s">
        <v>5188</v>
      </c>
      <c r="B618" s="55" t="s">
        <v>8349</v>
      </c>
      <c r="C618" s="55" t="s">
        <v>8350</v>
      </c>
      <c r="D618" s="55" t="s">
        <v>8351</v>
      </c>
      <c r="E618" s="55" t="s">
        <v>8352</v>
      </c>
      <c r="F618" s="55" t="s">
        <v>8353</v>
      </c>
      <c r="G618" s="55" t="s">
        <v>5233</v>
      </c>
      <c r="H618" s="55" t="s">
        <v>5234</v>
      </c>
      <c r="I618" s="55" t="s">
        <v>8354</v>
      </c>
      <c r="J618" s="55" t="s">
        <v>5189</v>
      </c>
      <c r="K618" s="55" t="s">
        <v>8355</v>
      </c>
      <c r="L618" s="55" t="s">
        <v>8356</v>
      </c>
      <c r="M618" s="55" t="s">
        <v>4569</v>
      </c>
      <c r="N618" s="55" t="s">
        <v>5192</v>
      </c>
      <c r="O618" s="55" t="s">
        <v>5191</v>
      </c>
    </row>
    <row r="619" spans="1:15" ht="15.75" x14ac:dyDescent="0.25">
      <c r="A619" s="55" t="s">
        <v>5188</v>
      </c>
      <c r="B619" s="55" t="s">
        <v>8357</v>
      </c>
      <c r="C619" s="55" t="s">
        <v>8350</v>
      </c>
      <c r="D619" s="55" t="s">
        <v>8351</v>
      </c>
      <c r="E619" s="55" t="s">
        <v>8352</v>
      </c>
      <c r="F619" s="55" t="s">
        <v>8353</v>
      </c>
      <c r="G619" s="55" t="s">
        <v>5233</v>
      </c>
      <c r="H619" s="55" t="s">
        <v>5234</v>
      </c>
      <c r="I619" s="55" t="s">
        <v>8354</v>
      </c>
      <c r="J619" s="55" t="s">
        <v>5189</v>
      </c>
      <c r="K619" s="55" t="s">
        <v>8355</v>
      </c>
      <c r="L619" s="55" t="s">
        <v>8356</v>
      </c>
      <c r="M619" s="55" t="s">
        <v>4972</v>
      </c>
      <c r="N619" s="55" t="s">
        <v>5192</v>
      </c>
      <c r="O619" s="55" t="s">
        <v>5191</v>
      </c>
    </row>
    <row r="620" spans="1:15" ht="15.75" x14ac:dyDescent="0.25">
      <c r="A620" s="55" t="s">
        <v>5188</v>
      </c>
      <c r="B620" s="55" t="s">
        <v>8358</v>
      </c>
      <c r="C620" s="55" t="s">
        <v>8350</v>
      </c>
      <c r="D620" s="55" t="s">
        <v>8351</v>
      </c>
      <c r="E620" s="55" t="s">
        <v>8352</v>
      </c>
      <c r="F620" s="55" t="s">
        <v>8353</v>
      </c>
      <c r="G620" s="55" t="s">
        <v>5233</v>
      </c>
      <c r="H620" s="55" t="s">
        <v>5234</v>
      </c>
      <c r="I620" s="55" t="s">
        <v>8354</v>
      </c>
      <c r="J620" s="55" t="s">
        <v>5189</v>
      </c>
      <c r="K620" s="55" t="s">
        <v>8355</v>
      </c>
      <c r="L620" s="55" t="s">
        <v>8356</v>
      </c>
      <c r="M620" s="55" t="s">
        <v>4583</v>
      </c>
      <c r="N620" s="55" t="s">
        <v>5192</v>
      </c>
      <c r="O620" s="55" t="s">
        <v>5191</v>
      </c>
    </row>
    <row r="621" spans="1:15" ht="15.75" x14ac:dyDescent="0.25">
      <c r="A621" s="55" t="s">
        <v>5188</v>
      </c>
      <c r="B621" s="55" t="s">
        <v>8359</v>
      </c>
      <c r="C621" s="55" t="s">
        <v>8360</v>
      </c>
      <c r="D621" s="55" t="s">
        <v>8361</v>
      </c>
      <c r="E621" s="55" t="s">
        <v>8362</v>
      </c>
      <c r="F621" s="55" t="s">
        <v>8363</v>
      </c>
      <c r="G621" s="55" t="s">
        <v>5244</v>
      </c>
      <c r="H621" s="55" t="s">
        <v>5245</v>
      </c>
      <c r="I621" s="55" t="s">
        <v>8364</v>
      </c>
      <c r="J621" s="55" t="s">
        <v>5189</v>
      </c>
      <c r="K621" s="55" t="s">
        <v>8365</v>
      </c>
      <c r="L621" s="55" t="s">
        <v>8366</v>
      </c>
      <c r="M621" s="55" t="s">
        <v>4519</v>
      </c>
      <c r="N621" s="55" t="s">
        <v>5192</v>
      </c>
      <c r="O621" s="55" t="s">
        <v>5191</v>
      </c>
    </row>
    <row r="622" spans="1:15" ht="15.75" x14ac:dyDescent="0.25">
      <c r="A622" s="55" t="s">
        <v>5188</v>
      </c>
      <c r="B622" s="55" t="s">
        <v>8367</v>
      </c>
      <c r="C622" s="55" t="s">
        <v>8360</v>
      </c>
      <c r="D622" s="55" t="s">
        <v>8361</v>
      </c>
      <c r="E622" s="55" t="s">
        <v>8362</v>
      </c>
      <c r="F622" s="55" t="s">
        <v>8363</v>
      </c>
      <c r="G622" s="55" t="s">
        <v>5244</v>
      </c>
      <c r="H622" s="55" t="s">
        <v>5245</v>
      </c>
      <c r="I622" s="55" t="s">
        <v>8364</v>
      </c>
      <c r="J622" s="55" t="s">
        <v>5189</v>
      </c>
      <c r="K622" s="55" t="s">
        <v>8365</v>
      </c>
      <c r="L622" s="55" t="s">
        <v>8366</v>
      </c>
      <c r="M622" s="55" t="s">
        <v>972</v>
      </c>
      <c r="N622" s="55" t="s">
        <v>5192</v>
      </c>
      <c r="O622" s="55" t="s">
        <v>5191</v>
      </c>
    </row>
    <row r="623" spans="1:15" ht="15.75" x14ac:dyDescent="0.25">
      <c r="A623" s="55" t="s">
        <v>5188</v>
      </c>
      <c r="B623" s="55" t="s">
        <v>8368</v>
      </c>
      <c r="C623" s="55" t="s">
        <v>8369</v>
      </c>
      <c r="D623" s="55" t="s">
        <v>8370</v>
      </c>
      <c r="E623" s="55" t="s">
        <v>8371</v>
      </c>
      <c r="F623" s="55" t="s">
        <v>8372</v>
      </c>
      <c r="G623" s="55" t="s">
        <v>8373</v>
      </c>
      <c r="H623" s="55" t="s">
        <v>8374</v>
      </c>
      <c r="I623" s="55" t="s">
        <v>8375</v>
      </c>
      <c r="J623" s="55" t="s">
        <v>5189</v>
      </c>
      <c r="K623" s="55" t="s">
        <v>8376</v>
      </c>
      <c r="L623" s="55" t="s">
        <v>8377</v>
      </c>
      <c r="M623" s="55" t="s">
        <v>5360</v>
      </c>
      <c r="N623" s="55" t="s">
        <v>5192</v>
      </c>
      <c r="O623" s="55" t="s">
        <v>5191</v>
      </c>
    </row>
    <row r="624" spans="1:15" ht="15.75" x14ac:dyDescent="0.25">
      <c r="A624" s="55" t="s">
        <v>5188</v>
      </c>
      <c r="B624" s="55" t="s">
        <v>8378</v>
      </c>
      <c r="C624" s="55" t="s">
        <v>8379</v>
      </c>
      <c r="D624" s="55" t="s">
        <v>8380</v>
      </c>
      <c r="E624" s="55" t="s">
        <v>8381</v>
      </c>
      <c r="F624" s="55" t="s">
        <v>8382</v>
      </c>
      <c r="G624" s="55" t="s">
        <v>8383</v>
      </c>
      <c r="H624" s="55" t="s">
        <v>8384</v>
      </c>
      <c r="I624" s="55" t="s">
        <v>8385</v>
      </c>
      <c r="J624" s="55" t="s">
        <v>5189</v>
      </c>
      <c r="K624" s="55" t="s">
        <v>8386</v>
      </c>
      <c r="L624" s="55" t="s">
        <v>8387</v>
      </c>
      <c r="M624" s="55" t="s">
        <v>4561</v>
      </c>
      <c r="N624" s="55" t="s">
        <v>5192</v>
      </c>
      <c r="O624" s="55" t="s">
        <v>5191</v>
      </c>
    </row>
    <row r="625" spans="1:15" ht="15.75" x14ac:dyDescent="0.25">
      <c r="A625" s="55" t="s">
        <v>5188</v>
      </c>
      <c r="B625" s="55" t="s">
        <v>8388</v>
      </c>
      <c r="C625" s="55" t="s">
        <v>8389</v>
      </c>
      <c r="D625" s="55" t="s">
        <v>8390</v>
      </c>
      <c r="E625" s="55" t="s">
        <v>8391</v>
      </c>
      <c r="F625" s="55" t="s">
        <v>8392</v>
      </c>
      <c r="G625" s="55" t="s">
        <v>8393</v>
      </c>
      <c r="H625" s="55" t="s">
        <v>8394</v>
      </c>
      <c r="I625" s="55" t="s">
        <v>8395</v>
      </c>
      <c r="J625" s="55" t="s">
        <v>5189</v>
      </c>
      <c r="K625" s="55" t="s">
        <v>8396</v>
      </c>
      <c r="L625" s="55" t="s">
        <v>8397</v>
      </c>
      <c r="M625" s="55" t="s">
        <v>415</v>
      </c>
      <c r="N625" s="55" t="s">
        <v>5192</v>
      </c>
      <c r="O625" s="55" t="s">
        <v>5191</v>
      </c>
    </row>
    <row r="626" spans="1:15" ht="15.75" x14ac:dyDescent="0.25">
      <c r="A626" s="55" t="s">
        <v>5188</v>
      </c>
      <c r="B626" s="55" t="s">
        <v>8398</v>
      </c>
      <c r="C626" s="55" t="s">
        <v>8399</v>
      </c>
      <c r="D626" s="55" t="s">
        <v>8400</v>
      </c>
      <c r="E626" s="55" t="s">
        <v>7845</v>
      </c>
      <c r="F626" s="55" t="s">
        <v>7846</v>
      </c>
      <c r="G626" s="55" t="s">
        <v>5222</v>
      </c>
      <c r="H626" s="55" t="s">
        <v>5223</v>
      </c>
      <c r="I626" s="55" t="s">
        <v>8401</v>
      </c>
      <c r="J626" s="55" t="s">
        <v>5189</v>
      </c>
      <c r="K626" s="55" t="s">
        <v>8402</v>
      </c>
      <c r="L626" s="55" t="s">
        <v>8403</v>
      </c>
      <c r="M626" s="55" t="s">
        <v>4567</v>
      </c>
      <c r="N626" s="55" t="s">
        <v>5192</v>
      </c>
      <c r="O626" s="55" t="s">
        <v>5191</v>
      </c>
    </row>
    <row r="627" spans="1:15" ht="15.75" x14ac:dyDescent="0.25">
      <c r="A627" s="55" t="s">
        <v>5188</v>
      </c>
      <c r="B627" s="55" t="s">
        <v>8404</v>
      </c>
      <c r="C627" s="55" t="s">
        <v>8399</v>
      </c>
      <c r="D627" s="55" t="s">
        <v>8400</v>
      </c>
      <c r="E627" s="55" t="s">
        <v>7845</v>
      </c>
      <c r="F627" s="55" t="s">
        <v>7846</v>
      </c>
      <c r="G627" s="55" t="s">
        <v>5222</v>
      </c>
      <c r="H627" s="55" t="s">
        <v>5223</v>
      </c>
      <c r="I627" s="55" t="s">
        <v>8401</v>
      </c>
      <c r="J627" s="55" t="s">
        <v>5189</v>
      </c>
      <c r="K627" s="55" t="s">
        <v>8402</v>
      </c>
      <c r="L627" s="55" t="s">
        <v>8403</v>
      </c>
      <c r="M627" s="55" t="s">
        <v>4621</v>
      </c>
      <c r="N627" s="55" t="s">
        <v>5192</v>
      </c>
      <c r="O627" s="55" t="s">
        <v>5191</v>
      </c>
    </row>
    <row r="628" spans="1:15" ht="15.75" x14ac:dyDescent="0.25">
      <c r="A628" s="55" t="s">
        <v>5188</v>
      </c>
      <c r="B628" s="55" t="s">
        <v>8405</v>
      </c>
      <c r="C628" s="55" t="s">
        <v>8399</v>
      </c>
      <c r="D628" s="55" t="s">
        <v>8400</v>
      </c>
      <c r="E628" s="55" t="s">
        <v>7845</v>
      </c>
      <c r="F628" s="55" t="s">
        <v>7846</v>
      </c>
      <c r="G628" s="55" t="s">
        <v>5222</v>
      </c>
      <c r="H628" s="55" t="s">
        <v>5223</v>
      </c>
      <c r="I628" s="55" t="s">
        <v>8401</v>
      </c>
      <c r="J628" s="55" t="s">
        <v>5189</v>
      </c>
      <c r="K628" s="55" t="s">
        <v>8402</v>
      </c>
      <c r="L628" s="55" t="s">
        <v>8403</v>
      </c>
      <c r="M628" s="55" t="s">
        <v>3407</v>
      </c>
      <c r="N628" s="55" t="s">
        <v>5192</v>
      </c>
      <c r="O628" s="55" t="s">
        <v>5191</v>
      </c>
    </row>
    <row r="629" spans="1:15" ht="15.75" x14ac:dyDescent="0.25">
      <c r="A629" s="55" t="s">
        <v>5188</v>
      </c>
      <c r="B629" s="55" t="s">
        <v>8406</v>
      </c>
      <c r="C629" s="55" t="s">
        <v>8399</v>
      </c>
      <c r="D629" s="55" t="s">
        <v>8400</v>
      </c>
      <c r="E629" s="55" t="s">
        <v>7845</v>
      </c>
      <c r="F629" s="55" t="s">
        <v>7846</v>
      </c>
      <c r="G629" s="55" t="s">
        <v>5222</v>
      </c>
      <c r="H629" s="55" t="s">
        <v>5223</v>
      </c>
      <c r="I629" s="55" t="s">
        <v>8401</v>
      </c>
      <c r="J629" s="55" t="s">
        <v>5189</v>
      </c>
      <c r="K629" s="55" t="s">
        <v>8402</v>
      </c>
      <c r="L629" s="55" t="s">
        <v>8403</v>
      </c>
      <c r="M629" s="55" t="s">
        <v>4503</v>
      </c>
      <c r="N629" s="55" t="s">
        <v>5192</v>
      </c>
      <c r="O629" s="55" t="s">
        <v>5191</v>
      </c>
    </row>
    <row r="630" spans="1:15" ht="15.75" x14ac:dyDescent="0.25">
      <c r="A630" s="55" t="s">
        <v>5188</v>
      </c>
      <c r="B630" s="55" t="s">
        <v>8407</v>
      </c>
      <c r="C630" s="55" t="s">
        <v>8408</v>
      </c>
      <c r="D630" s="55" t="s">
        <v>8409</v>
      </c>
      <c r="E630" s="55" t="s">
        <v>8410</v>
      </c>
      <c r="F630" s="55" t="s">
        <v>8411</v>
      </c>
      <c r="G630" s="55" t="s">
        <v>7006</v>
      </c>
      <c r="H630" s="55" t="s">
        <v>7007</v>
      </c>
      <c r="I630" s="55" t="s">
        <v>8412</v>
      </c>
      <c r="J630" s="55" t="s">
        <v>5189</v>
      </c>
      <c r="K630" s="55" t="s">
        <v>8413</v>
      </c>
      <c r="L630" s="55" t="s">
        <v>8414</v>
      </c>
      <c r="M630" s="55" t="s">
        <v>4926</v>
      </c>
      <c r="N630" s="55" t="s">
        <v>5192</v>
      </c>
      <c r="O630" s="55" t="s">
        <v>5191</v>
      </c>
    </row>
    <row r="631" spans="1:15" ht="15.75" x14ac:dyDescent="0.25">
      <c r="A631" s="55" t="s">
        <v>5188</v>
      </c>
      <c r="B631" s="55" t="s">
        <v>8415</v>
      </c>
      <c r="C631" s="55" t="s">
        <v>8416</v>
      </c>
      <c r="D631" s="55" t="s">
        <v>8417</v>
      </c>
      <c r="E631" s="55" t="s">
        <v>8280</v>
      </c>
      <c r="F631" s="55" t="s">
        <v>8281</v>
      </c>
      <c r="G631" s="55" t="s">
        <v>8282</v>
      </c>
      <c r="H631" s="55" t="s">
        <v>8283</v>
      </c>
      <c r="I631" s="55" t="s">
        <v>8418</v>
      </c>
      <c r="J631" s="55" t="s">
        <v>5189</v>
      </c>
      <c r="K631" s="55" t="s">
        <v>8419</v>
      </c>
      <c r="L631" s="55" t="s">
        <v>8420</v>
      </c>
      <c r="M631" s="55" t="s">
        <v>4569</v>
      </c>
      <c r="N631" s="55" t="s">
        <v>5192</v>
      </c>
      <c r="O631" s="55" t="s">
        <v>5191</v>
      </c>
    </row>
    <row r="632" spans="1:15" ht="15.75" x14ac:dyDescent="0.25">
      <c r="A632" s="55" t="s">
        <v>5188</v>
      </c>
      <c r="B632" s="55" t="s">
        <v>8421</v>
      </c>
      <c r="C632" s="55" t="s">
        <v>8422</v>
      </c>
      <c r="D632" s="55" t="s">
        <v>8423</v>
      </c>
      <c r="E632" s="55" t="s">
        <v>7142</v>
      </c>
      <c r="F632" s="55" t="s">
        <v>7143</v>
      </c>
      <c r="G632" s="55" t="s">
        <v>7006</v>
      </c>
      <c r="H632" s="55" t="s">
        <v>7007</v>
      </c>
      <c r="I632" s="55" t="s">
        <v>8424</v>
      </c>
      <c r="J632" s="55" t="s">
        <v>5189</v>
      </c>
      <c r="K632" s="55" t="s">
        <v>8425</v>
      </c>
      <c r="L632" s="55" t="s">
        <v>8426</v>
      </c>
      <c r="M632" s="55" t="s">
        <v>4569</v>
      </c>
      <c r="N632" s="55" t="s">
        <v>5192</v>
      </c>
      <c r="O632" s="55" t="s">
        <v>5191</v>
      </c>
    </row>
    <row r="633" spans="1:15" ht="15.75" x14ac:dyDescent="0.25">
      <c r="A633" s="55" t="s">
        <v>5188</v>
      </c>
      <c r="B633" s="55" t="s">
        <v>8427</v>
      </c>
      <c r="C633" s="55" t="s">
        <v>8428</v>
      </c>
      <c r="D633" s="55" t="s">
        <v>8429</v>
      </c>
      <c r="E633" s="55" t="s">
        <v>8430</v>
      </c>
      <c r="F633" s="55" t="s">
        <v>8431</v>
      </c>
      <c r="G633" s="55" t="s">
        <v>7006</v>
      </c>
      <c r="H633" s="55" t="s">
        <v>7007</v>
      </c>
      <c r="I633" s="55" t="s">
        <v>8432</v>
      </c>
      <c r="J633" s="55" t="s">
        <v>5189</v>
      </c>
      <c r="K633" s="55" t="s">
        <v>8433</v>
      </c>
      <c r="L633" s="55" t="s">
        <v>8434</v>
      </c>
      <c r="M633" s="55" t="s">
        <v>5028</v>
      </c>
      <c r="N633" s="55" t="s">
        <v>5192</v>
      </c>
      <c r="O633" s="55" t="s">
        <v>5191</v>
      </c>
    </row>
    <row r="634" spans="1:15" ht="15.75" x14ac:dyDescent="0.25">
      <c r="A634" s="55" t="s">
        <v>5188</v>
      </c>
      <c r="B634" s="55" t="s">
        <v>8435</v>
      </c>
      <c r="C634" s="55" t="s">
        <v>8436</v>
      </c>
      <c r="D634" s="55" t="s">
        <v>8437</v>
      </c>
      <c r="E634" s="55" t="s">
        <v>8438</v>
      </c>
      <c r="F634" s="55" t="s">
        <v>8439</v>
      </c>
      <c r="G634" s="55" t="s">
        <v>8440</v>
      </c>
      <c r="H634" s="55" t="s">
        <v>8441</v>
      </c>
      <c r="I634" s="55" t="s">
        <v>8442</v>
      </c>
      <c r="J634" s="55" t="s">
        <v>5189</v>
      </c>
      <c r="K634" s="55" t="s">
        <v>8443</v>
      </c>
      <c r="L634" s="55" t="s">
        <v>8444</v>
      </c>
      <c r="M634" s="55" t="s">
        <v>4944</v>
      </c>
      <c r="N634" s="55" t="s">
        <v>5192</v>
      </c>
      <c r="O634" s="55" t="s">
        <v>5191</v>
      </c>
    </row>
    <row r="635" spans="1:15" ht="15.75" x14ac:dyDescent="0.25">
      <c r="A635" s="55" t="s">
        <v>5188</v>
      </c>
      <c r="B635" s="55" t="s">
        <v>8445</v>
      </c>
      <c r="C635" s="55" t="s">
        <v>8436</v>
      </c>
      <c r="D635" s="55" t="s">
        <v>8437</v>
      </c>
      <c r="E635" s="55" t="s">
        <v>8438</v>
      </c>
      <c r="F635" s="55" t="s">
        <v>8439</v>
      </c>
      <c r="G635" s="55" t="s">
        <v>8440</v>
      </c>
      <c r="H635" s="55" t="s">
        <v>8441</v>
      </c>
      <c r="I635" s="55" t="s">
        <v>8442</v>
      </c>
      <c r="J635" s="55" t="s">
        <v>5189</v>
      </c>
      <c r="K635" s="55" t="s">
        <v>8443</v>
      </c>
      <c r="L635" s="55" t="s">
        <v>8444</v>
      </c>
      <c r="M635" s="55" t="s">
        <v>4577</v>
      </c>
      <c r="N635" s="55" t="s">
        <v>5192</v>
      </c>
      <c r="O635" s="55" t="s">
        <v>5191</v>
      </c>
    </row>
    <row r="636" spans="1:15" ht="15.75" x14ac:dyDescent="0.25">
      <c r="A636" s="55" t="s">
        <v>5188</v>
      </c>
      <c r="B636" s="55" t="s">
        <v>8446</v>
      </c>
      <c r="C636" s="55" t="s">
        <v>8436</v>
      </c>
      <c r="D636" s="55" t="s">
        <v>8437</v>
      </c>
      <c r="E636" s="55" t="s">
        <v>8438</v>
      </c>
      <c r="F636" s="55" t="s">
        <v>8439</v>
      </c>
      <c r="G636" s="55" t="s">
        <v>8440</v>
      </c>
      <c r="H636" s="55" t="s">
        <v>8441</v>
      </c>
      <c r="I636" s="55" t="s">
        <v>8442</v>
      </c>
      <c r="J636" s="55" t="s">
        <v>5189</v>
      </c>
      <c r="K636" s="55" t="s">
        <v>8443</v>
      </c>
      <c r="L636" s="55" t="s">
        <v>8444</v>
      </c>
      <c r="M636" s="55" t="s">
        <v>4940</v>
      </c>
      <c r="N636" s="55" t="s">
        <v>5192</v>
      </c>
      <c r="O636" s="55" t="s">
        <v>5191</v>
      </c>
    </row>
    <row r="637" spans="1:15" ht="15.75" x14ac:dyDescent="0.25">
      <c r="A637" s="55" t="s">
        <v>5188</v>
      </c>
      <c r="B637" s="55" t="s">
        <v>8447</v>
      </c>
      <c r="C637" s="55" t="s">
        <v>8448</v>
      </c>
      <c r="D637" s="55" t="s">
        <v>8449</v>
      </c>
      <c r="E637" s="55" t="s">
        <v>8450</v>
      </c>
      <c r="F637" s="55" t="s">
        <v>8451</v>
      </c>
      <c r="G637" s="55" t="s">
        <v>8452</v>
      </c>
      <c r="H637" s="55" t="s">
        <v>8453</v>
      </c>
      <c r="I637" s="55" t="s">
        <v>8454</v>
      </c>
      <c r="J637" s="55" t="s">
        <v>5189</v>
      </c>
      <c r="K637" s="55" t="s">
        <v>8455</v>
      </c>
      <c r="L637" s="55" t="s">
        <v>8456</v>
      </c>
      <c r="M637" s="55" t="s">
        <v>4569</v>
      </c>
      <c r="N637" s="55" t="s">
        <v>5192</v>
      </c>
      <c r="O637" s="55" t="s">
        <v>5191</v>
      </c>
    </row>
    <row r="638" spans="1:15" ht="15.75" x14ac:dyDescent="0.25">
      <c r="A638" s="55" t="s">
        <v>5188</v>
      </c>
      <c r="B638" s="55" t="s">
        <v>8457</v>
      </c>
      <c r="C638" s="55" t="s">
        <v>8458</v>
      </c>
      <c r="D638" s="55" t="s">
        <v>8459</v>
      </c>
      <c r="E638" s="55" t="s">
        <v>8460</v>
      </c>
      <c r="F638" s="55" t="s">
        <v>8461</v>
      </c>
      <c r="G638" s="55" t="s">
        <v>8462</v>
      </c>
      <c r="H638" s="55" t="s">
        <v>8463</v>
      </c>
      <c r="I638" s="55" t="s">
        <v>8464</v>
      </c>
      <c r="J638" s="55" t="s">
        <v>5189</v>
      </c>
      <c r="K638" s="55" t="s">
        <v>8465</v>
      </c>
      <c r="L638" s="55" t="s">
        <v>8466</v>
      </c>
      <c r="M638" s="55" t="s">
        <v>1634</v>
      </c>
      <c r="N638" s="55" t="s">
        <v>5192</v>
      </c>
      <c r="O638" s="55" t="s">
        <v>5191</v>
      </c>
    </row>
    <row r="639" spans="1:15" ht="15.75" x14ac:dyDescent="0.25">
      <c r="A639" s="55" t="s">
        <v>5188</v>
      </c>
      <c r="B639" s="55" t="s">
        <v>8467</v>
      </c>
      <c r="C639" s="55" t="s">
        <v>8458</v>
      </c>
      <c r="D639" s="55" t="s">
        <v>8459</v>
      </c>
      <c r="E639" s="55" t="s">
        <v>8460</v>
      </c>
      <c r="F639" s="55" t="s">
        <v>8461</v>
      </c>
      <c r="G639" s="55" t="s">
        <v>8462</v>
      </c>
      <c r="H639" s="55" t="s">
        <v>8463</v>
      </c>
      <c r="I639" s="55" t="s">
        <v>8464</v>
      </c>
      <c r="J639" s="55" t="s">
        <v>5189</v>
      </c>
      <c r="K639" s="55" t="s">
        <v>8465</v>
      </c>
      <c r="L639" s="55" t="s">
        <v>8466</v>
      </c>
      <c r="M639" s="55" t="s">
        <v>2553</v>
      </c>
      <c r="N639" s="55" t="s">
        <v>5192</v>
      </c>
      <c r="O639" s="55" t="s">
        <v>5191</v>
      </c>
    </row>
    <row r="640" spans="1:15" ht="15.75" x14ac:dyDescent="0.25">
      <c r="A640" s="55" t="s">
        <v>5188</v>
      </c>
      <c r="B640" s="55" t="s">
        <v>8468</v>
      </c>
      <c r="C640" s="55" t="s">
        <v>8469</v>
      </c>
      <c r="D640" s="55" t="s">
        <v>8470</v>
      </c>
      <c r="E640" s="55" t="s">
        <v>6994</v>
      </c>
      <c r="F640" s="55" t="s">
        <v>6995</v>
      </c>
      <c r="G640" s="55" t="s">
        <v>6996</v>
      </c>
      <c r="H640" s="55" t="s">
        <v>6997</v>
      </c>
      <c r="I640" s="55" t="s">
        <v>8471</v>
      </c>
      <c r="J640" s="55" t="s">
        <v>5189</v>
      </c>
      <c r="K640" s="55" t="s">
        <v>8472</v>
      </c>
      <c r="L640" s="55" t="s">
        <v>8473</v>
      </c>
      <c r="M640" s="55" t="s">
        <v>3551</v>
      </c>
      <c r="N640" s="55" t="s">
        <v>5192</v>
      </c>
      <c r="O640" s="55" t="s">
        <v>5191</v>
      </c>
    </row>
    <row r="641" spans="1:15" ht="15.75" x14ac:dyDescent="0.25">
      <c r="A641" s="55" t="s">
        <v>5188</v>
      </c>
      <c r="B641" s="55" t="s">
        <v>8474</v>
      </c>
      <c r="C641" s="55" t="s">
        <v>7851</v>
      </c>
      <c r="D641" s="55" t="s">
        <v>7852</v>
      </c>
      <c r="E641" s="55" t="s">
        <v>7845</v>
      </c>
      <c r="F641" s="55" t="s">
        <v>7846</v>
      </c>
      <c r="G641" s="55" t="s">
        <v>5222</v>
      </c>
      <c r="H641" s="55" t="s">
        <v>5223</v>
      </c>
      <c r="I641" s="55" t="s">
        <v>7847</v>
      </c>
      <c r="J641" s="55" t="s">
        <v>5189</v>
      </c>
      <c r="K641" s="55" t="s">
        <v>7853</v>
      </c>
      <c r="L641" s="55" t="s">
        <v>7854</v>
      </c>
      <c r="M641" s="55" t="s">
        <v>3411</v>
      </c>
      <c r="N641" s="55" t="s">
        <v>5192</v>
      </c>
      <c r="O641" s="55" t="s">
        <v>5191</v>
      </c>
    </row>
    <row r="642" spans="1:15" ht="15.75" x14ac:dyDescent="0.25">
      <c r="A642" s="55" t="s">
        <v>5188</v>
      </c>
      <c r="B642" s="55" t="s">
        <v>8475</v>
      </c>
      <c r="C642" s="55" t="s">
        <v>7851</v>
      </c>
      <c r="D642" s="55" t="s">
        <v>7852</v>
      </c>
      <c r="E642" s="55" t="s">
        <v>7845</v>
      </c>
      <c r="F642" s="55" t="s">
        <v>7846</v>
      </c>
      <c r="G642" s="55" t="s">
        <v>5222</v>
      </c>
      <c r="H642" s="55" t="s">
        <v>5223</v>
      </c>
      <c r="I642" s="55" t="s">
        <v>7847</v>
      </c>
      <c r="J642" s="55" t="s">
        <v>5189</v>
      </c>
      <c r="K642" s="55" t="s">
        <v>7853</v>
      </c>
      <c r="L642" s="55" t="s">
        <v>7854</v>
      </c>
      <c r="M642" s="55" t="s">
        <v>4503</v>
      </c>
      <c r="N642" s="55" t="s">
        <v>5192</v>
      </c>
      <c r="O642" s="55" t="s">
        <v>5191</v>
      </c>
    </row>
    <row r="643" spans="1:15" ht="15.75" x14ac:dyDescent="0.25">
      <c r="A643" s="55" t="s">
        <v>5188</v>
      </c>
      <c r="B643" s="55" t="s">
        <v>8476</v>
      </c>
      <c r="C643" s="55" t="s">
        <v>7857</v>
      </c>
      <c r="D643" s="55" t="s">
        <v>7858</v>
      </c>
      <c r="E643" s="55" t="s">
        <v>7859</v>
      </c>
      <c r="F643" s="55" t="s">
        <v>7860</v>
      </c>
      <c r="G643" s="55" t="s">
        <v>5237</v>
      </c>
      <c r="H643" s="55" t="s">
        <v>5238</v>
      </c>
      <c r="I643" s="55" t="s">
        <v>7861</v>
      </c>
      <c r="J643" s="55" t="s">
        <v>5189</v>
      </c>
      <c r="K643" s="55" t="s">
        <v>7862</v>
      </c>
      <c r="L643" s="55" t="s">
        <v>7863</v>
      </c>
      <c r="M643" s="55" t="s">
        <v>2872</v>
      </c>
      <c r="N643" s="55" t="s">
        <v>5192</v>
      </c>
      <c r="O643" s="55" t="s">
        <v>5191</v>
      </c>
    </row>
    <row r="644" spans="1:15" ht="15.75" x14ac:dyDescent="0.25">
      <c r="A644" s="55" t="s">
        <v>5188</v>
      </c>
      <c r="B644" s="55" t="s">
        <v>8477</v>
      </c>
      <c r="C644" s="55" t="s">
        <v>7857</v>
      </c>
      <c r="D644" s="55" t="s">
        <v>7858</v>
      </c>
      <c r="E644" s="55" t="s">
        <v>7859</v>
      </c>
      <c r="F644" s="55" t="s">
        <v>7860</v>
      </c>
      <c r="G644" s="55" t="s">
        <v>5237</v>
      </c>
      <c r="H644" s="55" t="s">
        <v>5238</v>
      </c>
      <c r="I644" s="55" t="s">
        <v>7861</v>
      </c>
      <c r="J644" s="55" t="s">
        <v>5189</v>
      </c>
      <c r="K644" s="55" t="s">
        <v>7862</v>
      </c>
      <c r="L644" s="55" t="s">
        <v>7863</v>
      </c>
      <c r="M644" s="55" t="s">
        <v>5232</v>
      </c>
      <c r="N644" s="55" t="s">
        <v>5192</v>
      </c>
      <c r="O644" s="55" t="s">
        <v>5191</v>
      </c>
    </row>
    <row r="645" spans="1:15" ht="15.75" x14ac:dyDescent="0.25">
      <c r="A645" s="55" t="s">
        <v>5188</v>
      </c>
      <c r="B645" s="55" t="s">
        <v>8478</v>
      </c>
      <c r="C645" s="55" t="s">
        <v>7857</v>
      </c>
      <c r="D645" s="55" t="s">
        <v>7858</v>
      </c>
      <c r="E645" s="55" t="s">
        <v>7859</v>
      </c>
      <c r="F645" s="55" t="s">
        <v>7860</v>
      </c>
      <c r="G645" s="55" t="s">
        <v>5237</v>
      </c>
      <c r="H645" s="55" t="s">
        <v>5238</v>
      </c>
      <c r="I645" s="55" t="s">
        <v>7861</v>
      </c>
      <c r="J645" s="55" t="s">
        <v>5189</v>
      </c>
      <c r="K645" s="55" t="s">
        <v>7862</v>
      </c>
      <c r="L645" s="55" t="s">
        <v>7863</v>
      </c>
      <c r="M645" s="55" t="s">
        <v>4944</v>
      </c>
      <c r="N645" s="55" t="s">
        <v>5192</v>
      </c>
      <c r="O645" s="55" t="s">
        <v>5191</v>
      </c>
    </row>
    <row r="646" spans="1:15" ht="15.75" x14ac:dyDescent="0.25">
      <c r="A646" s="55" t="s">
        <v>5188</v>
      </c>
      <c r="B646" s="55" t="s">
        <v>8479</v>
      </c>
      <c r="C646" s="55" t="s">
        <v>7908</v>
      </c>
      <c r="D646" s="55" t="s">
        <v>7909</v>
      </c>
      <c r="E646" s="55" t="s">
        <v>7910</v>
      </c>
      <c r="F646" s="55" t="s">
        <v>7911</v>
      </c>
      <c r="G646" s="55" t="s">
        <v>5424</v>
      </c>
      <c r="H646" s="55" t="s">
        <v>5425</v>
      </c>
      <c r="I646" s="55" t="s">
        <v>7912</v>
      </c>
      <c r="J646" s="55" t="s">
        <v>5189</v>
      </c>
      <c r="K646" s="55" t="s">
        <v>7913</v>
      </c>
      <c r="L646" s="55" t="s">
        <v>7914</v>
      </c>
      <c r="M646" s="55" t="s">
        <v>5208</v>
      </c>
      <c r="N646" s="55" t="s">
        <v>5192</v>
      </c>
      <c r="O646" s="55" t="s">
        <v>5191</v>
      </c>
    </row>
    <row r="647" spans="1:15" ht="15.75" x14ac:dyDescent="0.25">
      <c r="A647" s="55" t="s">
        <v>5188</v>
      </c>
      <c r="B647" s="55" t="s">
        <v>8480</v>
      </c>
      <c r="C647" s="55" t="s">
        <v>7908</v>
      </c>
      <c r="D647" s="55" t="s">
        <v>7909</v>
      </c>
      <c r="E647" s="55" t="s">
        <v>7910</v>
      </c>
      <c r="F647" s="55" t="s">
        <v>7911</v>
      </c>
      <c r="G647" s="55" t="s">
        <v>5424</v>
      </c>
      <c r="H647" s="55" t="s">
        <v>5425</v>
      </c>
      <c r="I647" s="55" t="s">
        <v>7912</v>
      </c>
      <c r="J647" s="55" t="s">
        <v>5189</v>
      </c>
      <c r="K647" s="55" t="s">
        <v>7913</v>
      </c>
      <c r="L647" s="55" t="s">
        <v>7914</v>
      </c>
      <c r="M647" s="55" t="s">
        <v>4503</v>
      </c>
      <c r="N647" s="55" t="s">
        <v>5192</v>
      </c>
      <c r="O647" s="55" t="s">
        <v>5191</v>
      </c>
    </row>
    <row r="648" spans="1:15" ht="15.75" x14ac:dyDescent="0.25">
      <c r="A648" s="55" t="s">
        <v>5188</v>
      </c>
      <c r="B648" s="55" t="s">
        <v>8481</v>
      </c>
      <c r="C648" s="55" t="s">
        <v>7916</v>
      </c>
      <c r="D648" s="55" t="s">
        <v>7917</v>
      </c>
      <c r="E648" s="55" t="s">
        <v>7918</v>
      </c>
      <c r="F648" s="55" t="s">
        <v>7919</v>
      </c>
      <c r="G648" s="55" t="s">
        <v>7920</v>
      </c>
      <c r="H648" s="55" t="s">
        <v>7921</v>
      </c>
      <c r="I648" s="55" t="s">
        <v>7922</v>
      </c>
      <c r="J648" s="55" t="s">
        <v>5189</v>
      </c>
      <c r="K648" s="55" t="s">
        <v>7923</v>
      </c>
      <c r="L648" s="55" t="s">
        <v>7924</v>
      </c>
      <c r="M648" s="55" t="s">
        <v>3551</v>
      </c>
      <c r="N648" s="55" t="s">
        <v>5192</v>
      </c>
      <c r="O648" s="55" t="s">
        <v>5191</v>
      </c>
    </row>
    <row r="649" spans="1:15" ht="15.75" x14ac:dyDescent="0.25">
      <c r="A649" s="55" t="s">
        <v>5188</v>
      </c>
      <c r="B649" s="55" t="s">
        <v>8482</v>
      </c>
      <c r="C649" s="55" t="s">
        <v>7916</v>
      </c>
      <c r="D649" s="55" t="s">
        <v>7917</v>
      </c>
      <c r="E649" s="55" t="s">
        <v>7918</v>
      </c>
      <c r="F649" s="55" t="s">
        <v>7919</v>
      </c>
      <c r="G649" s="55" t="s">
        <v>7920</v>
      </c>
      <c r="H649" s="55" t="s">
        <v>7921</v>
      </c>
      <c r="I649" s="55" t="s">
        <v>7922</v>
      </c>
      <c r="J649" s="55" t="s">
        <v>5189</v>
      </c>
      <c r="K649" s="55" t="s">
        <v>7923</v>
      </c>
      <c r="L649" s="55" t="s">
        <v>7924</v>
      </c>
      <c r="M649" s="55" t="s">
        <v>4569</v>
      </c>
      <c r="N649" s="55" t="s">
        <v>5192</v>
      </c>
      <c r="O649" s="55" t="s">
        <v>5191</v>
      </c>
    </row>
    <row r="650" spans="1:15" ht="15.75" x14ac:dyDescent="0.25">
      <c r="A650" s="55" t="s">
        <v>5188</v>
      </c>
      <c r="B650" s="55" t="s">
        <v>8483</v>
      </c>
      <c r="C650" s="55" t="s">
        <v>7926</v>
      </c>
      <c r="D650" s="55" t="s">
        <v>7927</v>
      </c>
      <c r="E650" s="55" t="s">
        <v>6462</v>
      </c>
      <c r="F650" s="55" t="s">
        <v>6463</v>
      </c>
      <c r="G650" s="55" t="s">
        <v>6464</v>
      </c>
      <c r="H650" s="55" t="s">
        <v>6465</v>
      </c>
      <c r="I650" s="55" t="s">
        <v>7928</v>
      </c>
      <c r="J650" s="55" t="s">
        <v>5189</v>
      </c>
      <c r="K650" s="55" t="s">
        <v>7929</v>
      </c>
      <c r="L650" s="55" t="s">
        <v>7930</v>
      </c>
      <c r="M650" s="55" t="s">
        <v>3551</v>
      </c>
      <c r="N650" s="55" t="s">
        <v>5192</v>
      </c>
      <c r="O650" s="55" t="s">
        <v>5191</v>
      </c>
    </row>
    <row r="651" spans="1:15" ht="15.75" x14ac:dyDescent="0.25">
      <c r="A651" s="55" t="s">
        <v>5188</v>
      </c>
      <c r="B651" s="55" t="s">
        <v>8484</v>
      </c>
      <c r="C651" s="55" t="s">
        <v>7926</v>
      </c>
      <c r="D651" s="55" t="s">
        <v>7927</v>
      </c>
      <c r="E651" s="55" t="s">
        <v>6462</v>
      </c>
      <c r="F651" s="55" t="s">
        <v>6463</v>
      </c>
      <c r="G651" s="55" t="s">
        <v>6464</v>
      </c>
      <c r="H651" s="55" t="s">
        <v>6465</v>
      </c>
      <c r="I651" s="55" t="s">
        <v>7928</v>
      </c>
      <c r="J651" s="55" t="s">
        <v>5189</v>
      </c>
      <c r="K651" s="55" t="s">
        <v>7929</v>
      </c>
      <c r="L651" s="55" t="s">
        <v>7930</v>
      </c>
      <c r="M651" s="55" t="s">
        <v>2872</v>
      </c>
      <c r="N651" s="55" t="s">
        <v>5192</v>
      </c>
      <c r="O651" s="55" t="s">
        <v>5191</v>
      </c>
    </row>
    <row r="652" spans="1:15" ht="15.75" x14ac:dyDescent="0.25">
      <c r="A652" s="55" t="s">
        <v>5188</v>
      </c>
      <c r="B652" s="55" t="s">
        <v>8485</v>
      </c>
      <c r="C652" s="55" t="s">
        <v>7942</v>
      </c>
      <c r="D652" s="55" t="s">
        <v>7943</v>
      </c>
      <c r="E652" s="55" t="s">
        <v>6562</v>
      </c>
      <c r="F652" s="55" t="s">
        <v>6563</v>
      </c>
      <c r="G652" s="55" t="s">
        <v>5365</v>
      </c>
      <c r="H652" s="55" t="s">
        <v>5366</v>
      </c>
      <c r="I652" s="55" t="s">
        <v>7948</v>
      </c>
      <c r="J652" s="55" t="s">
        <v>5189</v>
      </c>
      <c r="K652" s="55" t="s">
        <v>7945</v>
      </c>
      <c r="L652" s="55" t="s">
        <v>7946</v>
      </c>
      <c r="M652" s="55" t="s">
        <v>4567</v>
      </c>
      <c r="N652" s="55" t="s">
        <v>5192</v>
      </c>
      <c r="O652" s="55" t="s">
        <v>5191</v>
      </c>
    </row>
    <row r="653" spans="1:15" ht="15.75" x14ac:dyDescent="0.25">
      <c r="A653" s="55" t="s">
        <v>5188</v>
      </c>
      <c r="B653" s="55" t="s">
        <v>8486</v>
      </c>
      <c r="C653" s="55" t="s">
        <v>7951</v>
      </c>
      <c r="D653" s="55" t="s">
        <v>7952</v>
      </c>
      <c r="E653" s="55" t="s">
        <v>7953</v>
      </c>
      <c r="F653" s="55" t="s">
        <v>7954</v>
      </c>
      <c r="G653" s="55" t="s">
        <v>6464</v>
      </c>
      <c r="H653" s="55" t="s">
        <v>6465</v>
      </c>
      <c r="I653" s="55" t="s">
        <v>7955</v>
      </c>
      <c r="J653" s="55" t="s">
        <v>5189</v>
      </c>
      <c r="K653" s="55" t="s">
        <v>7956</v>
      </c>
      <c r="L653" s="55" t="s">
        <v>7957</v>
      </c>
      <c r="M653" s="55" t="s">
        <v>3551</v>
      </c>
      <c r="N653" s="55" t="s">
        <v>5192</v>
      </c>
      <c r="O653" s="55" t="s">
        <v>5191</v>
      </c>
    </row>
    <row r="654" spans="1:15" ht="15.75" x14ac:dyDescent="0.25">
      <c r="A654" s="55" t="s">
        <v>5188</v>
      </c>
      <c r="B654" s="55" t="s">
        <v>8487</v>
      </c>
      <c r="C654" s="55" t="s">
        <v>7951</v>
      </c>
      <c r="D654" s="55" t="s">
        <v>7952</v>
      </c>
      <c r="E654" s="55" t="s">
        <v>7953</v>
      </c>
      <c r="F654" s="55" t="s">
        <v>7954</v>
      </c>
      <c r="G654" s="55" t="s">
        <v>6464</v>
      </c>
      <c r="H654" s="55" t="s">
        <v>6465</v>
      </c>
      <c r="I654" s="55" t="s">
        <v>7955</v>
      </c>
      <c r="J654" s="55" t="s">
        <v>5189</v>
      </c>
      <c r="K654" s="55" t="s">
        <v>7956</v>
      </c>
      <c r="L654" s="55" t="s">
        <v>7957</v>
      </c>
      <c r="M654" s="55" t="s">
        <v>5360</v>
      </c>
      <c r="N654" s="55" t="s">
        <v>5192</v>
      </c>
      <c r="O654" s="55" t="s">
        <v>5191</v>
      </c>
    </row>
    <row r="655" spans="1:15" ht="15.75" x14ac:dyDescent="0.25">
      <c r="A655" s="55" t="s">
        <v>5188</v>
      </c>
      <c r="B655" s="55" t="s">
        <v>8488</v>
      </c>
      <c r="C655" s="55" t="s">
        <v>7951</v>
      </c>
      <c r="D655" s="55" t="s">
        <v>7952</v>
      </c>
      <c r="E655" s="55" t="s">
        <v>7953</v>
      </c>
      <c r="F655" s="55" t="s">
        <v>7954</v>
      </c>
      <c r="G655" s="55" t="s">
        <v>6464</v>
      </c>
      <c r="H655" s="55" t="s">
        <v>6465</v>
      </c>
      <c r="I655" s="55" t="s">
        <v>7955</v>
      </c>
      <c r="J655" s="55" t="s">
        <v>5189</v>
      </c>
      <c r="K655" s="55" t="s">
        <v>7956</v>
      </c>
      <c r="L655" s="55" t="s">
        <v>7957</v>
      </c>
      <c r="M655" s="55" t="s">
        <v>5208</v>
      </c>
      <c r="N655" s="55" t="s">
        <v>5192</v>
      </c>
      <c r="O655" s="55" t="s">
        <v>5191</v>
      </c>
    </row>
    <row r="656" spans="1:15" ht="15.75" x14ac:dyDescent="0.25">
      <c r="A656" s="55" t="s">
        <v>5188</v>
      </c>
      <c r="B656" s="55" t="s">
        <v>8489</v>
      </c>
      <c r="C656" s="55" t="s">
        <v>8490</v>
      </c>
      <c r="D656" s="55" t="s">
        <v>8491</v>
      </c>
      <c r="E656" s="55" t="s">
        <v>8492</v>
      </c>
      <c r="F656" s="55" t="s">
        <v>8493</v>
      </c>
      <c r="G656" s="55" t="s">
        <v>5233</v>
      </c>
      <c r="H656" s="55" t="s">
        <v>5234</v>
      </c>
      <c r="I656" s="55" t="s">
        <v>8494</v>
      </c>
      <c r="J656" s="55" t="s">
        <v>5189</v>
      </c>
      <c r="K656" s="55" t="s">
        <v>8495</v>
      </c>
      <c r="L656" s="55" t="s">
        <v>8496</v>
      </c>
      <c r="M656" s="55" t="s">
        <v>4567</v>
      </c>
      <c r="N656" s="55" t="s">
        <v>5192</v>
      </c>
      <c r="O656" s="55" t="s">
        <v>5191</v>
      </c>
    </row>
    <row r="657" spans="1:15" ht="15.75" x14ac:dyDescent="0.25">
      <c r="A657" s="55" t="s">
        <v>5188</v>
      </c>
      <c r="B657" s="55" t="s">
        <v>8497</v>
      </c>
      <c r="C657" s="55" t="s">
        <v>8490</v>
      </c>
      <c r="D657" s="55" t="s">
        <v>8491</v>
      </c>
      <c r="E657" s="55" t="s">
        <v>8492</v>
      </c>
      <c r="F657" s="55" t="s">
        <v>8493</v>
      </c>
      <c r="G657" s="55" t="s">
        <v>5233</v>
      </c>
      <c r="H657" s="55" t="s">
        <v>5234</v>
      </c>
      <c r="I657" s="55" t="s">
        <v>8494</v>
      </c>
      <c r="J657" s="55" t="s">
        <v>5189</v>
      </c>
      <c r="K657" s="55" t="s">
        <v>8495</v>
      </c>
      <c r="L657" s="55" t="s">
        <v>8496</v>
      </c>
      <c r="M657" s="55" t="s">
        <v>3407</v>
      </c>
      <c r="N657" s="55" t="s">
        <v>5192</v>
      </c>
      <c r="O657" s="55" t="s">
        <v>5191</v>
      </c>
    </row>
    <row r="658" spans="1:15" ht="15.75" x14ac:dyDescent="0.25">
      <c r="A658" s="55" t="s">
        <v>5188</v>
      </c>
      <c r="B658" s="55" t="s">
        <v>8498</v>
      </c>
      <c r="C658" s="55" t="s">
        <v>8490</v>
      </c>
      <c r="D658" s="55" t="s">
        <v>8491</v>
      </c>
      <c r="E658" s="55" t="s">
        <v>8492</v>
      </c>
      <c r="F658" s="55" t="s">
        <v>8493</v>
      </c>
      <c r="G658" s="55" t="s">
        <v>5233</v>
      </c>
      <c r="H658" s="55" t="s">
        <v>5234</v>
      </c>
      <c r="I658" s="55" t="s">
        <v>8494</v>
      </c>
      <c r="J658" s="55" t="s">
        <v>5189</v>
      </c>
      <c r="K658" s="55" t="s">
        <v>8495</v>
      </c>
      <c r="L658" s="55" t="s">
        <v>8496</v>
      </c>
      <c r="M658" s="55" t="s">
        <v>4758</v>
      </c>
      <c r="N658" s="55" t="s">
        <v>5192</v>
      </c>
      <c r="O658" s="55" t="s">
        <v>5191</v>
      </c>
    </row>
    <row r="659" spans="1:15" ht="15.75" x14ac:dyDescent="0.25">
      <c r="A659" s="55" t="s">
        <v>5188</v>
      </c>
      <c r="B659" s="55" t="s">
        <v>8499</v>
      </c>
      <c r="C659" s="55" t="s">
        <v>8500</v>
      </c>
      <c r="D659" s="55" t="s">
        <v>8501</v>
      </c>
      <c r="E659" s="55" t="s">
        <v>8502</v>
      </c>
      <c r="F659" s="55" t="s">
        <v>8503</v>
      </c>
      <c r="G659" s="55" t="s">
        <v>8504</v>
      </c>
      <c r="H659" s="55" t="s">
        <v>8505</v>
      </c>
      <c r="I659" s="55" t="s">
        <v>8506</v>
      </c>
      <c r="J659" s="55" t="s">
        <v>5189</v>
      </c>
      <c r="K659" s="55" t="s">
        <v>8507</v>
      </c>
      <c r="L659" s="55" t="s">
        <v>8508</v>
      </c>
      <c r="M659" s="55" t="s">
        <v>4567</v>
      </c>
      <c r="N659" s="55" t="s">
        <v>5192</v>
      </c>
      <c r="O659" s="55" t="s">
        <v>5191</v>
      </c>
    </row>
    <row r="660" spans="1:15" ht="15.75" x14ac:dyDescent="0.25">
      <c r="A660" s="55" t="s">
        <v>5188</v>
      </c>
      <c r="B660" s="55" t="s">
        <v>8509</v>
      </c>
      <c r="C660" s="55" t="s">
        <v>7973</v>
      </c>
      <c r="D660" s="55" t="s">
        <v>7974</v>
      </c>
      <c r="E660" s="55" t="s">
        <v>7975</v>
      </c>
      <c r="F660" s="55" t="s">
        <v>7976</v>
      </c>
      <c r="G660" s="55" t="s">
        <v>7977</v>
      </c>
      <c r="H660" s="55" t="s">
        <v>7978</v>
      </c>
      <c r="I660" s="55" t="s">
        <v>7979</v>
      </c>
      <c r="J660" s="55" t="s">
        <v>5189</v>
      </c>
      <c r="K660" s="55" t="s">
        <v>7980</v>
      </c>
      <c r="L660" s="55" t="s">
        <v>7981</v>
      </c>
      <c r="M660" s="55" t="s">
        <v>3551</v>
      </c>
      <c r="N660" s="55" t="s">
        <v>5192</v>
      </c>
      <c r="O660" s="55" t="s">
        <v>5191</v>
      </c>
    </row>
    <row r="661" spans="1:15" ht="15.75" x14ac:dyDescent="0.25">
      <c r="A661" s="55" t="s">
        <v>5188</v>
      </c>
      <c r="B661" s="55" t="s">
        <v>8510</v>
      </c>
      <c r="C661" s="55" t="s">
        <v>7973</v>
      </c>
      <c r="D661" s="55" t="s">
        <v>7974</v>
      </c>
      <c r="E661" s="55" t="s">
        <v>7975</v>
      </c>
      <c r="F661" s="55" t="s">
        <v>7976</v>
      </c>
      <c r="G661" s="55" t="s">
        <v>7977</v>
      </c>
      <c r="H661" s="55" t="s">
        <v>7978</v>
      </c>
      <c r="I661" s="55" t="s">
        <v>7979</v>
      </c>
      <c r="J661" s="55" t="s">
        <v>5189</v>
      </c>
      <c r="K661" s="55" t="s">
        <v>7980</v>
      </c>
      <c r="L661" s="55" t="s">
        <v>7981</v>
      </c>
      <c r="M661" s="55" t="s">
        <v>965</v>
      </c>
      <c r="N661" s="55" t="s">
        <v>5192</v>
      </c>
      <c r="O661" s="55" t="s">
        <v>5191</v>
      </c>
    </row>
    <row r="662" spans="1:15" ht="15.75" x14ac:dyDescent="0.25">
      <c r="A662" s="55" t="s">
        <v>5188</v>
      </c>
      <c r="B662" s="55" t="s">
        <v>8511</v>
      </c>
      <c r="C662" s="55" t="s">
        <v>7973</v>
      </c>
      <c r="D662" s="55" t="s">
        <v>7974</v>
      </c>
      <c r="E662" s="55" t="s">
        <v>7975</v>
      </c>
      <c r="F662" s="55" t="s">
        <v>7976</v>
      </c>
      <c r="G662" s="55" t="s">
        <v>7977</v>
      </c>
      <c r="H662" s="55" t="s">
        <v>7978</v>
      </c>
      <c r="I662" s="55" t="s">
        <v>7979</v>
      </c>
      <c r="J662" s="55" t="s">
        <v>5189</v>
      </c>
      <c r="K662" s="55" t="s">
        <v>7980</v>
      </c>
      <c r="L662" s="55" t="s">
        <v>7981</v>
      </c>
      <c r="M662" s="55" t="s">
        <v>4503</v>
      </c>
      <c r="N662" s="55" t="s">
        <v>5192</v>
      </c>
      <c r="O662" s="55" t="s">
        <v>5191</v>
      </c>
    </row>
    <row r="663" spans="1:15" ht="15.75" x14ac:dyDescent="0.25">
      <c r="A663" s="55" t="s">
        <v>5188</v>
      </c>
      <c r="B663" s="55" t="s">
        <v>8512</v>
      </c>
      <c r="C663" s="55" t="s">
        <v>8513</v>
      </c>
      <c r="D663" s="55" t="s">
        <v>8514</v>
      </c>
      <c r="E663" s="55" t="s">
        <v>8515</v>
      </c>
      <c r="F663" s="55" t="s">
        <v>8516</v>
      </c>
      <c r="G663" s="55" t="s">
        <v>8517</v>
      </c>
      <c r="H663" s="55" t="s">
        <v>8518</v>
      </c>
      <c r="I663" s="55" t="s">
        <v>8519</v>
      </c>
      <c r="J663" s="55" t="s">
        <v>5189</v>
      </c>
      <c r="K663" s="55" t="s">
        <v>8520</v>
      </c>
      <c r="L663" s="55" t="s">
        <v>8521</v>
      </c>
      <c r="M663" s="55" t="s">
        <v>4511</v>
      </c>
      <c r="N663" s="55" t="s">
        <v>5192</v>
      </c>
      <c r="O663" s="55" t="s">
        <v>5191</v>
      </c>
    </row>
    <row r="664" spans="1:15" ht="15.75" x14ac:dyDescent="0.25">
      <c r="A664" s="55" t="s">
        <v>5188</v>
      </c>
      <c r="B664" s="55" t="s">
        <v>8522</v>
      </c>
      <c r="C664" s="55" t="s">
        <v>8523</v>
      </c>
      <c r="D664" s="55" t="s">
        <v>8524</v>
      </c>
      <c r="E664" s="55" t="s">
        <v>8525</v>
      </c>
      <c r="F664" s="55" t="s">
        <v>8526</v>
      </c>
      <c r="G664" s="55" t="s">
        <v>5237</v>
      </c>
      <c r="H664" s="55" t="s">
        <v>5238</v>
      </c>
      <c r="I664" s="55" t="s">
        <v>8527</v>
      </c>
      <c r="J664" s="55" t="s">
        <v>5189</v>
      </c>
      <c r="K664" s="55" t="s">
        <v>8528</v>
      </c>
      <c r="L664" s="55" t="s">
        <v>8529</v>
      </c>
      <c r="M664" s="55" t="s">
        <v>4655</v>
      </c>
      <c r="N664" s="55" t="s">
        <v>5192</v>
      </c>
      <c r="O664" s="55" t="s">
        <v>5191</v>
      </c>
    </row>
    <row r="665" spans="1:15" ht="15.75" x14ac:dyDescent="0.25">
      <c r="A665" s="55" t="s">
        <v>5188</v>
      </c>
      <c r="B665" s="55" t="s">
        <v>8530</v>
      </c>
      <c r="C665" s="55" t="s">
        <v>7983</v>
      </c>
      <c r="D665" s="55" t="s">
        <v>7984</v>
      </c>
      <c r="E665" s="55" t="s">
        <v>5416</v>
      </c>
      <c r="F665" s="55" t="s">
        <v>5417</v>
      </c>
      <c r="G665" s="55" t="s">
        <v>5233</v>
      </c>
      <c r="H665" s="55" t="s">
        <v>5234</v>
      </c>
      <c r="I665" s="55" t="s">
        <v>7985</v>
      </c>
      <c r="J665" s="55" t="s">
        <v>5189</v>
      </c>
      <c r="K665" s="55" t="s">
        <v>7986</v>
      </c>
      <c r="L665" s="55" t="s">
        <v>7987</v>
      </c>
      <c r="M665" s="55" t="s">
        <v>4752</v>
      </c>
      <c r="N665" s="55" t="s">
        <v>5192</v>
      </c>
      <c r="O665" s="55" t="s">
        <v>5191</v>
      </c>
    </row>
    <row r="666" spans="1:15" ht="15.75" x14ac:dyDescent="0.25">
      <c r="A666" s="55" t="s">
        <v>5188</v>
      </c>
      <c r="B666" s="55" t="s">
        <v>8531</v>
      </c>
      <c r="C666" s="55" t="s">
        <v>7983</v>
      </c>
      <c r="D666" s="55" t="s">
        <v>7984</v>
      </c>
      <c r="E666" s="55" t="s">
        <v>5416</v>
      </c>
      <c r="F666" s="55" t="s">
        <v>5417</v>
      </c>
      <c r="G666" s="55" t="s">
        <v>5233</v>
      </c>
      <c r="H666" s="55" t="s">
        <v>5234</v>
      </c>
      <c r="I666" s="55" t="s">
        <v>7985</v>
      </c>
      <c r="J666" s="55" t="s">
        <v>5189</v>
      </c>
      <c r="K666" s="55" t="s">
        <v>7986</v>
      </c>
      <c r="L666" s="55" t="s">
        <v>7987</v>
      </c>
      <c r="M666" s="55" t="s">
        <v>5206</v>
      </c>
      <c r="N666" s="55" t="s">
        <v>5192</v>
      </c>
      <c r="O666" s="55" t="s">
        <v>5191</v>
      </c>
    </row>
    <row r="667" spans="1:15" ht="15.75" x14ac:dyDescent="0.25">
      <c r="A667" s="55" t="s">
        <v>5188</v>
      </c>
      <c r="B667" s="55" t="s">
        <v>6691</v>
      </c>
      <c r="C667" s="55" t="s">
        <v>6692</v>
      </c>
      <c r="D667" s="55" t="s">
        <v>6693</v>
      </c>
      <c r="E667" s="55" t="s">
        <v>6694</v>
      </c>
      <c r="F667" s="55" t="s">
        <v>6695</v>
      </c>
      <c r="G667" s="55" t="s">
        <v>5320</v>
      </c>
      <c r="H667" s="55" t="s">
        <v>5321</v>
      </c>
      <c r="I667" s="55" t="s">
        <v>6696</v>
      </c>
      <c r="J667" s="55" t="s">
        <v>5189</v>
      </c>
      <c r="K667" s="55" t="s">
        <v>6697</v>
      </c>
      <c r="L667" s="55" t="s">
        <v>6698</v>
      </c>
      <c r="M667" s="55" t="s">
        <v>5303</v>
      </c>
      <c r="N667" s="55" t="s">
        <v>5190</v>
      </c>
      <c r="O667" s="55" t="s">
        <v>5191</v>
      </c>
    </row>
    <row r="668" spans="1:15" ht="15.75" x14ac:dyDescent="0.25">
      <c r="A668" s="55" t="s">
        <v>5188</v>
      </c>
      <c r="B668" s="55" t="s">
        <v>7218</v>
      </c>
      <c r="C668" s="55" t="s">
        <v>7219</v>
      </c>
      <c r="D668" s="55" t="s">
        <v>5219</v>
      </c>
      <c r="E668" s="55" t="s">
        <v>5242</v>
      </c>
      <c r="F668" s="55" t="s">
        <v>5243</v>
      </c>
      <c r="G668" s="55" t="s">
        <v>5244</v>
      </c>
      <c r="H668" s="55" t="s">
        <v>5245</v>
      </c>
      <c r="I668" s="55" t="s">
        <v>7220</v>
      </c>
      <c r="J668" s="55" t="s">
        <v>5189</v>
      </c>
      <c r="K668" s="55" t="s">
        <v>7221</v>
      </c>
      <c r="L668" s="55" t="s">
        <v>7222</v>
      </c>
      <c r="M668" s="55" t="s">
        <v>5371</v>
      </c>
      <c r="N668" s="55" t="s">
        <v>5190</v>
      </c>
      <c r="O668" s="55" t="s">
        <v>5191</v>
      </c>
    </row>
    <row r="669" spans="1:15" ht="15.75" x14ac:dyDescent="0.25">
      <c r="A669" s="55" t="s">
        <v>5188</v>
      </c>
      <c r="B669" s="55" t="s">
        <v>6699</v>
      </c>
      <c r="C669" s="55" t="s">
        <v>6700</v>
      </c>
      <c r="D669" s="55" t="s">
        <v>5219</v>
      </c>
      <c r="E669" s="55" t="s">
        <v>5242</v>
      </c>
      <c r="F669" s="55" t="s">
        <v>5243</v>
      </c>
      <c r="G669" s="55" t="s">
        <v>5244</v>
      </c>
      <c r="H669" s="55" t="s">
        <v>5245</v>
      </c>
      <c r="I669" s="55" t="s">
        <v>6701</v>
      </c>
      <c r="J669" s="55" t="s">
        <v>5189</v>
      </c>
      <c r="K669" s="55" t="s">
        <v>6702</v>
      </c>
      <c r="L669" s="55" t="s">
        <v>6703</v>
      </c>
      <c r="M669" s="55" t="s">
        <v>5302</v>
      </c>
      <c r="N669" s="55" t="s">
        <v>5190</v>
      </c>
      <c r="O669" s="55" t="s">
        <v>5191</v>
      </c>
    </row>
    <row r="670" spans="1:15" ht="15.75" x14ac:dyDescent="0.25">
      <c r="A670" s="55" t="s">
        <v>5188</v>
      </c>
      <c r="B670" s="55" t="s">
        <v>5435</v>
      </c>
      <c r="C670" s="55" t="s">
        <v>5436</v>
      </c>
      <c r="D670" s="55" t="s">
        <v>5437</v>
      </c>
      <c r="E670" s="55" t="s">
        <v>5438</v>
      </c>
      <c r="F670" s="55" t="s">
        <v>5439</v>
      </c>
      <c r="G670" s="55" t="s">
        <v>5440</v>
      </c>
      <c r="H670" s="55" t="s">
        <v>5441</v>
      </c>
      <c r="I670" s="55" t="s">
        <v>5442</v>
      </c>
      <c r="J670" s="55" t="s">
        <v>5189</v>
      </c>
      <c r="K670" s="55" t="s">
        <v>5443</v>
      </c>
      <c r="L670" s="55" t="s">
        <v>5444</v>
      </c>
      <c r="M670" s="55" t="s">
        <v>4758</v>
      </c>
      <c r="N670" s="55" t="s">
        <v>5190</v>
      </c>
      <c r="O670" s="55" t="s">
        <v>5191</v>
      </c>
    </row>
    <row r="671" spans="1:15" ht="15.75" x14ac:dyDescent="0.25">
      <c r="A671" s="55" t="s">
        <v>5188</v>
      </c>
      <c r="B671" s="55" t="s">
        <v>5475</v>
      </c>
      <c r="C671" s="55" t="s">
        <v>5468</v>
      </c>
      <c r="D671" s="55" t="s">
        <v>5469</v>
      </c>
      <c r="E671" s="55" t="s">
        <v>5470</v>
      </c>
      <c r="F671" s="55" t="s">
        <v>5471</v>
      </c>
      <c r="G671" s="55" t="s">
        <v>5213</v>
      </c>
      <c r="H671" s="55" t="s">
        <v>5214</v>
      </c>
      <c r="I671" s="55" t="s">
        <v>5472</v>
      </c>
      <c r="J671" s="55" t="s">
        <v>5189</v>
      </c>
      <c r="K671" s="55" t="s">
        <v>5473</v>
      </c>
      <c r="L671" s="55" t="s">
        <v>5474</v>
      </c>
      <c r="M671" s="55" t="s">
        <v>4621</v>
      </c>
      <c r="N671" s="55" t="s">
        <v>5190</v>
      </c>
      <c r="O671" s="55" t="s">
        <v>5191</v>
      </c>
    </row>
    <row r="672" spans="1:15" ht="15.75" x14ac:dyDescent="0.25">
      <c r="A672" s="55" t="s">
        <v>5188</v>
      </c>
      <c r="B672" s="55" t="s">
        <v>5496</v>
      </c>
      <c r="C672" s="55" t="s">
        <v>5497</v>
      </c>
      <c r="D672" s="55" t="s">
        <v>5498</v>
      </c>
      <c r="E672" s="55" t="s">
        <v>5499</v>
      </c>
      <c r="F672" s="55" t="s">
        <v>5500</v>
      </c>
      <c r="G672" s="55" t="s">
        <v>5501</v>
      </c>
      <c r="H672" s="55" t="s">
        <v>5502</v>
      </c>
      <c r="I672" s="55" t="s">
        <v>5503</v>
      </c>
      <c r="J672" s="55" t="s">
        <v>5189</v>
      </c>
      <c r="K672" s="55" t="s">
        <v>5504</v>
      </c>
      <c r="L672" s="55" t="s">
        <v>5505</v>
      </c>
      <c r="M672" s="55" t="s">
        <v>4944</v>
      </c>
      <c r="N672" s="55" t="s">
        <v>5190</v>
      </c>
      <c r="O672" s="55" t="s">
        <v>5191</v>
      </c>
    </row>
    <row r="673" spans="1:15" ht="15.75" x14ac:dyDescent="0.25">
      <c r="A673" s="55" t="s">
        <v>5188</v>
      </c>
      <c r="B673" s="55" t="s">
        <v>7223</v>
      </c>
      <c r="C673" s="55" t="s">
        <v>6705</v>
      </c>
      <c r="D673" s="55" t="s">
        <v>5226</v>
      </c>
      <c r="E673" s="55" t="s">
        <v>6706</v>
      </c>
      <c r="F673" s="55" t="s">
        <v>6707</v>
      </c>
      <c r="G673" s="55" t="s">
        <v>5310</v>
      </c>
      <c r="H673" s="55" t="s">
        <v>5311</v>
      </c>
      <c r="I673" s="55" t="s">
        <v>6708</v>
      </c>
      <c r="J673" s="55" t="s">
        <v>5189</v>
      </c>
      <c r="K673" s="55" t="s">
        <v>6709</v>
      </c>
      <c r="L673" s="55" t="s">
        <v>6710</v>
      </c>
      <c r="M673" s="55" t="s">
        <v>4567</v>
      </c>
      <c r="N673" s="55" t="s">
        <v>5190</v>
      </c>
      <c r="O673" s="55" t="s">
        <v>5191</v>
      </c>
    </row>
    <row r="674" spans="1:15" ht="15.75" x14ac:dyDescent="0.25">
      <c r="A674" s="55" t="s">
        <v>5188</v>
      </c>
      <c r="B674" s="55" t="s">
        <v>6704</v>
      </c>
      <c r="C674" s="55" t="s">
        <v>6705</v>
      </c>
      <c r="D674" s="55" t="s">
        <v>5226</v>
      </c>
      <c r="E674" s="55" t="s">
        <v>6706</v>
      </c>
      <c r="F674" s="55" t="s">
        <v>6707</v>
      </c>
      <c r="G674" s="55" t="s">
        <v>5310</v>
      </c>
      <c r="H674" s="55" t="s">
        <v>5311</v>
      </c>
      <c r="I674" s="55" t="s">
        <v>6708</v>
      </c>
      <c r="J674" s="55" t="s">
        <v>5189</v>
      </c>
      <c r="K674" s="55" t="s">
        <v>6709</v>
      </c>
      <c r="L674" s="55" t="s">
        <v>6710</v>
      </c>
      <c r="M674" s="55" t="s">
        <v>4944</v>
      </c>
      <c r="N674" s="55" t="s">
        <v>5190</v>
      </c>
      <c r="O674" s="55" t="s">
        <v>5191</v>
      </c>
    </row>
    <row r="675" spans="1:15" ht="15.75" x14ac:dyDescent="0.25">
      <c r="A675" s="55" t="s">
        <v>5188</v>
      </c>
      <c r="B675" s="55" t="s">
        <v>7224</v>
      </c>
      <c r="C675" s="55" t="s">
        <v>6712</v>
      </c>
      <c r="D675" s="55" t="s">
        <v>6713</v>
      </c>
      <c r="E675" s="55" t="s">
        <v>5255</v>
      </c>
      <c r="F675" s="55" t="s">
        <v>5256</v>
      </c>
      <c r="G675" s="55" t="s">
        <v>5239</v>
      </c>
      <c r="H675" s="55" t="s">
        <v>5240</v>
      </c>
      <c r="I675" s="55" t="s">
        <v>6719</v>
      </c>
      <c r="J675" s="55" t="s">
        <v>5189</v>
      </c>
      <c r="K675" s="55" t="s">
        <v>6715</v>
      </c>
      <c r="L675" s="55" t="s">
        <v>6716</v>
      </c>
      <c r="M675" s="55" t="s">
        <v>3407</v>
      </c>
      <c r="N675" s="55" t="s">
        <v>5192</v>
      </c>
      <c r="O675" s="55" t="s">
        <v>5191</v>
      </c>
    </row>
    <row r="676" spans="1:15" ht="15.75" x14ac:dyDescent="0.25">
      <c r="A676" s="55" t="s">
        <v>5188</v>
      </c>
      <c r="B676" s="55" t="s">
        <v>7225</v>
      </c>
      <c r="C676" s="55" t="s">
        <v>6721</v>
      </c>
      <c r="D676" s="55" t="s">
        <v>6722</v>
      </c>
      <c r="E676" s="55" t="s">
        <v>6723</v>
      </c>
      <c r="F676" s="55" t="s">
        <v>6724</v>
      </c>
      <c r="G676" s="55" t="s">
        <v>5372</v>
      </c>
      <c r="H676" s="55" t="s">
        <v>5373</v>
      </c>
      <c r="I676" s="55" t="s">
        <v>6725</v>
      </c>
      <c r="J676" s="55" t="s">
        <v>5189</v>
      </c>
      <c r="K676" s="55" t="s">
        <v>6726</v>
      </c>
      <c r="L676" s="55" t="s">
        <v>6727</v>
      </c>
      <c r="M676" s="55" t="s">
        <v>4342</v>
      </c>
      <c r="N676" s="55" t="s">
        <v>5192</v>
      </c>
      <c r="O676" s="55" t="s">
        <v>5191</v>
      </c>
    </row>
    <row r="677" spans="1:15" ht="15.75" x14ac:dyDescent="0.25">
      <c r="A677" s="55" t="s">
        <v>5188</v>
      </c>
      <c r="B677" s="55" t="s">
        <v>7226</v>
      </c>
      <c r="C677" s="55" t="s">
        <v>6729</v>
      </c>
      <c r="D677" s="55" t="s">
        <v>6730</v>
      </c>
      <c r="E677" s="55" t="s">
        <v>6731</v>
      </c>
      <c r="F677" s="55" t="s">
        <v>6732</v>
      </c>
      <c r="G677" s="55" t="s">
        <v>6426</v>
      </c>
      <c r="H677" s="55" t="s">
        <v>6427</v>
      </c>
      <c r="I677" s="55" t="s">
        <v>6733</v>
      </c>
      <c r="J677" s="55" t="s">
        <v>5189</v>
      </c>
      <c r="K677" s="55" t="s">
        <v>6734</v>
      </c>
      <c r="L677" s="55" t="s">
        <v>6735</v>
      </c>
      <c r="M677" s="55" t="s">
        <v>4322</v>
      </c>
      <c r="N677" s="55" t="s">
        <v>5192</v>
      </c>
      <c r="O677" s="55" t="s">
        <v>5191</v>
      </c>
    </row>
    <row r="678" spans="1:15" ht="15.75" x14ac:dyDescent="0.25">
      <c r="A678" s="55" t="s">
        <v>5188</v>
      </c>
      <c r="B678" s="55" t="s">
        <v>7227</v>
      </c>
      <c r="C678" s="55" t="s">
        <v>6729</v>
      </c>
      <c r="D678" s="55" t="s">
        <v>6730</v>
      </c>
      <c r="E678" s="55" t="s">
        <v>6731</v>
      </c>
      <c r="F678" s="55" t="s">
        <v>6732</v>
      </c>
      <c r="G678" s="55" t="s">
        <v>6426</v>
      </c>
      <c r="H678" s="55" t="s">
        <v>6427</v>
      </c>
      <c r="I678" s="55" t="s">
        <v>6733</v>
      </c>
      <c r="J678" s="55" t="s">
        <v>5189</v>
      </c>
      <c r="K678" s="55" t="s">
        <v>6734</v>
      </c>
      <c r="L678" s="55" t="s">
        <v>6735</v>
      </c>
      <c r="M678" s="55" t="s">
        <v>4866</v>
      </c>
      <c r="N678" s="55" t="s">
        <v>5192</v>
      </c>
      <c r="O678" s="55" t="s">
        <v>5191</v>
      </c>
    </row>
    <row r="679" spans="1:15" ht="15.75" x14ac:dyDescent="0.25">
      <c r="A679" s="55" t="s">
        <v>5188</v>
      </c>
      <c r="B679" s="55" t="s">
        <v>7228</v>
      </c>
      <c r="C679" s="55" t="s">
        <v>7229</v>
      </c>
      <c r="D679" s="55" t="s">
        <v>7230</v>
      </c>
      <c r="E679" s="55" t="s">
        <v>7231</v>
      </c>
      <c r="F679" s="55" t="s">
        <v>7232</v>
      </c>
      <c r="G679" s="55" t="s">
        <v>7233</v>
      </c>
      <c r="H679" s="55" t="s">
        <v>7234</v>
      </c>
      <c r="I679" s="55" t="s">
        <v>7235</v>
      </c>
      <c r="J679" s="55" t="s">
        <v>5189</v>
      </c>
      <c r="K679" s="55" t="s">
        <v>6915</v>
      </c>
      <c r="L679" s="55" t="s">
        <v>7236</v>
      </c>
      <c r="M679" s="55" t="s">
        <v>4752</v>
      </c>
      <c r="N679" s="55" t="s">
        <v>5192</v>
      </c>
      <c r="O679" s="55" t="s">
        <v>5191</v>
      </c>
    </row>
    <row r="680" spans="1:15" ht="15.75" x14ac:dyDescent="0.25">
      <c r="A680" s="55" t="s">
        <v>5188</v>
      </c>
      <c r="B680" s="55" t="s">
        <v>7237</v>
      </c>
      <c r="C680" s="55" t="s">
        <v>7229</v>
      </c>
      <c r="D680" s="55" t="s">
        <v>7230</v>
      </c>
      <c r="E680" s="55" t="s">
        <v>7231</v>
      </c>
      <c r="F680" s="55" t="s">
        <v>7232</v>
      </c>
      <c r="G680" s="55" t="s">
        <v>7233</v>
      </c>
      <c r="H680" s="55" t="s">
        <v>7234</v>
      </c>
      <c r="I680" s="55" t="s">
        <v>7235</v>
      </c>
      <c r="J680" s="55" t="s">
        <v>5189</v>
      </c>
      <c r="K680" s="55" t="s">
        <v>6915</v>
      </c>
      <c r="L680" s="55" t="s">
        <v>7236</v>
      </c>
      <c r="M680" s="55" t="s">
        <v>5208</v>
      </c>
      <c r="N680" s="55" t="s">
        <v>5192</v>
      </c>
      <c r="O680" s="55" t="s">
        <v>5191</v>
      </c>
    </row>
    <row r="681" spans="1:15" ht="15.75" x14ac:dyDescent="0.25">
      <c r="A681" s="55" t="s">
        <v>5188</v>
      </c>
      <c r="B681" s="55" t="s">
        <v>7238</v>
      </c>
      <c r="C681" s="55" t="s">
        <v>6753</v>
      </c>
      <c r="D681" s="55" t="s">
        <v>5219</v>
      </c>
      <c r="E681" s="55" t="s">
        <v>5194</v>
      </c>
      <c r="F681" s="55" t="s">
        <v>5195</v>
      </c>
      <c r="G681" s="55" t="s">
        <v>5198</v>
      </c>
      <c r="H681" s="55" t="s">
        <v>5199</v>
      </c>
      <c r="I681" s="55" t="s">
        <v>6754</v>
      </c>
      <c r="J681" s="55" t="s">
        <v>5189</v>
      </c>
      <c r="K681" s="55" t="s">
        <v>6755</v>
      </c>
      <c r="L681" s="55" t="s">
        <v>6756</v>
      </c>
      <c r="M681" s="55" t="s">
        <v>906</v>
      </c>
      <c r="N681" s="55" t="s">
        <v>5192</v>
      </c>
      <c r="O681" s="55" t="s">
        <v>5191</v>
      </c>
    </row>
    <row r="682" spans="1:15" ht="15.75" x14ac:dyDescent="0.25">
      <c r="A682" s="55" t="s">
        <v>5188</v>
      </c>
      <c r="B682" s="55" t="s">
        <v>7239</v>
      </c>
      <c r="C682" s="55" t="s">
        <v>6753</v>
      </c>
      <c r="D682" s="55" t="s">
        <v>5219</v>
      </c>
      <c r="E682" s="55" t="s">
        <v>5194</v>
      </c>
      <c r="F682" s="55" t="s">
        <v>5195</v>
      </c>
      <c r="G682" s="55" t="s">
        <v>5198</v>
      </c>
      <c r="H682" s="55" t="s">
        <v>5199</v>
      </c>
      <c r="I682" s="55" t="s">
        <v>6754</v>
      </c>
      <c r="J682" s="55" t="s">
        <v>5189</v>
      </c>
      <c r="K682" s="55" t="s">
        <v>6755</v>
      </c>
      <c r="L682" s="55" t="s">
        <v>6756</v>
      </c>
      <c r="M682" s="55" t="s">
        <v>623</v>
      </c>
      <c r="N682" s="55" t="s">
        <v>5192</v>
      </c>
      <c r="O682" s="55" t="s">
        <v>5191</v>
      </c>
    </row>
    <row r="683" spans="1:15" ht="15.75" x14ac:dyDescent="0.25">
      <c r="A683" s="55" t="s">
        <v>5188</v>
      </c>
      <c r="B683" s="55" t="s">
        <v>7240</v>
      </c>
      <c r="C683" s="55" t="s">
        <v>6753</v>
      </c>
      <c r="D683" s="55" t="s">
        <v>5219</v>
      </c>
      <c r="E683" s="55" t="s">
        <v>5194</v>
      </c>
      <c r="F683" s="55" t="s">
        <v>5195</v>
      </c>
      <c r="G683" s="55" t="s">
        <v>5198</v>
      </c>
      <c r="H683" s="55" t="s">
        <v>5199</v>
      </c>
      <c r="I683" s="55" t="s">
        <v>6754</v>
      </c>
      <c r="J683" s="55" t="s">
        <v>5189</v>
      </c>
      <c r="K683" s="55" t="s">
        <v>6755</v>
      </c>
      <c r="L683" s="55" t="s">
        <v>6756</v>
      </c>
      <c r="M683" s="55" t="s">
        <v>4453</v>
      </c>
      <c r="N683" s="55" t="s">
        <v>5192</v>
      </c>
      <c r="O683" s="55" t="s">
        <v>5191</v>
      </c>
    </row>
    <row r="684" spans="1:15" ht="15.75" x14ac:dyDescent="0.25">
      <c r="A684" s="55" t="s">
        <v>5188</v>
      </c>
      <c r="B684" s="55" t="s">
        <v>7241</v>
      </c>
      <c r="C684" s="55" t="s">
        <v>7242</v>
      </c>
      <c r="D684" s="55" t="s">
        <v>7243</v>
      </c>
      <c r="E684" s="55" t="s">
        <v>7244</v>
      </c>
      <c r="F684" s="55" t="s">
        <v>7245</v>
      </c>
      <c r="G684" s="55" t="s">
        <v>6742</v>
      </c>
      <c r="H684" s="55" t="s">
        <v>6743</v>
      </c>
      <c r="I684" s="55" t="s">
        <v>7246</v>
      </c>
      <c r="J684" s="55" t="s">
        <v>5189</v>
      </c>
      <c r="K684" s="55" t="s">
        <v>7247</v>
      </c>
      <c r="L684" s="55" t="s">
        <v>7248</v>
      </c>
      <c r="M684" s="55" t="s">
        <v>4944</v>
      </c>
      <c r="N684" s="55" t="s">
        <v>5192</v>
      </c>
      <c r="O684" s="55" t="s">
        <v>5191</v>
      </c>
    </row>
    <row r="685" spans="1:15" ht="15.75" x14ac:dyDescent="0.25">
      <c r="A685" s="55" t="s">
        <v>5188</v>
      </c>
      <c r="B685" s="55" t="s">
        <v>7249</v>
      </c>
      <c r="C685" s="55" t="s">
        <v>6766</v>
      </c>
      <c r="D685" s="55" t="s">
        <v>5226</v>
      </c>
      <c r="E685" s="55" t="s">
        <v>5409</v>
      </c>
      <c r="F685" s="55" t="s">
        <v>5410</v>
      </c>
      <c r="G685" s="55" t="s">
        <v>5328</v>
      </c>
      <c r="H685" s="55" t="s">
        <v>5329</v>
      </c>
      <c r="I685" s="55" t="s">
        <v>6767</v>
      </c>
      <c r="J685" s="55" t="s">
        <v>5189</v>
      </c>
      <c r="K685" s="55" t="s">
        <v>6768</v>
      </c>
      <c r="L685" s="55" t="s">
        <v>6769</v>
      </c>
      <c r="M685" s="55" t="s">
        <v>4571</v>
      </c>
      <c r="N685" s="55" t="s">
        <v>5192</v>
      </c>
      <c r="O685" s="55" t="s">
        <v>5191</v>
      </c>
    </row>
    <row r="686" spans="1:15" ht="15.75" x14ac:dyDescent="0.25">
      <c r="A686" s="55" t="s">
        <v>5188</v>
      </c>
      <c r="B686" s="55" t="s">
        <v>7250</v>
      </c>
      <c r="C686" s="55" t="s">
        <v>6766</v>
      </c>
      <c r="D686" s="55" t="s">
        <v>5226</v>
      </c>
      <c r="E686" s="55" t="s">
        <v>5409</v>
      </c>
      <c r="F686" s="55" t="s">
        <v>5410</v>
      </c>
      <c r="G686" s="55" t="s">
        <v>5328</v>
      </c>
      <c r="H686" s="55" t="s">
        <v>5329</v>
      </c>
      <c r="I686" s="55" t="s">
        <v>6767</v>
      </c>
      <c r="J686" s="55" t="s">
        <v>5189</v>
      </c>
      <c r="K686" s="55" t="s">
        <v>6768</v>
      </c>
      <c r="L686" s="55" t="s">
        <v>6769</v>
      </c>
      <c r="M686" s="55" t="s">
        <v>4503</v>
      </c>
      <c r="N686" s="55" t="s">
        <v>5192</v>
      </c>
      <c r="O686" s="55" t="s">
        <v>5191</v>
      </c>
    </row>
    <row r="687" spans="1:15" ht="15.75" x14ac:dyDescent="0.25">
      <c r="A687" s="55" t="s">
        <v>5188</v>
      </c>
      <c r="B687" s="55" t="s">
        <v>7251</v>
      </c>
      <c r="C687" s="55" t="s">
        <v>6766</v>
      </c>
      <c r="D687" s="55" t="s">
        <v>5226</v>
      </c>
      <c r="E687" s="55" t="s">
        <v>5409</v>
      </c>
      <c r="F687" s="55" t="s">
        <v>5410</v>
      </c>
      <c r="G687" s="55" t="s">
        <v>5328</v>
      </c>
      <c r="H687" s="55" t="s">
        <v>5329</v>
      </c>
      <c r="I687" s="55" t="s">
        <v>6767</v>
      </c>
      <c r="J687" s="55" t="s">
        <v>5189</v>
      </c>
      <c r="K687" s="55" t="s">
        <v>6768</v>
      </c>
      <c r="L687" s="55" t="s">
        <v>6769</v>
      </c>
      <c r="M687" s="55" t="s">
        <v>4669</v>
      </c>
      <c r="N687" s="55" t="s">
        <v>5192</v>
      </c>
      <c r="O687" s="55" t="s">
        <v>5191</v>
      </c>
    </row>
    <row r="688" spans="1:15" ht="15.75" x14ac:dyDescent="0.25">
      <c r="A688" s="55" t="s">
        <v>5188</v>
      </c>
      <c r="B688" s="55" t="s">
        <v>7252</v>
      </c>
      <c r="C688" s="55" t="s">
        <v>7253</v>
      </c>
      <c r="D688" s="55" t="s">
        <v>7254</v>
      </c>
      <c r="E688" s="55" t="s">
        <v>7255</v>
      </c>
      <c r="F688" s="55" t="s">
        <v>7256</v>
      </c>
      <c r="G688" s="55" t="s">
        <v>5378</v>
      </c>
      <c r="H688" s="55" t="s">
        <v>5379</v>
      </c>
      <c r="I688" s="55" t="s">
        <v>7257</v>
      </c>
      <c r="J688" s="55" t="s">
        <v>5189</v>
      </c>
      <c r="K688" s="55" t="s">
        <v>7258</v>
      </c>
      <c r="L688" s="55" t="s">
        <v>7259</v>
      </c>
      <c r="M688" s="55" t="s">
        <v>921</v>
      </c>
      <c r="N688" s="55" t="s">
        <v>5192</v>
      </c>
      <c r="O688" s="55" t="s">
        <v>5191</v>
      </c>
    </row>
    <row r="689" spans="1:15" ht="15.75" x14ac:dyDescent="0.25">
      <c r="A689" s="55" t="s">
        <v>5188</v>
      </c>
      <c r="B689" s="55" t="s">
        <v>7260</v>
      </c>
      <c r="C689" s="55" t="s">
        <v>7253</v>
      </c>
      <c r="D689" s="55" t="s">
        <v>7254</v>
      </c>
      <c r="E689" s="55" t="s">
        <v>7255</v>
      </c>
      <c r="F689" s="55" t="s">
        <v>7256</v>
      </c>
      <c r="G689" s="55" t="s">
        <v>5378</v>
      </c>
      <c r="H689" s="55" t="s">
        <v>5379</v>
      </c>
      <c r="I689" s="55" t="s">
        <v>7257</v>
      </c>
      <c r="J689" s="55" t="s">
        <v>5189</v>
      </c>
      <c r="K689" s="55" t="s">
        <v>7258</v>
      </c>
      <c r="L689" s="55" t="s">
        <v>7259</v>
      </c>
      <c r="M689" s="55" t="s">
        <v>4386</v>
      </c>
      <c r="N689" s="55" t="s">
        <v>5192</v>
      </c>
      <c r="O689" s="55" t="s">
        <v>5191</v>
      </c>
    </row>
    <row r="690" spans="1:15" ht="15.75" x14ac:dyDescent="0.25">
      <c r="A690" s="55" t="s">
        <v>5188</v>
      </c>
      <c r="B690" s="55" t="s">
        <v>7261</v>
      </c>
      <c r="C690" s="55" t="s">
        <v>6771</v>
      </c>
      <c r="D690" s="55" t="s">
        <v>6772</v>
      </c>
      <c r="E690" s="55" t="s">
        <v>6773</v>
      </c>
      <c r="F690" s="55" t="s">
        <v>6774</v>
      </c>
      <c r="G690" s="55" t="s">
        <v>5363</v>
      </c>
      <c r="H690" s="55" t="s">
        <v>5364</v>
      </c>
      <c r="I690" s="55" t="s">
        <v>6775</v>
      </c>
      <c r="J690" s="55" t="s">
        <v>5189</v>
      </c>
      <c r="K690" s="55" t="s">
        <v>6776</v>
      </c>
      <c r="L690" s="55" t="s">
        <v>6777</v>
      </c>
      <c r="M690" s="55" t="s">
        <v>5316</v>
      </c>
      <c r="N690" s="55" t="s">
        <v>5192</v>
      </c>
      <c r="O690" s="55" t="s">
        <v>5191</v>
      </c>
    </row>
    <row r="691" spans="1:15" ht="15.75" x14ac:dyDescent="0.25">
      <c r="A691" s="55" t="s">
        <v>5188</v>
      </c>
      <c r="B691" s="55" t="s">
        <v>7262</v>
      </c>
      <c r="C691" s="55" t="s">
        <v>6780</v>
      </c>
      <c r="D691" s="55" t="s">
        <v>6781</v>
      </c>
      <c r="E691" s="55" t="s">
        <v>6782</v>
      </c>
      <c r="F691" s="55" t="s">
        <v>6783</v>
      </c>
      <c r="G691" s="55" t="s">
        <v>5414</v>
      </c>
      <c r="H691" s="55" t="s">
        <v>5415</v>
      </c>
      <c r="I691" s="55" t="s">
        <v>6784</v>
      </c>
      <c r="J691" s="55" t="s">
        <v>5189</v>
      </c>
      <c r="K691" s="55" t="s">
        <v>6785</v>
      </c>
      <c r="L691" s="55" t="s">
        <v>6786</v>
      </c>
      <c r="M691" s="55" t="s">
        <v>4583</v>
      </c>
      <c r="N691" s="55" t="s">
        <v>5192</v>
      </c>
      <c r="O691" s="55" t="s">
        <v>5191</v>
      </c>
    </row>
    <row r="692" spans="1:15" ht="15.75" x14ac:dyDescent="0.25">
      <c r="A692" s="55" t="s">
        <v>5188</v>
      </c>
      <c r="B692" s="55" t="s">
        <v>7263</v>
      </c>
      <c r="C692" s="55" t="s">
        <v>6780</v>
      </c>
      <c r="D692" s="55" t="s">
        <v>6781</v>
      </c>
      <c r="E692" s="55" t="s">
        <v>6782</v>
      </c>
      <c r="F692" s="55" t="s">
        <v>6783</v>
      </c>
      <c r="G692" s="55" t="s">
        <v>5414</v>
      </c>
      <c r="H692" s="55" t="s">
        <v>5415</v>
      </c>
      <c r="I692" s="55" t="s">
        <v>6784</v>
      </c>
      <c r="J692" s="55" t="s">
        <v>5189</v>
      </c>
      <c r="K692" s="55" t="s">
        <v>6785</v>
      </c>
      <c r="L692" s="55" t="s">
        <v>6786</v>
      </c>
      <c r="M692" s="55" t="s">
        <v>4752</v>
      </c>
      <c r="N692" s="55" t="s">
        <v>5192</v>
      </c>
      <c r="O692" s="55" t="s">
        <v>5191</v>
      </c>
    </row>
    <row r="693" spans="1:15" ht="15.75" x14ac:dyDescent="0.25">
      <c r="A693" s="55" t="s">
        <v>5188</v>
      </c>
      <c r="B693" s="55" t="s">
        <v>8532</v>
      </c>
      <c r="C693" s="55" t="s">
        <v>7995</v>
      </c>
      <c r="D693" s="55" t="s">
        <v>7996</v>
      </c>
      <c r="E693" s="55" t="s">
        <v>6782</v>
      </c>
      <c r="F693" s="55" t="s">
        <v>6783</v>
      </c>
      <c r="G693" s="55" t="s">
        <v>5414</v>
      </c>
      <c r="H693" s="55" t="s">
        <v>5415</v>
      </c>
      <c r="I693" s="55" t="s">
        <v>7997</v>
      </c>
      <c r="J693" s="55" t="s">
        <v>5189</v>
      </c>
      <c r="K693" s="55" t="s">
        <v>7998</v>
      </c>
      <c r="L693" s="55" t="s">
        <v>7999</v>
      </c>
      <c r="M693" s="55" t="s">
        <v>5026</v>
      </c>
      <c r="N693" s="55" t="s">
        <v>5192</v>
      </c>
      <c r="O693" s="55" t="s">
        <v>5191</v>
      </c>
    </row>
    <row r="694" spans="1:15" ht="15.75" x14ac:dyDescent="0.25">
      <c r="A694" s="55" t="s">
        <v>5188</v>
      </c>
      <c r="B694" s="55" t="s">
        <v>8533</v>
      </c>
      <c r="C694" s="55" t="s">
        <v>8009</v>
      </c>
      <c r="D694" s="55" t="s">
        <v>8010</v>
      </c>
      <c r="E694" s="55" t="s">
        <v>8011</v>
      </c>
      <c r="F694" s="55" t="s">
        <v>8012</v>
      </c>
      <c r="G694" s="55" t="s">
        <v>8013</v>
      </c>
      <c r="H694" s="55" t="s">
        <v>8014</v>
      </c>
      <c r="I694" s="55" t="s">
        <v>8015</v>
      </c>
      <c r="J694" s="55" t="s">
        <v>5189</v>
      </c>
      <c r="K694" s="55" t="s">
        <v>8016</v>
      </c>
      <c r="L694" s="55" t="s">
        <v>8017</v>
      </c>
      <c r="M694" s="55" t="s">
        <v>8117</v>
      </c>
      <c r="N694" s="55" t="s">
        <v>5192</v>
      </c>
      <c r="O694" s="55" t="s">
        <v>5191</v>
      </c>
    </row>
    <row r="695" spans="1:15" ht="15.75" x14ac:dyDescent="0.25">
      <c r="A695" s="55" t="s">
        <v>5188</v>
      </c>
      <c r="B695" s="55" t="s">
        <v>8534</v>
      </c>
      <c r="C695" s="55" t="s">
        <v>8027</v>
      </c>
      <c r="D695" s="55" t="s">
        <v>8028</v>
      </c>
      <c r="E695" s="55" t="s">
        <v>8029</v>
      </c>
      <c r="F695" s="55" t="s">
        <v>8030</v>
      </c>
      <c r="G695" s="55" t="s">
        <v>6742</v>
      </c>
      <c r="H695" s="55" t="s">
        <v>6743</v>
      </c>
      <c r="I695" s="55" t="s">
        <v>8031</v>
      </c>
      <c r="J695" s="55" t="s">
        <v>5189</v>
      </c>
      <c r="K695" s="55" t="s">
        <v>8032</v>
      </c>
      <c r="L695" s="55" t="s">
        <v>8033</v>
      </c>
      <c r="M695" s="55" t="s">
        <v>4569</v>
      </c>
      <c r="N695" s="55" t="s">
        <v>5192</v>
      </c>
      <c r="O695" s="55" t="s">
        <v>5191</v>
      </c>
    </row>
    <row r="696" spans="1:15" ht="15.75" x14ac:dyDescent="0.25">
      <c r="A696" s="55" t="s">
        <v>5188</v>
      </c>
      <c r="B696" s="55" t="s">
        <v>8535</v>
      </c>
      <c r="C696" s="55" t="s">
        <v>8027</v>
      </c>
      <c r="D696" s="55" t="s">
        <v>8028</v>
      </c>
      <c r="E696" s="55" t="s">
        <v>8029</v>
      </c>
      <c r="F696" s="55" t="s">
        <v>8030</v>
      </c>
      <c r="G696" s="55" t="s">
        <v>6742</v>
      </c>
      <c r="H696" s="55" t="s">
        <v>6743</v>
      </c>
      <c r="I696" s="55" t="s">
        <v>8031</v>
      </c>
      <c r="J696" s="55" t="s">
        <v>5189</v>
      </c>
      <c r="K696" s="55" t="s">
        <v>8032</v>
      </c>
      <c r="L696" s="55" t="s">
        <v>8033</v>
      </c>
      <c r="M696" s="55" t="s">
        <v>4527</v>
      </c>
      <c r="N696" s="55" t="s">
        <v>5192</v>
      </c>
      <c r="O696" s="55" t="s">
        <v>5191</v>
      </c>
    </row>
    <row r="697" spans="1:15" ht="15.75" x14ac:dyDescent="0.25">
      <c r="A697" s="55" t="s">
        <v>5188</v>
      </c>
      <c r="B697" s="55" t="s">
        <v>8536</v>
      </c>
      <c r="C697" s="55" t="s">
        <v>8027</v>
      </c>
      <c r="D697" s="55" t="s">
        <v>8028</v>
      </c>
      <c r="E697" s="55" t="s">
        <v>8029</v>
      </c>
      <c r="F697" s="55" t="s">
        <v>8030</v>
      </c>
      <c r="G697" s="55" t="s">
        <v>6742</v>
      </c>
      <c r="H697" s="55" t="s">
        <v>6743</v>
      </c>
      <c r="I697" s="55" t="s">
        <v>8031</v>
      </c>
      <c r="J697" s="55" t="s">
        <v>5189</v>
      </c>
      <c r="K697" s="55" t="s">
        <v>8032</v>
      </c>
      <c r="L697" s="55" t="s">
        <v>8033</v>
      </c>
      <c r="M697" s="55" t="s">
        <v>3551</v>
      </c>
      <c r="N697" s="55" t="s">
        <v>5192</v>
      </c>
      <c r="O697" s="55" t="s">
        <v>5191</v>
      </c>
    </row>
    <row r="698" spans="1:15" ht="15.75" x14ac:dyDescent="0.25">
      <c r="A698" s="55" t="s">
        <v>5188</v>
      </c>
      <c r="B698" s="55" t="s">
        <v>8537</v>
      </c>
      <c r="C698" s="55" t="s">
        <v>8036</v>
      </c>
      <c r="D698" s="55" t="s">
        <v>5226</v>
      </c>
      <c r="E698" s="55" t="s">
        <v>8037</v>
      </c>
      <c r="F698" s="55" t="s">
        <v>8038</v>
      </c>
      <c r="G698" s="55" t="s">
        <v>5328</v>
      </c>
      <c r="H698" s="55" t="s">
        <v>5329</v>
      </c>
      <c r="I698" s="55" t="s">
        <v>8039</v>
      </c>
      <c r="J698" s="55" t="s">
        <v>5189</v>
      </c>
      <c r="K698" s="55" t="s">
        <v>8040</v>
      </c>
      <c r="L698" s="55" t="s">
        <v>8041</v>
      </c>
      <c r="M698" s="55" t="s">
        <v>4569</v>
      </c>
      <c r="N698" s="55" t="s">
        <v>5192</v>
      </c>
      <c r="O698" s="55" t="s">
        <v>5191</v>
      </c>
    </row>
    <row r="699" spans="1:15" ht="15.75" x14ac:dyDescent="0.25">
      <c r="A699" s="55" t="s">
        <v>5188</v>
      </c>
      <c r="B699" s="55" t="s">
        <v>8538</v>
      </c>
      <c r="C699" s="55" t="s">
        <v>8036</v>
      </c>
      <c r="D699" s="55" t="s">
        <v>5226</v>
      </c>
      <c r="E699" s="55" t="s">
        <v>8037</v>
      </c>
      <c r="F699" s="55" t="s">
        <v>8038</v>
      </c>
      <c r="G699" s="55" t="s">
        <v>5328</v>
      </c>
      <c r="H699" s="55" t="s">
        <v>5329</v>
      </c>
      <c r="I699" s="55" t="s">
        <v>8039</v>
      </c>
      <c r="J699" s="55" t="s">
        <v>5189</v>
      </c>
      <c r="K699" s="55" t="s">
        <v>8040</v>
      </c>
      <c r="L699" s="55" t="s">
        <v>8041</v>
      </c>
      <c r="M699" s="55" t="s">
        <v>4567</v>
      </c>
      <c r="N699" s="55" t="s">
        <v>5192</v>
      </c>
      <c r="O699" s="55" t="s">
        <v>5191</v>
      </c>
    </row>
    <row r="700" spans="1:15" ht="15.75" x14ac:dyDescent="0.25">
      <c r="A700" s="55" t="s">
        <v>5188</v>
      </c>
      <c r="B700" s="55" t="s">
        <v>8539</v>
      </c>
      <c r="C700" s="55" t="s">
        <v>8054</v>
      </c>
      <c r="D700" s="55" t="s">
        <v>8055</v>
      </c>
      <c r="E700" s="55" t="s">
        <v>8056</v>
      </c>
      <c r="F700" s="55" t="s">
        <v>8057</v>
      </c>
      <c r="G700" s="55" t="s">
        <v>8058</v>
      </c>
      <c r="H700" s="55" t="s">
        <v>8059</v>
      </c>
      <c r="I700" s="55" t="s">
        <v>8060</v>
      </c>
      <c r="J700" s="55" t="s">
        <v>5189</v>
      </c>
      <c r="K700" s="55" t="s">
        <v>8061</v>
      </c>
      <c r="L700" s="55" t="s">
        <v>8062</v>
      </c>
      <c r="M700" s="55" t="s">
        <v>4567</v>
      </c>
      <c r="N700" s="55" t="s">
        <v>5192</v>
      </c>
      <c r="O700" s="55" t="s">
        <v>5191</v>
      </c>
    </row>
    <row r="701" spans="1:15" ht="15.75" x14ac:dyDescent="0.25">
      <c r="A701" s="55" t="s">
        <v>5188</v>
      </c>
      <c r="B701" s="55" t="s">
        <v>8540</v>
      </c>
      <c r="C701" s="55" t="s">
        <v>8054</v>
      </c>
      <c r="D701" s="55" t="s">
        <v>8055</v>
      </c>
      <c r="E701" s="55" t="s">
        <v>8056</v>
      </c>
      <c r="F701" s="55" t="s">
        <v>8057</v>
      </c>
      <c r="G701" s="55" t="s">
        <v>8058</v>
      </c>
      <c r="H701" s="55" t="s">
        <v>8059</v>
      </c>
      <c r="I701" s="55" t="s">
        <v>8060</v>
      </c>
      <c r="J701" s="55" t="s">
        <v>5189</v>
      </c>
      <c r="K701" s="55" t="s">
        <v>8061</v>
      </c>
      <c r="L701" s="55" t="s">
        <v>8062</v>
      </c>
      <c r="M701" s="55" t="s">
        <v>4569</v>
      </c>
      <c r="N701" s="55" t="s">
        <v>5192</v>
      </c>
      <c r="O701" s="55" t="s">
        <v>5191</v>
      </c>
    </row>
    <row r="702" spans="1:15" ht="15.75" x14ac:dyDescent="0.25">
      <c r="A702" s="55" t="s">
        <v>5188</v>
      </c>
      <c r="B702" s="55" t="s">
        <v>8541</v>
      </c>
      <c r="C702" s="55" t="s">
        <v>8064</v>
      </c>
      <c r="D702" s="55" t="s">
        <v>8065</v>
      </c>
      <c r="E702" s="55" t="s">
        <v>8066</v>
      </c>
      <c r="F702" s="55" t="s">
        <v>8067</v>
      </c>
      <c r="G702" s="55" t="s">
        <v>5213</v>
      </c>
      <c r="H702" s="55" t="s">
        <v>5214</v>
      </c>
      <c r="I702" s="55" t="s">
        <v>8068</v>
      </c>
      <c r="J702" s="55" t="s">
        <v>5189</v>
      </c>
      <c r="K702" s="55" t="s">
        <v>8069</v>
      </c>
      <c r="L702" s="55" t="s">
        <v>8070</v>
      </c>
      <c r="M702" s="55" t="s">
        <v>965</v>
      </c>
      <c r="N702" s="55" t="s">
        <v>5192</v>
      </c>
      <c r="O702" s="55" t="s">
        <v>5191</v>
      </c>
    </row>
    <row r="703" spans="1:15" ht="15.75" x14ac:dyDescent="0.25">
      <c r="A703" s="55" t="s">
        <v>5188</v>
      </c>
      <c r="B703" s="55" t="s">
        <v>8542</v>
      </c>
      <c r="C703" s="55" t="s">
        <v>8064</v>
      </c>
      <c r="D703" s="55" t="s">
        <v>8065</v>
      </c>
      <c r="E703" s="55" t="s">
        <v>8066</v>
      </c>
      <c r="F703" s="55" t="s">
        <v>8067</v>
      </c>
      <c r="G703" s="55" t="s">
        <v>5213</v>
      </c>
      <c r="H703" s="55" t="s">
        <v>5214</v>
      </c>
      <c r="I703" s="55" t="s">
        <v>8068</v>
      </c>
      <c r="J703" s="55" t="s">
        <v>5189</v>
      </c>
      <c r="K703" s="55" t="s">
        <v>8069</v>
      </c>
      <c r="L703" s="55" t="s">
        <v>8070</v>
      </c>
      <c r="M703" s="55" t="s">
        <v>5084</v>
      </c>
      <c r="N703" s="55" t="s">
        <v>5192</v>
      </c>
      <c r="O703" s="55" t="s">
        <v>5191</v>
      </c>
    </row>
    <row r="704" spans="1:15" ht="15.75" x14ac:dyDescent="0.25">
      <c r="A704" s="55" t="s">
        <v>5188</v>
      </c>
      <c r="B704" s="55" t="s">
        <v>8543</v>
      </c>
      <c r="C704" s="55" t="s">
        <v>8064</v>
      </c>
      <c r="D704" s="55" t="s">
        <v>8065</v>
      </c>
      <c r="E704" s="55" t="s">
        <v>8066</v>
      </c>
      <c r="F704" s="55" t="s">
        <v>8067</v>
      </c>
      <c r="G704" s="55" t="s">
        <v>5213</v>
      </c>
      <c r="H704" s="55" t="s">
        <v>5214</v>
      </c>
      <c r="I704" s="55" t="s">
        <v>8068</v>
      </c>
      <c r="J704" s="55" t="s">
        <v>5189</v>
      </c>
      <c r="K704" s="55" t="s">
        <v>8069</v>
      </c>
      <c r="L704" s="55" t="s">
        <v>8070</v>
      </c>
      <c r="M704" s="55" t="s">
        <v>4752</v>
      </c>
      <c r="N704" s="55" t="s">
        <v>5192</v>
      </c>
      <c r="O704" s="55" t="s">
        <v>5191</v>
      </c>
    </row>
    <row r="705" spans="1:15" ht="15.75" x14ac:dyDescent="0.25">
      <c r="A705" s="55" t="s">
        <v>5188</v>
      </c>
      <c r="B705" s="55" t="s">
        <v>8544</v>
      </c>
      <c r="C705" s="55" t="s">
        <v>8064</v>
      </c>
      <c r="D705" s="55" t="s">
        <v>8065</v>
      </c>
      <c r="E705" s="55" t="s">
        <v>8066</v>
      </c>
      <c r="F705" s="55" t="s">
        <v>8067</v>
      </c>
      <c r="G705" s="55" t="s">
        <v>5213</v>
      </c>
      <c r="H705" s="55" t="s">
        <v>5214</v>
      </c>
      <c r="I705" s="55" t="s">
        <v>8068</v>
      </c>
      <c r="J705" s="55" t="s">
        <v>5189</v>
      </c>
      <c r="K705" s="55" t="s">
        <v>8069</v>
      </c>
      <c r="L705" s="55" t="s">
        <v>8070</v>
      </c>
      <c r="M705" s="55" t="s">
        <v>4944</v>
      </c>
      <c r="N705" s="55" t="s">
        <v>5192</v>
      </c>
      <c r="O705" s="55" t="s">
        <v>5191</v>
      </c>
    </row>
    <row r="706" spans="1:15" ht="15.75" x14ac:dyDescent="0.25">
      <c r="A706" s="55" t="s">
        <v>5188</v>
      </c>
      <c r="B706" s="55" t="s">
        <v>8545</v>
      </c>
      <c r="C706" s="55" t="s">
        <v>8546</v>
      </c>
      <c r="D706" s="55" t="s">
        <v>8547</v>
      </c>
      <c r="E706" s="55" t="s">
        <v>5517</v>
      </c>
      <c r="F706" s="55" t="s">
        <v>5518</v>
      </c>
      <c r="G706" s="55" t="s">
        <v>5433</v>
      </c>
      <c r="H706" s="55" t="s">
        <v>5434</v>
      </c>
      <c r="I706" s="55" t="s">
        <v>8548</v>
      </c>
      <c r="J706" s="55" t="s">
        <v>5189</v>
      </c>
      <c r="K706" s="55" t="s">
        <v>8549</v>
      </c>
      <c r="L706" s="55" t="s">
        <v>8550</v>
      </c>
      <c r="M706" s="55" t="s">
        <v>965</v>
      </c>
      <c r="N706" s="55" t="s">
        <v>5192</v>
      </c>
      <c r="O706" s="55" t="s">
        <v>5191</v>
      </c>
    </row>
    <row r="707" spans="1:15" ht="15.75" x14ac:dyDescent="0.25">
      <c r="A707" s="55" t="s">
        <v>5188</v>
      </c>
      <c r="B707" s="55" t="s">
        <v>8551</v>
      </c>
      <c r="C707" s="55" t="s">
        <v>8079</v>
      </c>
      <c r="D707" s="55" t="s">
        <v>8080</v>
      </c>
      <c r="E707" s="55" t="s">
        <v>7723</v>
      </c>
      <c r="F707" s="55" t="s">
        <v>7724</v>
      </c>
      <c r="G707" s="55" t="s">
        <v>7725</v>
      </c>
      <c r="H707" s="55" t="s">
        <v>7726</v>
      </c>
      <c r="I707" s="55" t="s">
        <v>8081</v>
      </c>
      <c r="J707" s="55" t="s">
        <v>5189</v>
      </c>
      <c r="K707" s="55" t="s">
        <v>8082</v>
      </c>
      <c r="L707" s="55" t="s">
        <v>8083</v>
      </c>
      <c r="M707" s="55" t="s">
        <v>4573</v>
      </c>
      <c r="N707" s="55" t="s">
        <v>5192</v>
      </c>
      <c r="O707" s="55" t="s">
        <v>5191</v>
      </c>
    </row>
    <row r="708" spans="1:15" ht="15.75" x14ac:dyDescent="0.25">
      <c r="A708" s="55" t="s">
        <v>5188</v>
      </c>
      <c r="B708" s="55" t="s">
        <v>8552</v>
      </c>
      <c r="C708" s="55" t="s">
        <v>8079</v>
      </c>
      <c r="D708" s="55" t="s">
        <v>8080</v>
      </c>
      <c r="E708" s="55" t="s">
        <v>7723</v>
      </c>
      <c r="F708" s="55" t="s">
        <v>7724</v>
      </c>
      <c r="G708" s="55" t="s">
        <v>7725</v>
      </c>
      <c r="H708" s="55" t="s">
        <v>7726</v>
      </c>
      <c r="I708" s="55" t="s">
        <v>8081</v>
      </c>
      <c r="J708" s="55" t="s">
        <v>5189</v>
      </c>
      <c r="K708" s="55" t="s">
        <v>8082</v>
      </c>
      <c r="L708" s="55" t="s">
        <v>8083</v>
      </c>
      <c r="M708" s="55" t="s">
        <v>4573</v>
      </c>
      <c r="N708" s="55" t="s">
        <v>5192</v>
      </c>
      <c r="O708" s="55" t="s">
        <v>5191</v>
      </c>
    </row>
    <row r="709" spans="1:15" ht="15.75" x14ac:dyDescent="0.25">
      <c r="A709" s="55" t="s">
        <v>5188</v>
      </c>
      <c r="B709" s="55" t="s">
        <v>8553</v>
      </c>
      <c r="C709" s="55" t="s">
        <v>8554</v>
      </c>
      <c r="D709" s="55" t="s">
        <v>8555</v>
      </c>
      <c r="E709" s="55" t="s">
        <v>8556</v>
      </c>
      <c r="F709" s="55" t="s">
        <v>8557</v>
      </c>
      <c r="G709" s="55" t="s">
        <v>8112</v>
      </c>
      <c r="H709" s="55" t="s">
        <v>8113</v>
      </c>
      <c r="I709" s="55" t="s">
        <v>8558</v>
      </c>
      <c r="J709" s="55" t="s">
        <v>5189</v>
      </c>
      <c r="K709" s="55" t="s">
        <v>8559</v>
      </c>
      <c r="L709" s="55" t="s">
        <v>8560</v>
      </c>
      <c r="M709" s="55" t="s">
        <v>4621</v>
      </c>
      <c r="N709" s="55" t="s">
        <v>5192</v>
      </c>
      <c r="O709" s="55" t="s">
        <v>5191</v>
      </c>
    </row>
    <row r="710" spans="1:15" ht="15.75" x14ac:dyDescent="0.25">
      <c r="A710" s="55" t="s">
        <v>5188</v>
      </c>
      <c r="B710" s="55" t="s">
        <v>8561</v>
      </c>
      <c r="C710" s="55" t="s">
        <v>8554</v>
      </c>
      <c r="D710" s="55" t="s">
        <v>8555</v>
      </c>
      <c r="E710" s="55" t="s">
        <v>8556</v>
      </c>
      <c r="F710" s="55" t="s">
        <v>8557</v>
      </c>
      <c r="G710" s="55" t="s">
        <v>8112</v>
      </c>
      <c r="H710" s="55" t="s">
        <v>8113</v>
      </c>
      <c r="I710" s="55" t="s">
        <v>8558</v>
      </c>
      <c r="J710" s="55" t="s">
        <v>5189</v>
      </c>
      <c r="K710" s="55" t="s">
        <v>8559</v>
      </c>
      <c r="L710" s="55" t="s">
        <v>8560</v>
      </c>
      <c r="M710" s="55" t="s">
        <v>4567</v>
      </c>
      <c r="N710" s="55" t="s">
        <v>5192</v>
      </c>
      <c r="O710" s="55" t="s">
        <v>5191</v>
      </c>
    </row>
    <row r="711" spans="1:15" ht="15.75" x14ac:dyDescent="0.25">
      <c r="A711" s="55" t="s">
        <v>5188</v>
      </c>
      <c r="B711" s="55" t="s">
        <v>8562</v>
      </c>
      <c r="C711" s="55" t="s">
        <v>8554</v>
      </c>
      <c r="D711" s="55" t="s">
        <v>8555</v>
      </c>
      <c r="E711" s="55" t="s">
        <v>8556</v>
      </c>
      <c r="F711" s="55" t="s">
        <v>8557</v>
      </c>
      <c r="G711" s="55" t="s">
        <v>8112</v>
      </c>
      <c r="H711" s="55" t="s">
        <v>8113</v>
      </c>
      <c r="I711" s="55" t="s">
        <v>8558</v>
      </c>
      <c r="J711" s="55" t="s">
        <v>5189</v>
      </c>
      <c r="K711" s="55" t="s">
        <v>8559</v>
      </c>
      <c r="L711" s="55" t="s">
        <v>8560</v>
      </c>
      <c r="M711" s="55" t="s">
        <v>4583</v>
      </c>
      <c r="N711" s="55" t="s">
        <v>5192</v>
      </c>
      <c r="O711" s="55" t="s">
        <v>5191</v>
      </c>
    </row>
    <row r="712" spans="1:15" ht="15.75" x14ac:dyDescent="0.25">
      <c r="A712" s="55" t="s">
        <v>5188</v>
      </c>
      <c r="B712" s="55" t="s">
        <v>8563</v>
      </c>
      <c r="C712" s="55" t="s">
        <v>8554</v>
      </c>
      <c r="D712" s="55" t="s">
        <v>8555</v>
      </c>
      <c r="E712" s="55" t="s">
        <v>8556</v>
      </c>
      <c r="F712" s="55" t="s">
        <v>8557</v>
      </c>
      <c r="G712" s="55" t="s">
        <v>8112</v>
      </c>
      <c r="H712" s="55" t="s">
        <v>8113</v>
      </c>
      <c r="I712" s="55" t="s">
        <v>8558</v>
      </c>
      <c r="J712" s="55" t="s">
        <v>5189</v>
      </c>
      <c r="K712" s="55" t="s">
        <v>8559</v>
      </c>
      <c r="L712" s="55" t="s">
        <v>8560</v>
      </c>
      <c r="M712" s="55" t="s">
        <v>4569</v>
      </c>
      <c r="N712" s="55" t="s">
        <v>5192</v>
      </c>
      <c r="O712" s="55" t="s">
        <v>5191</v>
      </c>
    </row>
    <row r="713" spans="1:15" ht="15.75" x14ac:dyDescent="0.25">
      <c r="A713" s="55" t="s">
        <v>5188</v>
      </c>
      <c r="B713" s="55" t="s">
        <v>8564</v>
      </c>
      <c r="C713" s="55" t="s">
        <v>8092</v>
      </c>
      <c r="D713" s="55" t="s">
        <v>8093</v>
      </c>
      <c r="E713" s="55" t="s">
        <v>8094</v>
      </c>
      <c r="F713" s="55" t="s">
        <v>8095</v>
      </c>
      <c r="G713" s="55" t="s">
        <v>6426</v>
      </c>
      <c r="H713" s="55" t="s">
        <v>6427</v>
      </c>
      <c r="I713" s="55" t="s">
        <v>8096</v>
      </c>
      <c r="J713" s="55" t="s">
        <v>5189</v>
      </c>
      <c r="K713" s="55" t="s">
        <v>8097</v>
      </c>
      <c r="L713" s="55" t="s">
        <v>8098</v>
      </c>
      <c r="M713" s="55" t="s">
        <v>4567</v>
      </c>
      <c r="N713" s="55" t="s">
        <v>5192</v>
      </c>
      <c r="O713" s="55" t="s">
        <v>5191</v>
      </c>
    </row>
    <row r="714" spans="1:15" ht="15.75" x14ac:dyDescent="0.25">
      <c r="A714" s="55" t="s">
        <v>5188</v>
      </c>
      <c r="B714" s="55" t="s">
        <v>8565</v>
      </c>
      <c r="C714" s="55" t="s">
        <v>8101</v>
      </c>
      <c r="D714" s="55" t="s">
        <v>5219</v>
      </c>
      <c r="E714" s="55" t="s">
        <v>5255</v>
      </c>
      <c r="F714" s="55" t="s">
        <v>5256</v>
      </c>
      <c r="G714" s="55" t="s">
        <v>5239</v>
      </c>
      <c r="H714" s="55" t="s">
        <v>5240</v>
      </c>
      <c r="I714" s="55" t="s">
        <v>8102</v>
      </c>
      <c r="J714" s="55" t="s">
        <v>5189</v>
      </c>
      <c r="K714" s="55" t="s">
        <v>8103</v>
      </c>
      <c r="L714" s="55" t="s">
        <v>8104</v>
      </c>
      <c r="M714" s="55" t="s">
        <v>4493</v>
      </c>
      <c r="N714" s="55" t="s">
        <v>5192</v>
      </c>
      <c r="O714" s="55" t="s">
        <v>5191</v>
      </c>
    </row>
    <row r="715" spans="1:15" ht="15.75" x14ac:dyDescent="0.25">
      <c r="A715" s="55" t="s">
        <v>5188</v>
      </c>
      <c r="B715" s="55" t="s">
        <v>8566</v>
      </c>
      <c r="C715" s="55" t="s">
        <v>8101</v>
      </c>
      <c r="D715" s="55" t="s">
        <v>5219</v>
      </c>
      <c r="E715" s="55" t="s">
        <v>5255</v>
      </c>
      <c r="F715" s="55" t="s">
        <v>5256</v>
      </c>
      <c r="G715" s="55" t="s">
        <v>5239</v>
      </c>
      <c r="H715" s="55" t="s">
        <v>5240</v>
      </c>
      <c r="I715" s="55" t="s">
        <v>8102</v>
      </c>
      <c r="J715" s="55" t="s">
        <v>5189</v>
      </c>
      <c r="K715" s="55" t="s">
        <v>8103</v>
      </c>
      <c r="L715" s="55" t="s">
        <v>8104</v>
      </c>
      <c r="M715" s="55" t="s">
        <v>403</v>
      </c>
      <c r="N715" s="55" t="s">
        <v>5192</v>
      </c>
      <c r="O715" s="55" t="s">
        <v>5191</v>
      </c>
    </row>
    <row r="716" spans="1:15" ht="15.75" x14ac:dyDescent="0.25">
      <c r="A716" s="55" t="s">
        <v>5188</v>
      </c>
      <c r="B716" s="55" t="s">
        <v>8567</v>
      </c>
      <c r="C716" s="55" t="s">
        <v>8101</v>
      </c>
      <c r="D716" s="55" t="s">
        <v>5219</v>
      </c>
      <c r="E716" s="55" t="s">
        <v>5255</v>
      </c>
      <c r="F716" s="55" t="s">
        <v>5256</v>
      </c>
      <c r="G716" s="55" t="s">
        <v>5239</v>
      </c>
      <c r="H716" s="55" t="s">
        <v>5240</v>
      </c>
      <c r="I716" s="55" t="s">
        <v>8102</v>
      </c>
      <c r="J716" s="55" t="s">
        <v>5189</v>
      </c>
      <c r="K716" s="55" t="s">
        <v>8103</v>
      </c>
      <c r="L716" s="55" t="s">
        <v>8104</v>
      </c>
      <c r="M716" s="55" t="s">
        <v>4535</v>
      </c>
      <c r="N716" s="55" t="s">
        <v>5192</v>
      </c>
      <c r="O716" s="55" t="s">
        <v>5191</v>
      </c>
    </row>
    <row r="717" spans="1:15" ht="15.75" x14ac:dyDescent="0.25">
      <c r="A717" s="55" t="s">
        <v>5188</v>
      </c>
      <c r="B717" s="55" t="s">
        <v>8568</v>
      </c>
      <c r="C717" s="55" t="s">
        <v>8101</v>
      </c>
      <c r="D717" s="55" t="s">
        <v>5219</v>
      </c>
      <c r="E717" s="55" t="s">
        <v>5255</v>
      </c>
      <c r="F717" s="55" t="s">
        <v>5256</v>
      </c>
      <c r="G717" s="55" t="s">
        <v>5239</v>
      </c>
      <c r="H717" s="55" t="s">
        <v>5240</v>
      </c>
      <c r="I717" s="55" t="s">
        <v>8102</v>
      </c>
      <c r="J717" s="55" t="s">
        <v>5189</v>
      </c>
      <c r="K717" s="55" t="s">
        <v>8103</v>
      </c>
      <c r="L717" s="55" t="s">
        <v>8104</v>
      </c>
      <c r="M717" s="55" t="s">
        <v>5208</v>
      </c>
      <c r="N717" s="55" t="s">
        <v>5192</v>
      </c>
      <c r="O717" s="55" t="s">
        <v>5191</v>
      </c>
    </row>
    <row r="718" spans="1:15" ht="15.75" x14ac:dyDescent="0.25">
      <c r="A718" s="55" t="s">
        <v>5188</v>
      </c>
      <c r="B718" s="55" t="s">
        <v>8569</v>
      </c>
      <c r="C718" s="55" t="s">
        <v>8108</v>
      </c>
      <c r="D718" s="55" t="s">
        <v>8109</v>
      </c>
      <c r="E718" s="55" t="s">
        <v>8110</v>
      </c>
      <c r="F718" s="55" t="s">
        <v>8111</v>
      </c>
      <c r="G718" s="55" t="s">
        <v>8112</v>
      </c>
      <c r="H718" s="55" t="s">
        <v>8113</v>
      </c>
      <c r="I718" s="55" t="s">
        <v>8114</v>
      </c>
      <c r="J718" s="55" t="s">
        <v>5189</v>
      </c>
      <c r="K718" s="55" t="s">
        <v>8115</v>
      </c>
      <c r="L718" s="55" t="s">
        <v>8116</v>
      </c>
      <c r="M718" s="55" t="s">
        <v>4754</v>
      </c>
      <c r="N718" s="55" t="s">
        <v>5192</v>
      </c>
      <c r="O718" s="55" t="s">
        <v>5191</v>
      </c>
    </row>
    <row r="719" spans="1:15" ht="15.75" x14ac:dyDescent="0.25">
      <c r="A719" s="55" t="s">
        <v>5188</v>
      </c>
      <c r="B719" s="55" t="s">
        <v>8570</v>
      </c>
      <c r="C719" s="55" t="s">
        <v>8108</v>
      </c>
      <c r="D719" s="55" t="s">
        <v>8109</v>
      </c>
      <c r="E719" s="55" t="s">
        <v>8110</v>
      </c>
      <c r="F719" s="55" t="s">
        <v>8111</v>
      </c>
      <c r="G719" s="55" t="s">
        <v>8112</v>
      </c>
      <c r="H719" s="55" t="s">
        <v>8113</v>
      </c>
      <c r="I719" s="55" t="s">
        <v>8114</v>
      </c>
      <c r="J719" s="55" t="s">
        <v>5189</v>
      </c>
      <c r="K719" s="55" t="s">
        <v>8115</v>
      </c>
      <c r="L719" s="55" t="s">
        <v>8116</v>
      </c>
      <c r="M719" s="55" t="s">
        <v>4567</v>
      </c>
      <c r="N719" s="55" t="s">
        <v>5192</v>
      </c>
      <c r="O719" s="55" t="s">
        <v>5191</v>
      </c>
    </row>
    <row r="720" spans="1:15" ht="15.75" x14ac:dyDescent="0.25">
      <c r="A720" s="55" t="s">
        <v>5188</v>
      </c>
      <c r="B720" s="55" t="s">
        <v>8571</v>
      </c>
      <c r="C720" s="55" t="s">
        <v>8572</v>
      </c>
      <c r="D720" s="55" t="s">
        <v>5226</v>
      </c>
      <c r="E720" s="55" t="s">
        <v>8573</v>
      </c>
      <c r="F720" s="55" t="s">
        <v>8574</v>
      </c>
      <c r="G720" s="55" t="s">
        <v>5328</v>
      </c>
      <c r="H720" s="55" t="s">
        <v>5329</v>
      </c>
      <c r="I720" s="55" t="s">
        <v>8575</v>
      </c>
      <c r="J720" s="55" t="s">
        <v>5189</v>
      </c>
      <c r="K720" s="55" t="s">
        <v>8576</v>
      </c>
      <c r="L720" s="55" t="s">
        <v>8577</v>
      </c>
      <c r="M720" s="55" t="s">
        <v>4569</v>
      </c>
      <c r="N720" s="55" t="s">
        <v>5192</v>
      </c>
      <c r="O720" s="55" t="s">
        <v>5191</v>
      </c>
    </row>
    <row r="721" spans="1:15" ht="15.75" x14ac:dyDescent="0.25">
      <c r="A721" s="55" t="s">
        <v>5188</v>
      </c>
      <c r="B721" s="55" t="s">
        <v>8578</v>
      </c>
      <c r="C721" s="55" t="s">
        <v>8579</v>
      </c>
      <c r="D721" s="55" t="s">
        <v>5219</v>
      </c>
      <c r="E721" s="55" t="s">
        <v>8152</v>
      </c>
      <c r="F721" s="55" t="s">
        <v>8153</v>
      </c>
      <c r="G721" s="55" t="s">
        <v>5396</v>
      </c>
      <c r="H721" s="55" t="s">
        <v>5397</v>
      </c>
      <c r="I721" s="55" t="s">
        <v>8580</v>
      </c>
      <c r="J721" s="55" t="s">
        <v>5189</v>
      </c>
      <c r="K721" s="55" t="s">
        <v>8581</v>
      </c>
      <c r="L721" s="55" t="s">
        <v>6415</v>
      </c>
      <c r="M721" s="55" t="s">
        <v>4561</v>
      </c>
      <c r="N721" s="55" t="s">
        <v>5192</v>
      </c>
      <c r="O721" s="55" t="s">
        <v>5191</v>
      </c>
    </row>
    <row r="722" spans="1:15" ht="15.75" x14ac:dyDescent="0.25">
      <c r="A722" s="55" t="s">
        <v>5188</v>
      </c>
      <c r="B722" s="55" t="s">
        <v>8582</v>
      </c>
      <c r="C722" s="55" t="s">
        <v>8119</v>
      </c>
      <c r="D722" s="55" t="s">
        <v>8120</v>
      </c>
      <c r="E722" s="55" t="s">
        <v>8121</v>
      </c>
      <c r="F722" s="55" t="s">
        <v>8122</v>
      </c>
      <c r="G722" s="55" t="s">
        <v>8123</v>
      </c>
      <c r="H722" s="55" t="s">
        <v>8124</v>
      </c>
      <c r="I722" s="55" t="s">
        <v>8125</v>
      </c>
      <c r="J722" s="55" t="s">
        <v>5189</v>
      </c>
      <c r="K722" s="55" t="s">
        <v>8126</v>
      </c>
      <c r="L722" s="55" t="s">
        <v>8127</v>
      </c>
      <c r="M722" s="55" t="s">
        <v>4906</v>
      </c>
      <c r="N722" s="55" t="s">
        <v>5192</v>
      </c>
      <c r="O722" s="55" t="s">
        <v>5191</v>
      </c>
    </row>
    <row r="723" spans="1:15" ht="15.75" x14ac:dyDescent="0.25">
      <c r="A723" s="55" t="s">
        <v>5188</v>
      </c>
      <c r="B723" s="55" t="s">
        <v>8583</v>
      </c>
      <c r="C723" s="55" t="s">
        <v>8119</v>
      </c>
      <c r="D723" s="55" t="s">
        <v>8120</v>
      </c>
      <c r="E723" s="55" t="s">
        <v>8121</v>
      </c>
      <c r="F723" s="55" t="s">
        <v>8122</v>
      </c>
      <c r="G723" s="55" t="s">
        <v>8123</v>
      </c>
      <c r="H723" s="55" t="s">
        <v>8124</v>
      </c>
      <c r="I723" s="55" t="s">
        <v>8125</v>
      </c>
      <c r="J723" s="55" t="s">
        <v>5189</v>
      </c>
      <c r="K723" s="55" t="s">
        <v>8126</v>
      </c>
      <c r="L723" s="55" t="s">
        <v>8127</v>
      </c>
      <c r="M723" s="55" t="s">
        <v>4569</v>
      </c>
      <c r="N723" s="55" t="s">
        <v>5192</v>
      </c>
      <c r="O723" s="55" t="s">
        <v>5191</v>
      </c>
    </row>
    <row r="724" spans="1:15" ht="15.75" x14ac:dyDescent="0.25">
      <c r="A724" s="55" t="s">
        <v>5188</v>
      </c>
      <c r="B724" s="55" t="s">
        <v>8584</v>
      </c>
      <c r="C724" s="55" t="s">
        <v>8119</v>
      </c>
      <c r="D724" s="55" t="s">
        <v>8120</v>
      </c>
      <c r="E724" s="55" t="s">
        <v>8121</v>
      </c>
      <c r="F724" s="55" t="s">
        <v>8122</v>
      </c>
      <c r="G724" s="55" t="s">
        <v>8123</v>
      </c>
      <c r="H724" s="55" t="s">
        <v>8124</v>
      </c>
      <c r="I724" s="55" t="s">
        <v>8125</v>
      </c>
      <c r="J724" s="55" t="s">
        <v>5189</v>
      </c>
      <c r="K724" s="55" t="s">
        <v>8126</v>
      </c>
      <c r="L724" s="55" t="s">
        <v>8127</v>
      </c>
      <c r="M724" s="55" t="s">
        <v>4503</v>
      </c>
      <c r="N724" s="55" t="s">
        <v>5192</v>
      </c>
      <c r="O724" s="55" t="s">
        <v>5191</v>
      </c>
    </row>
    <row r="725" spans="1:15" ht="15.75" x14ac:dyDescent="0.25">
      <c r="A725" s="55" t="s">
        <v>5188</v>
      </c>
      <c r="B725" s="55" t="s">
        <v>8585</v>
      </c>
      <c r="C725" s="55" t="s">
        <v>8119</v>
      </c>
      <c r="D725" s="55" t="s">
        <v>8120</v>
      </c>
      <c r="E725" s="55" t="s">
        <v>8121</v>
      </c>
      <c r="F725" s="55" t="s">
        <v>8122</v>
      </c>
      <c r="G725" s="55" t="s">
        <v>8123</v>
      </c>
      <c r="H725" s="55" t="s">
        <v>8124</v>
      </c>
      <c r="I725" s="55" t="s">
        <v>8125</v>
      </c>
      <c r="J725" s="55" t="s">
        <v>5189</v>
      </c>
      <c r="K725" s="55" t="s">
        <v>8126</v>
      </c>
      <c r="L725" s="55" t="s">
        <v>8127</v>
      </c>
      <c r="M725" s="55" t="s">
        <v>4581</v>
      </c>
      <c r="N725" s="55" t="s">
        <v>5192</v>
      </c>
      <c r="O725" s="55" t="s">
        <v>5191</v>
      </c>
    </row>
    <row r="726" spans="1:15" ht="15.75" x14ac:dyDescent="0.25">
      <c r="A726" s="55" t="s">
        <v>5188</v>
      </c>
      <c r="B726" s="55" t="s">
        <v>8586</v>
      </c>
      <c r="C726" s="55" t="s">
        <v>8129</v>
      </c>
      <c r="D726" s="55" t="s">
        <v>8130</v>
      </c>
      <c r="E726" s="55" t="s">
        <v>8131</v>
      </c>
      <c r="F726" s="55" t="s">
        <v>8132</v>
      </c>
      <c r="G726" s="55" t="s">
        <v>8133</v>
      </c>
      <c r="H726" s="55" t="s">
        <v>8134</v>
      </c>
      <c r="I726" s="55" t="s">
        <v>8135</v>
      </c>
      <c r="J726" s="55" t="s">
        <v>5189</v>
      </c>
      <c r="K726" s="55" t="s">
        <v>8136</v>
      </c>
      <c r="L726" s="55" t="s">
        <v>8137</v>
      </c>
      <c r="M726" s="55" t="s">
        <v>3163</v>
      </c>
      <c r="N726" s="55" t="s">
        <v>5192</v>
      </c>
      <c r="O726" s="55" t="s">
        <v>5191</v>
      </c>
    </row>
    <row r="727" spans="1:15" ht="15.75" x14ac:dyDescent="0.25">
      <c r="A727" s="55" t="s">
        <v>5188</v>
      </c>
      <c r="B727" s="55" t="s">
        <v>8587</v>
      </c>
      <c r="C727" s="55" t="s">
        <v>8588</v>
      </c>
      <c r="D727" s="55" t="s">
        <v>8589</v>
      </c>
      <c r="E727" s="55" t="s">
        <v>8590</v>
      </c>
      <c r="F727" s="55" t="s">
        <v>8591</v>
      </c>
      <c r="G727" s="55" t="s">
        <v>5244</v>
      </c>
      <c r="H727" s="55" t="s">
        <v>5245</v>
      </c>
      <c r="I727" s="55" t="s">
        <v>8592</v>
      </c>
      <c r="J727" s="55" t="s">
        <v>5189</v>
      </c>
      <c r="K727" s="55" t="s">
        <v>8593</v>
      </c>
      <c r="L727" s="55" t="s">
        <v>8594</v>
      </c>
      <c r="M727" s="55" t="s">
        <v>4926</v>
      </c>
      <c r="N727" s="55" t="s">
        <v>5192</v>
      </c>
      <c r="O727" s="55" t="s">
        <v>5191</v>
      </c>
    </row>
    <row r="728" spans="1:15" ht="15.75" x14ac:dyDescent="0.25">
      <c r="A728" s="55" t="s">
        <v>5188</v>
      </c>
      <c r="B728" s="55" t="s">
        <v>8595</v>
      </c>
      <c r="C728" s="55" t="s">
        <v>8588</v>
      </c>
      <c r="D728" s="55" t="s">
        <v>8589</v>
      </c>
      <c r="E728" s="55" t="s">
        <v>8590</v>
      </c>
      <c r="F728" s="55" t="s">
        <v>8591</v>
      </c>
      <c r="G728" s="55" t="s">
        <v>5244</v>
      </c>
      <c r="H728" s="55" t="s">
        <v>5245</v>
      </c>
      <c r="I728" s="55" t="s">
        <v>8592</v>
      </c>
      <c r="J728" s="55" t="s">
        <v>5189</v>
      </c>
      <c r="K728" s="55" t="s">
        <v>8593</v>
      </c>
      <c r="L728" s="55" t="s">
        <v>8594</v>
      </c>
      <c r="M728" s="55" t="s">
        <v>4924</v>
      </c>
      <c r="N728" s="55" t="s">
        <v>5192</v>
      </c>
      <c r="O728" s="55" t="s">
        <v>5191</v>
      </c>
    </row>
    <row r="729" spans="1:15" ht="15.75" x14ac:dyDescent="0.25">
      <c r="A729" s="55" t="s">
        <v>5188</v>
      </c>
      <c r="B729" s="55" t="s">
        <v>8596</v>
      </c>
      <c r="C729" s="55" t="s">
        <v>8140</v>
      </c>
      <c r="D729" s="55" t="s">
        <v>8141</v>
      </c>
      <c r="E729" s="55" t="s">
        <v>8142</v>
      </c>
      <c r="F729" s="55" t="s">
        <v>8143</v>
      </c>
      <c r="G729" s="55" t="s">
        <v>8144</v>
      </c>
      <c r="H729" s="55" t="s">
        <v>8145</v>
      </c>
      <c r="I729" s="55" t="s">
        <v>8146</v>
      </c>
      <c r="J729" s="55" t="s">
        <v>5189</v>
      </c>
      <c r="K729" s="55" t="s">
        <v>8147</v>
      </c>
      <c r="L729" s="55" t="s">
        <v>8148</v>
      </c>
      <c r="M729" s="55" t="s">
        <v>3551</v>
      </c>
      <c r="N729" s="55" t="s">
        <v>5192</v>
      </c>
      <c r="O729" s="55" t="s">
        <v>5191</v>
      </c>
    </row>
    <row r="730" spans="1:15" ht="15.75" x14ac:dyDescent="0.25">
      <c r="A730" s="55" t="s">
        <v>5188</v>
      </c>
      <c r="B730" s="55" t="s">
        <v>8597</v>
      </c>
      <c r="C730" s="55" t="s">
        <v>8158</v>
      </c>
      <c r="D730" s="55" t="s">
        <v>8159</v>
      </c>
      <c r="E730" s="55" t="s">
        <v>8160</v>
      </c>
      <c r="F730" s="55" t="s">
        <v>8161</v>
      </c>
      <c r="G730" s="55" t="s">
        <v>8162</v>
      </c>
      <c r="H730" s="55" t="s">
        <v>8163</v>
      </c>
      <c r="I730" s="55" t="s">
        <v>8164</v>
      </c>
      <c r="J730" s="55" t="s">
        <v>5189</v>
      </c>
      <c r="K730" s="55" t="s">
        <v>8165</v>
      </c>
      <c r="L730" s="55" t="s">
        <v>8166</v>
      </c>
      <c r="M730" s="55" t="s">
        <v>965</v>
      </c>
      <c r="N730" s="55" t="s">
        <v>5192</v>
      </c>
      <c r="O730" s="55" t="s">
        <v>5191</v>
      </c>
    </row>
    <row r="731" spans="1:15" ht="15.75" x14ac:dyDescent="0.25">
      <c r="A731" s="55" t="s">
        <v>5188</v>
      </c>
      <c r="B731" s="55" t="s">
        <v>8598</v>
      </c>
      <c r="C731" s="55" t="s">
        <v>8599</v>
      </c>
      <c r="D731" s="55" t="s">
        <v>8600</v>
      </c>
      <c r="E731" s="55" t="s">
        <v>8601</v>
      </c>
      <c r="F731" s="55" t="s">
        <v>8602</v>
      </c>
      <c r="G731" s="55" t="s">
        <v>8603</v>
      </c>
      <c r="H731" s="55" t="s">
        <v>8604</v>
      </c>
      <c r="I731" s="55" t="s">
        <v>8605</v>
      </c>
      <c r="J731" s="55" t="s">
        <v>5189</v>
      </c>
      <c r="K731" s="55" t="s">
        <v>8606</v>
      </c>
      <c r="L731" s="55" t="s">
        <v>8607</v>
      </c>
      <c r="M731" s="55" t="s">
        <v>5476</v>
      </c>
      <c r="N731" s="55" t="s">
        <v>5192</v>
      </c>
      <c r="O731" s="55" t="s">
        <v>5191</v>
      </c>
    </row>
    <row r="732" spans="1:15" ht="15.75" x14ac:dyDescent="0.25">
      <c r="A732" s="55" t="s">
        <v>5188</v>
      </c>
      <c r="B732" s="55" t="s">
        <v>8608</v>
      </c>
      <c r="C732" s="55" t="s">
        <v>8176</v>
      </c>
      <c r="D732" s="55" t="s">
        <v>8177</v>
      </c>
      <c r="E732" s="55" t="s">
        <v>8178</v>
      </c>
      <c r="F732" s="55" t="s">
        <v>8179</v>
      </c>
      <c r="G732" s="55" t="s">
        <v>8180</v>
      </c>
      <c r="H732" s="55" t="s">
        <v>8181</v>
      </c>
      <c r="I732" s="55" t="s">
        <v>8182</v>
      </c>
      <c r="J732" s="55" t="s">
        <v>5189</v>
      </c>
      <c r="K732" s="55" t="s">
        <v>8183</v>
      </c>
      <c r="L732" s="55" t="s">
        <v>8184</v>
      </c>
      <c r="M732" s="55" t="s">
        <v>4758</v>
      </c>
      <c r="N732" s="55" t="s">
        <v>5192</v>
      </c>
      <c r="O732" s="55" t="s">
        <v>5191</v>
      </c>
    </row>
    <row r="733" spans="1:15" ht="15.75" x14ac:dyDescent="0.25">
      <c r="A733" s="55" t="s">
        <v>5188</v>
      </c>
      <c r="B733" s="55" t="s">
        <v>8609</v>
      </c>
      <c r="C733" s="55" t="s">
        <v>8176</v>
      </c>
      <c r="D733" s="55" t="s">
        <v>8177</v>
      </c>
      <c r="E733" s="55" t="s">
        <v>8178</v>
      </c>
      <c r="F733" s="55" t="s">
        <v>8179</v>
      </c>
      <c r="G733" s="55" t="s">
        <v>8180</v>
      </c>
      <c r="H733" s="55" t="s">
        <v>8181</v>
      </c>
      <c r="I733" s="55" t="s">
        <v>8182</v>
      </c>
      <c r="J733" s="55" t="s">
        <v>5189</v>
      </c>
      <c r="K733" s="55" t="s">
        <v>8183</v>
      </c>
      <c r="L733" s="55" t="s">
        <v>8184</v>
      </c>
      <c r="M733" s="55" t="s">
        <v>4567</v>
      </c>
      <c r="N733" s="55" t="s">
        <v>5192</v>
      </c>
      <c r="O733" s="55" t="s">
        <v>5191</v>
      </c>
    </row>
    <row r="734" spans="1:15" ht="15.75" x14ac:dyDescent="0.25">
      <c r="A734" s="55" t="s">
        <v>5188</v>
      </c>
      <c r="B734" s="55" t="s">
        <v>8610</v>
      </c>
      <c r="C734" s="55" t="s">
        <v>8176</v>
      </c>
      <c r="D734" s="55" t="s">
        <v>8177</v>
      </c>
      <c r="E734" s="55" t="s">
        <v>8178</v>
      </c>
      <c r="F734" s="55" t="s">
        <v>8179</v>
      </c>
      <c r="G734" s="55" t="s">
        <v>8180</v>
      </c>
      <c r="H734" s="55" t="s">
        <v>8181</v>
      </c>
      <c r="I734" s="55" t="s">
        <v>8182</v>
      </c>
      <c r="J734" s="55" t="s">
        <v>5189</v>
      </c>
      <c r="K734" s="55" t="s">
        <v>8183</v>
      </c>
      <c r="L734" s="55" t="s">
        <v>8184</v>
      </c>
      <c r="M734" s="55" t="s">
        <v>3551</v>
      </c>
      <c r="N734" s="55" t="s">
        <v>5192</v>
      </c>
      <c r="O734" s="55" t="s">
        <v>5191</v>
      </c>
    </row>
    <row r="735" spans="1:15" ht="15.75" x14ac:dyDescent="0.25">
      <c r="A735" s="55" t="s">
        <v>5188</v>
      </c>
      <c r="B735" s="55" t="s">
        <v>8611</v>
      </c>
      <c r="C735" s="55" t="s">
        <v>8186</v>
      </c>
      <c r="D735" s="55" t="s">
        <v>8187</v>
      </c>
      <c r="E735" s="55" t="s">
        <v>8188</v>
      </c>
      <c r="F735" s="55" t="s">
        <v>8189</v>
      </c>
      <c r="G735" s="55" t="s">
        <v>8190</v>
      </c>
      <c r="H735" s="55" t="s">
        <v>8191</v>
      </c>
      <c r="I735" s="55" t="s">
        <v>8192</v>
      </c>
      <c r="J735" s="55" t="s">
        <v>5189</v>
      </c>
      <c r="K735" s="55" t="s">
        <v>8193</v>
      </c>
      <c r="L735" s="55" t="s">
        <v>8194</v>
      </c>
      <c r="M735" s="55" t="s">
        <v>4527</v>
      </c>
      <c r="N735" s="55" t="s">
        <v>5192</v>
      </c>
      <c r="O735" s="55" t="s">
        <v>5191</v>
      </c>
    </row>
    <row r="736" spans="1:15" ht="15.75" x14ac:dyDescent="0.25">
      <c r="A736" s="55" t="s">
        <v>5188</v>
      </c>
      <c r="B736" s="55" t="s">
        <v>8612</v>
      </c>
      <c r="C736" s="55" t="s">
        <v>8186</v>
      </c>
      <c r="D736" s="55" t="s">
        <v>8187</v>
      </c>
      <c r="E736" s="55" t="s">
        <v>8188</v>
      </c>
      <c r="F736" s="55" t="s">
        <v>8189</v>
      </c>
      <c r="G736" s="55" t="s">
        <v>8190</v>
      </c>
      <c r="H736" s="55" t="s">
        <v>8191</v>
      </c>
      <c r="I736" s="55" t="s">
        <v>8192</v>
      </c>
      <c r="J736" s="55" t="s">
        <v>5189</v>
      </c>
      <c r="K736" s="55" t="s">
        <v>8193</v>
      </c>
      <c r="L736" s="55" t="s">
        <v>8194</v>
      </c>
      <c r="M736" s="55" t="s">
        <v>4575</v>
      </c>
      <c r="N736" s="55" t="s">
        <v>5192</v>
      </c>
      <c r="O736" s="55" t="s">
        <v>5191</v>
      </c>
    </row>
    <row r="737" spans="1:15" ht="15.75" x14ac:dyDescent="0.25">
      <c r="A737" s="55" t="s">
        <v>5188</v>
      </c>
      <c r="B737" s="55" t="s">
        <v>7264</v>
      </c>
      <c r="C737" s="55" t="s">
        <v>6790</v>
      </c>
      <c r="D737" s="55" t="s">
        <v>5226</v>
      </c>
      <c r="E737" s="55" t="s">
        <v>5324</v>
      </c>
      <c r="F737" s="55" t="s">
        <v>5325</v>
      </c>
      <c r="G737" s="55" t="s">
        <v>5227</v>
      </c>
      <c r="H737" s="55" t="s">
        <v>5228</v>
      </c>
      <c r="I737" s="55" t="s">
        <v>6791</v>
      </c>
      <c r="J737" s="55" t="s">
        <v>5189</v>
      </c>
      <c r="K737" s="55" t="s">
        <v>6792</v>
      </c>
      <c r="L737" s="55" t="s">
        <v>6793</v>
      </c>
      <c r="M737" s="55" t="s">
        <v>2943</v>
      </c>
      <c r="N737" s="55" t="s">
        <v>5192</v>
      </c>
      <c r="O737" s="55" t="s">
        <v>5191</v>
      </c>
    </row>
    <row r="738" spans="1:15" ht="15.75" x14ac:dyDescent="0.25">
      <c r="A738" s="55" t="s">
        <v>5188</v>
      </c>
      <c r="B738" s="55" t="s">
        <v>7265</v>
      </c>
      <c r="C738" s="55" t="s">
        <v>6795</v>
      </c>
      <c r="D738" s="55" t="s">
        <v>6796</v>
      </c>
      <c r="E738" s="55" t="s">
        <v>5374</v>
      </c>
      <c r="F738" s="55" t="s">
        <v>5307</v>
      </c>
      <c r="G738" s="55" t="s">
        <v>5265</v>
      </c>
      <c r="H738" s="55" t="s">
        <v>5266</v>
      </c>
      <c r="I738" s="55" t="s">
        <v>6797</v>
      </c>
      <c r="J738" s="55" t="s">
        <v>5189</v>
      </c>
      <c r="K738" s="55" t="s">
        <v>6798</v>
      </c>
      <c r="L738" s="55" t="s">
        <v>6799</v>
      </c>
      <c r="M738" s="55" t="s">
        <v>3551</v>
      </c>
      <c r="N738" s="55" t="s">
        <v>5192</v>
      </c>
      <c r="O738" s="55" t="s">
        <v>5191</v>
      </c>
    </row>
    <row r="739" spans="1:15" ht="15.75" x14ac:dyDescent="0.25">
      <c r="A739" s="55" t="s">
        <v>5188</v>
      </c>
      <c r="B739" s="55" t="s">
        <v>7266</v>
      </c>
      <c r="C739" s="55" t="s">
        <v>6795</v>
      </c>
      <c r="D739" s="55" t="s">
        <v>6796</v>
      </c>
      <c r="E739" s="55" t="s">
        <v>5374</v>
      </c>
      <c r="F739" s="55" t="s">
        <v>5307</v>
      </c>
      <c r="G739" s="55" t="s">
        <v>5265</v>
      </c>
      <c r="H739" s="55" t="s">
        <v>5266</v>
      </c>
      <c r="I739" s="55" t="s">
        <v>6797</v>
      </c>
      <c r="J739" s="55" t="s">
        <v>5189</v>
      </c>
      <c r="K739" s="55" t="s">
        <v>6798</v>
      </c>
      <c r="L739" s="55" t="s">
        <v>6799</v>
      </c>
      <c r="M739" s="55" t="s">
        <v>3551</v>
      </c>
      <c r="N739" s="55" t="s">
        <v>5192</v>
      </c>
      <c r="O739" s="55" t="s">
        <v>5191</v>
      </c>
    </row>
    <row r="740" spans="1:15" ht="15.75" x14ac:dyDescent="0.25">
      <c r="A740" s="55" t="s">
        <v>5188</v>
      </c>
      <c r="B740" s="55" t="s">
        <v>7267</v>
      </c>
      <c r="C740" s="55" t="s">
        <v>6795</v>
      </c>
      <c r="D740" s="55" t="s">
        <v>6796</v>
      </c>
      <c r="E740" s="55" t="s">
        <v>5374</v>
      </c>
      <c r="F740" s="55" t="s">
        <v>5307</v>
      </c>
      <c r="G740" s="55" t="s">
        <v>5265</v>
      </c>
      <c r="H740" s="55" t="s">
        <v>5266</v>
      </c>
      <c r="I740" s="55" t="s">
        <v>6797</v>
      </c>
      <c r="J740" s="55" t="s">
        <v>5189</v>
      </c>
      <c r="K740" s="55" t="s">
        <v>6798</v>
      </c>
      <c r="L740" s="55" t="s">
        <v>6799</v>
      </c>
      <c r="M740" s="55" t="s">
        <v>2943</v>
      </c>
      <c r="N740" s="55" t="s">
        <v>5192</v>
      </c>
      <c r="O740" s="55" t="s">
        <v>5191</v>
      </c>
    </row>
    <row r="741" spans="1:15" ht="15.75" x14ac:dyDescent="0.25">
      <c r="A741" s="55" t="s">
        <v>5188</v>
      </c>
      <c r="B741" s="55" t="s">
        <v>7268</v>
      </c>
      <c r="C741" s="55" t="s">
        <v>6795</v>
      </c>
      <c r="D741" s="55" t="s">
        <v>6796</v>
      </c>
      <c r="E741" s="55" t="s">
        <v>5374</v>
      </c>
      <c r="F741" s="55" t="s">
        <v>5307</v>
      </c>
      <c r="G741" s="55" t="s">
        <v>5265</v>
      </c>
      <c r="H741" s="55" t="s">
        <v>5266</v>
      </c>
      <c r="I741" s="55" t="s">
        <v>6797</v>
      </c>
      <c r="J741" s="55" t="s">
        <v>5189</v>
      </c>
      <c r="K741" s="55" t="s">
        <v>6798</v>
      </c>
      <c r="L741" s="55" t="s">
        <v>6799</v>
      </c>
      <c r="M741" s="55" t="s">
        <v>4567</v>
      </c>
      <c r="N741" s="55" t="s">
        <v>5192</v>
      </c>
      <c r="O741" s="55" t="s">
        <v>5191</v>
      </c>
    </row>
    <row r="742" spans="1:15" ht="15.75" x14ac:dyDescent="0.25">
      <c r="A742" s="55" t="s">
        <v>5188</v>
      </c>
      <c r="B742" s="55" t="s">
        <v>7269</v>
      </c>
      <c r="C742" s="55" t="s">
        <v>7270</v>
      </c>
      <c r="D742" s="55" t="s">
        <v>5251</v>
      </c>
      <c r="E742" s="55" t="s">
        <v>5263</v>
      </c>
      <c r="F742" s="55" t="s">
        <v>5264</v>
      </c>
      <c r="G742" s="55" t="s">
        <v>5252</v>
      </c>
      <c r="H742" s="55" t="s">
        <v>5253</v>
      </c>
      <c r="I742" s="55" t="s">
        <v>7271</v>
      </c>
      <c r="J742" s="55" t="s">
        <v>5189</v>
      </c>
      <c r="K742" s="55" t="s">
        <v>7272</v>
      </c>
      <c r="L742" s="55" t="s">
        <v>7273</v>
      </c>
      <c r="M742" s="55" t="s">
        <v>4503</v>
      </c>
      <c r="N742" s="55" t="s">
        <v>5192</v>
      </c>
      <c r="O742" s="55" t="s">
        <v>5191</v>
      </c>
    </row>
    <row r="743" spans="1:15" ht="15.75" x14ac:dyDescent="0.25">
      <c r="A743" s="55" t="s">
        <v>5188</v>
      </c>
      <c r="B743" s="55" t="s">
        <v>7274</v>
      </c>
      <c r="C743" s="55" t="s">
        <v>7275</v>
      </c>
      <c r="D743" s="55" t="s">
        <v>5226</v>
      </c>
      <c r="E743" s="55" t="s">
        <v>5324</v>
      </c>
      <c r="F743" s="55" t="s">
        <v>5325</v>
      </c>
      <c r="G743" s="55" t="s">
        <v>5227</v>
      </c>
      <c r="H743" s="55" t="s">
        <v>5228</v>
      </c>
      <c r="I743" s="55" t="s">
        <v>7276</v>
      </c>
      <c r="J743" s="55" t="s">
        <v>5189</v>
      </c>
      <c r="K743" s="55" t="s">
        <v>7277</v>
      </c>
      <c r="L743" s="55" t="s">
        <v>7278</v>
      </c>
      <c r="M743" s="55" t="s">
        <v>4846</v>
      </c>
      <c r="N743" s="55" t="s">
        <v>5192</v>
      </c>
      <c r="O743" s="55" t="s">
        <v>5191</v>
      </c>
    </row>
    <row r="744" spans="1:15" ht="15.75" x14ac:dyDescent="0.25">
      <c r="A744" s="55" t="s">
        <v>5188</v>
      </c>
      <c r="B744" s="55" t="s">
        <v>7279</v>
      </c>
      <c r="C744" s="55" t="s">
        <v>6835</v>
      </c>
      <c r="D744" s="55" t="s">
        <v>5226</v>
      </c>
      <c r="E744" s="55" t="s">
        <v>5324</v>
      </c>
      <c r="F744" s="55" t="s">
        <v>5325</v>
      </c>
      <c r="G744" s="55" t="s">
        <v>5227</v>
      </c>
      <c r="H744" s="55" t="s">
        <v>5228</v>
      </c>
      <c r="I744" s="55" t="s">
        <v>6836</v>
      </c>
      <c r="J744" s="55" t="s">
        <v>5189</v>
      </c>
      <c r="K744" s="55" t="s">
        <v>6837</v>
      </c>
      <c r="L744" s="55" t="s">
        <v>6838</v>
      </c>
      <c r="M744" s="55" t="s">
        <v>4513</v>
      </c>
      <c r="N744" s="55" t="s">
        <v>5192</v>
      </c>
      <c r="O744" s="55" t="s">
        <v>5191</v>
      </c>
    </row>
    <row r="745" spans="1:15" ht="15.75" x14ac:dyDescent="0.25">
      <c r="A745" s="55" t="s">
        <v>5188</v>
      </c>
      <c r="B745" s="55" t="s">
        <v>7284</v>
      </c>
      <c r="C745" s="55" t="s">
        <v>7280</v>
      </c>
      <c r="D745" s="55" t="s">
        <v>5226</v>
      </c>
      <c r="E745" s="55" t="s">
        <v>5324</v>
      </c>
      <c r="F745" s="55" t="s">
        <v>5325</v>
      </c>
      <c r="G745" s="55" t="s">
        <v>5227</v>
      </c>
      <c r="H745" s="55" t="s">
        <v>5228</v>
      </c>
      <c r="I745" s="55" t="s">
        <v>7281</v>
      </c>
      <c r="J745" s="55" t="s">
        <v>5189</v>
      </c>
      <c r="K745" s="55" t="s">
        <v>7282</v>
      </c>
      <c r="L745" s="55" t="s">
        <v>7283</v>
      </c>
      <c r="M745" s="55" t="s">
        <v>969</v>
      </c>
      <c r="N745" s="55" t="s">
        <v>5192</v>
      </c>
      <c r="O745" s="55" t="s">
        <v>5191</v>
      </c>
    </row>
    <row r="746" spans="1:15" ht="15.75" x14ac:dyDescent="0.25">
      <c r="A746" s="55" t="s">
        <v>5188</v>
      </c>
      <c r="B746" s="55" t="s">
        <v>7285</v>
      </c>
      <c r="C746" s="55" t="s">
        <v>6859</v>
      </c>
      <c r="D746" s="55" t="s">
        <v>5226</v>
      </c>
      <c r="E746" s="55" t="s">
        <v>5324</v>
      </c>
      <c r="F746" s="55" t="s">
        <v>5325</v>
      </c>
      <c r="G746" s="55" t="s">
        <v>5227</v>
      </c>
      <c r="H746" s="55" t="s">
        <v>5228</v>
      </c>
      <c r="I746" s="55" t="s">
        <v>6860</v>
      </c>
      <c r="J746" s="55" t="s">
        <v>5189</v>
      </c>
      <c r="K746" s="55" t="s">
        <v>6861</v>
      </c>
      <c r="L746" s="55" t="s">
        <v>6862</v>
      </c>
      <c r="M746" s="55" t="s">
        <v>4513</v>
      </c>
      <c r="N746" s="55" t="s">
        <v>5192</v>
      </c>
      <c r="O746" s="55" t="s">
        <v>5191</v>
      </c>
    </row>
    <row r="747" spans="1:15" ht="15.75" x14ac:dyDescent="0.25">
      <c r="A747" s="55" t="s">
        <v>5188</v>
      </c>
      <c r="B747" s="55" t="s">
        <v>7286</v>
      </c>
      <c r="C747" s="55" t="s">
        <v>6876</v>
      </c>
      <c r="D747" s="55" t="s">
        <v>6877</v>
      </c>
      <c r="E747" s="55" t="s">
        <v>5374</v>
      </c>
      <c r="F747" s="55" t="s">
        <v>5307</v>
      </c>
      <c r="G747" s="55" t="s">
        <v>5265</v>
      </c>
      <c r="H747" s="55" t="s">
        <v>5266</v>
      </c>
      <c r="I747" s="55" t="s">
        <v>6878</v>
      </c>
      <c r="J747" s="55" t="s">
        <v>5189</v>
      </c>
      <c r="K747" s="55" t="s">
        <v>6879</v>
      </c>
      <c r="L747" s="55" t="s">
        <v>6880</v>
      </c>
      <c r="M747" s="55" t="s">
        <v>3551</v>
      </c>
      <c r="N747" s="55" t="s">
        <v>5192</v>
      </c>
      <c r="O747" s="55" t="s">
        <v>5191</v>
      </c>
    </row>
    <row r="748" spans="1:15" ht="15.75" x14ac:dyDescent="0.25">
      <c r="A748" s="55" t="s">
        <v>5188</v>
      </c>
      <c r="B748" s="55" t="s">
        <v>7287</v>
      </c>
      <c r="C748" s="55" t="s">
        <v>6888</v>
      </c>
      <c r="D748" s="55" t="s">
        <v>6889</v>
      </c>
      <c r="E748" s="55" t="s">
        <v>5255</v>
      </c>
      <c r="F748" s="55" t="s">
        <v>5256</v>
      </c>
      <c r="G748" s="55" t="s">
        <v>5271</v>
      </c>
      <c r="H748" s="55" t="s">
        <v>5272</v>
      </c>
      <c r="I748" s="55" t="s">
        <v>6890</v>
      </c>
      <c r="J748" s="55" t="s">
        <v>5189</v>
      </c>
      <c r="K748" s="55" t="s">
        <v>6891</v>
      </c>
      <c r="L748" s="55" t="s">
        <v>6892</v>
      </c>
      <c r="M748" s="55" t="s">
        <v>965</v>
      </c>
      <c r="N748" s="55" t="s">
        <v>5192</v>
      </c>
      <c r="O748" s="55" t="s">
        <v>5191</v>
      </c>
    </row>
    <row r="749" spans="1:15" ht="15.75" x14ac:dyDescent="0.25">
      <c r="A749" s="55" t="s">
        <v>5188</v>
      </c>
      <c r="B749" s="55" t="s">
        <v>7288</v>
      </c>
      <c r="C749" s="55" t="s">
        <v>6888</v>
      </c>
      <c r="D749" s="55" t="s">
        <v>6889</v>
      </c>
      <c r="E749" s="55" t="s">
        <v>5255</v>
      </c>
      <c r="F749" s="55" t="s">
        <v>5256</v>
      </c>
      <c r="G749" s="55" t="s">
        <v>5271</v>
      </c>
      <c r="H749" s="55" t="s">
        <v>5272</v>
      </c>
      <c r="I749" s="55" t="s">
        <v>6890</v>
      </c>
      <c r="J749" s="55" t="s">
        <v>5189</v>
      </c>
      <c r="K749" s="55" t="s">
        <v>6891</v>
      </c>
      <c r="L749" s="55" t="s">
        <v>6892</v>
      </c>
      <c r="M749" s="55" t="s">
        <v>4527</v>
      </c>
      <c r="N749" s="55" t="s">
        <v>5192</v>
      </c>
      <c r="O749" s="55" t="s">
        <v>5191</v>
      </c>
    </row>
    <row r="750" spans="1:15" ht="15.75" x14ac:dyDescent="0.25">
      <c r="A750" s="55" t="s">
        <v>5188</v>
      </c>
      <c r="B750" s="55" t="s">
        <v>7289</v>
      </c>
      <c r="C750" s="55" t="s">
        <v>7290</v>
      </c>
      <c r="D750" s="55" t="s">
        <v>5226</v>
      </c>
      <c r="E750" s="55" t="s">
        <v>5324</v>
      </c>
      <c r="F750" s="55" t="s">
        <v>5325</v>
      </c>
      <c r="G750" s="55" t="s">
        <v>5227</v>
      </c>
      <c r="H750" s="55" t="s">
        <v>5228</v>
      </c>
      <c r="I750" s="55" t="s">
        <v>7291</v>
      </c>
      <c r="J750" s="55" t="s">
        <v>5189</v>
      </c>
      <c r="K750" s="55" t="s">
        <v>7292</v>
      </c>
      <c r="L750" s="55" t="s">
        <v>7293</v>
      </c>
      <c r="M750" s="55" t="s">
        <v>3551</v>
      </c>
      <c r="N750" s="55" t="s">
        <v>5192</v>
      </c>
      <c r="O750" s="55" t="s">
        <v>5191</v>
      </c>
    </row>
    <row r="751" spans="1:15" ht="15.75" x14ac:dyDescent="0.25">
      <c r="A751" s="55" t="s">
        <v>5188</v>
      </c>
      <c r="B751" s="55" t="s">
        <v>7294</v>
      </c>
      <c r="C751" s="55" t="s">
        <v>7290</v>
      </c>
      <c r="D751" s="55" t="s">
        <v>5226</v>
      </c>
      <c r="E751" s="55" t="s">
        <v>5324</v>
      </c>
      <c r="F751" s="55" t="s">
        <v>5325</v>
      </c>
      <c r="G751" s="55" t="s">
        <v>5227</v>
      </c>
      <c r="H751" s="55" t="s">
        <v>5228</v>
      </c>
      <c r="I751" s="55" t="s">
        <v>7291</v>
      </c>
      <c r="J751" s="55" t="s">
        <v>5189</v>
      </c>
      <c r="K751" s="55" t="s">
        <v>7292</v>
      </c>
      <c r="L751" s="55" t="s">
        <v>7293</v>
      </c>
      <c r="M751" s="55" t="s">
        <v>2943</v>
      </c>
      <c r="N751" s="55" t="s">
        <v>5192</v>
      </c>
      <c r="O751" s="55" t="s">
        <v>5191</v>
      </c>
    </row>
    <row r="752" spans="1:15" ht="15.75" x14ac:dyDescent="0.25">
      <c r="A752" s="55" t="s">
        <v>5188</v>
      </c>
      <c r="B752" s="55" t="s">
        <v>7295</v>
      </c>
      <c r="C752" s="55" t="s">
        <v>7296</v>
      </c>
      <c r="D752" s="55" t="s">
        <v>7297</v>
      </c>
      <c r="E752" s="55" t="s">
        <v>7298</v>
      </c>
      <c r="F752" s="55" t="s">
        <v>7299</v>
      </c>
      <c r="G752" s="55" t="s">
        <v>7300</v>
      </c>
      <c r="H752" s="55" t="s">
        <v>7301</v>
      </c>
      <c r="I752" s="55" t="s">
        <v>7302</v>
      </c>
      <c r="J752" s="55" t="s">
        <v>5189</v>
      </c>
      <c r="K752" s="55" t="s">
        <v>7303</v>
      </c>
      <c r="L752" s="55" t="s">
        <v>7304</v>
      </c>
      <c r="M752" s="55" t="s">
        <v>906</v>
      </c>
      <c r="N752" s="55" t="s">
        <v>5192</v>
      </c>
      <c r="O752" s="55" t="s">
        <v>5191</v>
      </c>
    </row>
    <row r="753" spans="1:15" ht="15.75" x14ac:dyDescent="0.25">
      <c r="A753" s="55" t="s">
        <v>5188</v>
      </c>
      <c r="B753" s="55" t="s">
        <v>7305</v>
      </c>
      <c r="C753" s="55" t="s">
        <v>6895</v>
      </c>
      <c r="D753" s="55" t="s">
        <v>6896</v>
      </c>
      <c r="E753" s="55" t="s">
        <v>6897</v>
      </c>
      <c r="F753" s="55" t="s">
        <v>6898</v>
      </c>
      <c r="G753" s="55" t="s">
        <v>5326</v>
      </c>
      <c r="H753" s="55" t="s">
        <v>5327</v>
      </c>
      <c r="I753" s="55" t="s">
        <v>6899</v>
      </c>
      <c r="J753" s="55" t="s">
        <v>5189</v>
      </c>
      <c r="K753" s="55" t="s">
        <v>6900</v>
      </c>
      <c r="L753" s="55" t="s">
        <v>6901</v>
      </c>
      <c r="M753" s="55" t="s">
        <v>2872</v>
      </c>
      <c r="N753" s="55" t="s">
        <v>5192</v>
      </c>
      <c r="O753" s="55" t="s">
        <v>5191</v>
      </c>
    </row>
    <row r="754" spans="1:15" ht="15.75" x14ac:dyDescent="0.25">
      <c r="A754" s="55" t="s">
        <v>5188</v>
      </c>
      <c r="B754" s="55" t="s">
        <v>7306</v>
      </c>
      <c r="C754" s="55" t="s">
        <v>6895</v>
      </c>
      <c r="D754" s="55" t="s">
        <v>6896</v>
      </c>
      <c r="E754" s="55" t="s">
        <v>6897</v>
      </c>
      <c r="F754" s="55" t="s">
        <v>6898</v>
      </c>
      <c r="G754" s="55" t="s">
        <v>5326</v>
      </c>
      <c r="H754" s="55" t="s">
        <v>5327</v>
      </c>
      <c r="I754" s="55" t="s">
        <v>6899</v>
      </c>
      <c r="J754" s="55" t="s">
        <v>5189</v>
      </c>
      <c r="K754" s="55" t="s">
        <v>6900</v>
      </c>
      <c r="L754" s="55" t="s">
        <v>6901</v>
      </c>
      <c r="M754" s="55" t="s">
        <v>3551</v>
      </c>
      <c r="N754" s="55" t="s">
        <v>5192</v>
      </c>
      <c r="O754" s="55" t="s">
        <v>5191</v>
      </c>
    </row>
    <row r="755" spans="1:15" ht="15.75" x14ac:dyDescent="0.25">
      <c r="A755" s="55" t="s">
        <v>5188</v>
      </c>
      <c r="B755" s="55" t="s">
        <v>7307</v>
      </c>
      <c r="C755" s="55" t="s">
        <v>6895</v>
      </c>
      <c r="D755" s="55" t="s">
        <v>6896</v>
      </c>
      <c r="E755" s="55" t="s">
        <v>6897</v>
      </c>
      <c r="F755" s="55" t="s">
        <v>6898</v>
      </c>
      <c r="G755" s="55" t="s">
        <v>5326</v>
      </c>
      <c r="H755" s="55" t="s">
        <v>5327</v>
      </c>
      <c r="I755" s="55" t="s">
        <v>6899</v>
      </c>
      <c r="J755" s="55" t="s">
        <v>5189</v>
      </c>
      <c r="K755" s="55" t="s">
        <v>6900</v>
      </c>
      <c r="L755" s="55" t="s">
        <v>6901</v>
      </c>
      <c r="M755" s="55" t="s">
        <v>5208</v>
      </c>
      <c r="N755" s="55" t="s">
        <v>5192</v>
      </c>
      <c r="O755" s="55" t="s">
        <v>5191</v>
      </c>
    </row>
    <row r="756" spans="1:15" ht="15.75" x14ac:dyDescent="0.25">
      <c r="A756" s="55" t="s">
        <v>5188</v>
      </c>
      <c r="B756" s="55" t="s">
        <v>7308</v>
      </c>
      <c r="C756" s="55" t="s">
        <v>6908</v>
      </c>
      <c r="D756" s="55" t="s">
        <v>6909</v>
      </c>
      <c r="E756" s="55" t="s">
        <v>5426</v>
      </c>
      <c r="F756" s="55" t="s">
        <v>5427</v>
      </c>
      <c r="G756" s="55" t="s">
        <v>6910</v>
      </c>
      <c r="H756" s="55" t="s">
        <v>6911</v>
      </c>
      <c r="I756" s="55" t="s">
        <v>6912</v>
      </c>
      <c r="J756" s="55" t="s">
        <v>5189</v>
      </c>
      <c r="K756" s="55" t="s">
        <v>6913</v>
      </c>
      <c r="L756" s="55" t="s">
        <v>6914</v>
      </c>
      <c r="M756" s="55" t="s">
        <v>4565</v>
      </c>
      <c r="N756" s="55" t="s">
        <v>5192</v>
      </c>
      <c r="O756" s="55" t="s">
        <v>5191</v>
      </c>
    </row>
    <row r="757" spans="1:15" ht="15.75" x14ac:dyDescent="0.25">
      <c r="A757" s="55" t="s">
        <v>5188</v>
      </c>
      <c r="B757" s="55" t="s">
        <v>7318</v>
      </c>
      <c r="C757" s="55" t="s">
        <v>7309</v>
      </c>
      <c r="D757" s="55" t="s">
        <v>7310</v>
      </c>
      <c r="E757" s="55" t="s">
        <v>7311</v>
      </c>
      <c r="F757" s="55" t="s">
        <v>7312</v>
      </c>
      <c r="G757" s="55" t="s">
        <v>7313</v>
      </c>
      <c r="H757" s="55" t="s">
        <v>7314</v>
      </c>
      <c r="I757" s="55" t="s">
        <v>7315</v>
      </c>
      <c r="J757" s="55" t="s">
        <v>5189</v>
      </c>
      <c r="K757" s="55" t="s">
        <v>7316</v>
      </c>
      <c r="L757" s="55" t="s">
        <v>7317</v>
      </c>
      <c r="M757" s="55" t="s">
        <v>5208</v>
      </c>
      <c r="N757" s="55" t="s">
        <v>5192</v>
      </c>
      <c r="O757" s="55" t="s">
        <v>5191</v>
      </c>
    </row>
    <row r="758" spans="1:15" ht="15.75" x14ac:dyDescent="0.25">
      <c r="A758" s="55" t="s">
        <v>5188</v>
      </c>
      <c r="B758" s="55" t="s">
        <v>7319</v>
      </c>
      <c r="C758" s="55" t="s">
        <v>6931</v>
      </c>
      <c r="D758" s="55" t="s">
        <v>6932</v>
      </c>
      <c r="E758" s="55" t="s">
        <v>6933</v>
      </c>
      <c r="F758" s="55" t="s">
        <v>6934</v>
      </c>
      <c r="G758" s="55" t="s">
        <v>6935</v>
      </c>
      <c r="H758" s="55" t="s">
        <v>6936</v>
      </c>
      <c r="I758" s="55" t="s">
        <v>6937</v>
      </c>
      <c r="J758" s="55" t="s">
        <v>5189</v>
      </c>
      <c r="K758" s="55" t="s">
        <v>6938</v>
      </c>
      <c r="L758" s="55" t="s">
        <v>6939</v>
      </c>
      <c r="M758" s="55" t="s">
        <v>518</v>
      </c>
      <c r="N758" s="55" t="s">
        <v>5192</v>
      </c>
      <c r="O758" s="55" t="s">
        <v>5191</v>
      </c>
    </row>
    <row r="759" spans="1:15" ht="15.75" x14ac:dyDescent="0.25">
      <c r="A759" s="55" t="s">
        <v>5188</v>
      </c>
      <c r="B759" s="55" t="s">
        <v>7320</v>
      </c>
      <c r="C759" s="55" t="s">
        <v>6931</v>
      </c>
      <c r="D759" s="55" t="s">
        <v>6932</v>
      </c>
      <c r="E759" s="55" t="s">
        <v>6933</v>
      </c>
      <c r="F759" s="55" t="s">
        <v>6934</v>
      </c>
      <c r="G759" s="55" t="s">
        <v>6935</v>
      </c>
      <c r="H759" s="55" t="s">
        <v>6936</v>
      </c>
      <c r="I759" s="55" t="s">
        <v>6937</v>
      </c>
      <c r="J759" s="55" t="s">
        <v>5189</v>
      </c>
      <c r="K759" s="55" t="s">
        <v>6938</v>
      </c>
      <c r="L759" s="55" t="s">
        <v>6939</v>
      </c>
      <c r="M759" s="55" t="s">
        <v>4868</v>
      </c>
      <c r="N759" s="55" t="s">
        <v>5192</v>
      </c>
      <c r="O759" s="55" t="s">
        <v>5191</v>
      </c>
    </row>
    <row r="760" spans="1:15" ht="15.75" x14ac:dyDescent="0.25">
      <c r="A760" s="55" t="s">
        <v>5188</v>
      </c>
      <c r="B760" s="55" t="s">
        <v>7321</v>
      </c>
      <c r="C760" s="55" t="s">
        <v>6931</v>
      </c>
      <c r="D760" s="55" t="s">
        <v>6932</v>
      </c>
      <c r="E760" s="55" t="s">
        <v>6933</v>
      </c>
      <c r="F760" s="55" t="s">
        <v>6934</v>
      </c>
      <c r="G760" s="55" t="s">
        <v>6935</v>
      </c>
      <c r="H760" s="55" t="s">
        <v>6936</v>
      </c>
      <c r="I760" s="55" t="s">
        <v>6937</v>
      </c>
      <c r="J760" s="55" t="s">
        <v>5189</v>
      </c>
      <c r="K760" s="55" t="s">
        <v>6938</v>
      </c>
      <c r="L760" s="55" t="s">
        <v>6939</v>
      </c>
      <c r="M760" s="55" t="s">
        <v>5208</v>
      </c>
      <c r="N760" s="55" t="s">
        <v>5192</v>
      </c>
      <c r="O760" s="55" t="s">
        <v>5191</v>
      </c>
    </row>
    <row r="761" spans="1:15" ht="15.75" x14ac:dyDescent="0.25">
      <c r="A761" s="55" t="s">
        <v>5188</v>
      </c>
      <c r="B761" s="55" t="s">
        <v>7322</v>
      </c>
      <c r="C761" s="55" t="s">
        <v>6931</v>
      </c>
      <c r="D761" s="55" t="s">
        <v>6932</v>
      </c>
      <c r="E761" s="55" t="s">
        <v>6933</v>
      </c>
      <c r="F761" s="55" t="s">
        <v>6934</v>
      </c>
      <c r="G761" s="55" t="s">
        <v>6935</v>
      </c>
      <c r="H761" s="55" t="s">
        <v>6936</v>
      </c>
      <c r="I761" s="55" t="s">
        <v>6937</v>
      </c>
      <c r="J761" s="55" t="s">
        <v>5189</v>
      </c>
      <c r="K761" s="55" t="s">
        <v>6938</v>
      </c>
      <c r="L761" s="55" t="s">
        <v>6939</v>
      </c>
      <c r="M761" s="55" t="s">
        <v>3551</v>
      </c>
      <c r="N761" s="55" t="s">
        <v>5192</v>
      </c>
      <c r="O761" s="55" t="s">
        <v>5191</v>
      </c>
    </row>
    <row r="762" spans="1:15" ht="15.75" x14ac:dyDescent="0.25">
      <c r="A762" s="55" t="s">
        <v>5188</v>
      </c>
      <c r="B762" s="55" t="s">
        <v>7323</v>
      </c>
      <c r="C762" s="55" t="s">
        <v>6941</v>
      </c>
      <c r="D762" s="55" t="s">
        <v>5203</v>
      </c>
      <c r="E762" s="55" t="s">
        <v>5204</v>
      </c>
      <c r="F762" s="55" t="s">
        <v>5205</v>
      </c>
      <c r="G762" s="55" t="s">
        <v>5249</v>
      </c>
      <c r="H762" s="55" t="s">
        <v>5250</v>
      </c>
      <c r="I762" s="55" t="s">
        <v>6942</v>
      </c>
      <c r="J762" s="55" t="s">
        <v>5189</v>
      </c>
      <c r="K762" s="55" t="s">
        <v>6943</v>
      </c>
      <c r="L762" s="55" t="s">
        <v>6944</v>
      </c>
      <c r="M762" s="55" t="s">
        <v>4561</v>
      </c>
      <c r="N762" s="55" t="s">
        <v>5192</v>
      </c>
      <c r="O762" s="55" t="s">
        <v>5191</v>
      </c>
    </row>
    <row r="763" spans="1:15" ht="15.75" x14ac:dyDescent="0.25">
      <c r="A763" s="55" t="s">
        <v>5188</v>
      </c>
      <c r="B763" s="55" t="s">
        <v>7324</v>
      </c>
      <c r="C763" s="55" t="s">
        <v>6941</v>
      </c>
      <c r="D763" s="55" t="s">
        <v>5203</v>
      </c>
      <c r="E763" s="55" t="s">
        <v>5204</v>
      </c>
      <c r="F763" s="55" t="s">
        <v>5205</v>
      </c>
      <c r="G763" s="55" t="s">
        <v>5249</v>
      </c>
      <c r="H763" s="55" t="s">
        <v>5250</v>
      </c>
      <c r="I763" s="55" t="s">
        <v>6942</v>
      </c>
      <c r="J763" s="55" t="s">
        <v>5189</v>
      </c>
      <c r="K763" s="55" t="s">
        <v>6943</v>
      </c>
      <c r="L763" s="55" t="s">
        <v>6944</v>
      </c>
      <c r="M763" s="55" t="s">
        <v>5202</v>
      </c>
      <c r="N763" s="55" t="s">
        <v>5192</v>
      </c>
      <c r="O763" s="55" t="s">
        <v>5191</v>
      </c>
    </row>
    <row r="764" spans="1:15" ht="15.75" x14ac:dyDescent="0.25">
      <c r="A764" s="55" t="s">
        <v>5188</v>
      </c>
      <c r="B764" s="55" t="s">
        <v>7325</v>
      </c>
      <c r="C764" s="55" t="s">
        <v>7326</v>
      </c>
      <c r="D764" s="55" t="s">
        <v>5203</v>
      </c>
      <c r="E764" s="55" t="s">
        <v>5204</v>
      </c>
      <c r="F764" s="55" t="s">
        <v>5205</v>
      </c>
      <c r="G764" s="55" t="s">
        <v>5249</v>
      </c>
      <c r="H764" s="55" t="s">
        <v>5250</v>
      </c>
      <c r="I764" s="55" t="s">
        <v>7327</v>
      </c>
      <c r="J764" s="55" t="s">
        <v>5189</v>
      </c>
      <c r="K764" s="55" t="s">
        <v>7328</v>
      </c>
      <c r="L764" s="55" t="s">
        <v>7329</v>
      </c>
      <c r="M764" s="55" t="s">
        <v>5254</v>
      </c>
      <c r="N764" s="55" t="s">
        <v>5192</v>
      </c>
      <c r="O764" s="55" t="s">
        <v>5191</v>
      </c>
    </row>
    <row r="765" spans="1:15" ht="15.75" x14ac:dyDescent="0.25">
      <c r="A765" s="55" t="s">
        <v>5188</v>
      </c>
      <c r="B765" s="55" t="s">
        <v>7330</v>
      </c>
      <c r="C765" s="55" t="s">
        <v>7331</v>
      </c>
      <c r="D765" s="55" t="s">
        <v>7332</v>
      </c>
      <c r="E765" s="55" t="s">
        <v>7333</v>
      </c>
      <c r="F765" s="55" t="s">
        <v>7334</v>
      </c>
      <c r="G765" s="55" t="s">
        <v>7152</v>
      </c>
      <c r="H765" s="55" t="s">
        <v>7153</v>
      </c>
      <c r="I765" s="55" t="s">
        <v>7335</v>
      </c>
      <c r="J765" s="55" t="s">
        <v>5189</v>
      </c>
      <c r="K765" s="55" t="s">
        <v>6197</v>
      </c>
      <c r="L765" s="55" t="s">
        <v>7336</v>
      </c>
      <c r="M765" s="55" t="s">
        <v>5058</v>
      </c>
      <c r="N765" s="55" t="s">
        <v>5192</v>
      </c>
      <c r="O765" s="55" t="s">
        <v>5191</v>
      </c>
    </row>
    <row r="766" spans="1:15" ht="15.75" x14ac:dyDescent="0.25">
      <c r="A766" s="55" t="s">
        <v>5188</v>
      </c>
      <c r="B766" s="55" t="s">
        <v>7337</v>
      </c>
      <c r="C766" s="55" t="s">
        <v>6946</v>
      </c>
      <c r="D766" s="55" t="s">
        <v>5203</v>
      </c>
      <c r="E766" s="55" t="s">
        <v>5204</v>
      </c>
      <c r="F766" s="55" t="s">
        <v>5205</v>
      </c>
      <c r="G766" s="55" t="s">
        <v>5249</v>
      </c>
      <c r="H766" s="55" t="s">
        <v>5250</v>
      </c>
      <c r="I766" s="55" t="s">
        <v>6947</v>
      </c>
      <c r="J766" s="55" t="s">
        <v>5189</v>
      </c>
      <c r="K766" s="55" t="s">
        <v>6948</v>
      </c>
      <c r="L766" s="55" t="s">
        <v>6949</v>
      </c>
      <c r="M766" s="55" t="s">
        <v>4866</v>
      </c>
      <c r="N766" s="55" t="s">
        <v>5192</v>
      </c>
      <c r="O766" s="55" t="s">
        <v>5191</v>
      </c>
    </row>
    <row r="767" spans="1:15" ht="15.75" x14ac:dyDescent="0.25">
      <c r="A767" s="55" t="s">
        <v>5188</v>
      </c>
      <c r="B767" s="55" t="s">
        <v>7338</v>
      </c>
      <c r="C767" s="55" t="s">
        <v>6957</v>
      </c>
      <c r="D767" s="55" t="s">
        <v>6958</v>
      </c>
      <c r="E767" s="55" t="s">
        <v>5411</v>
      </c>
      <c r="F767" s="55" t="s">
        <v>6959</v>
      </c>
      <c r="G767" s="55" t="s">
        <v>5412</v>
      </c>
      <c r="H767" s="55" t="s">
        <v>5413</v>
      </c>
      <c r="I767" s="55" t="s">
        <v>6960</v>
      </c>
      <c r="J767" s="55" t="s">
        <v>5189</v>
      </c>
      <c r="K767" s="55" t="s">
        <v>6961</v>
      </c>
      <c r="L767" s="55" t="s">
        <v>6962</v>
      </c>
      <c r="M767" s="55" t="s">
        <v>3551</v>
      </c>
      <c r="N767" s="55" t="s">
        <v>5192</v>
      </c>
      <c r="O767" s="55" t="s">
        <v>5191</v>
      </c>
    </row>
    <row r="768" spans="1:15" ht="15.75" x14ac:dyDescent="0.25">
      <c r="A768" s="55" t="s">
        <v>5188</v>
      </c>
      <c r="B768" s="55" t="s">
        <v>7339</v>
      </c>
      <c r="C768" s="55" t="s">
        <v>7340</v>
      </c>
      <c r="D768" s="55" t="s">
        <v>7341</v>
      </c>
      <c r="E768" s="55" t="s">
        <v>7342</v>
      </c>
      <c r="F768" s="55" t="s">
        <v>7343</v>
      </c>
      <c r="G768" s="55" t="s">
        <v>5257</v>
      </c>
      <c r="H768" s="55" t="s">
        <v>5258</v>
      </c>
      <c r="I768" s="55" t="s">
        <v>7344</v>
      </c>
      <c r="J768" s="55" t="s">
        <v>5189</v>
      </c>
      <c r="K768" s="55" t="s">
        <v>7345</v>
      </c>
      <c r="L768" s="55" t="s">
        <v>7346</v>
      </c>
      <c r="M768" s="55" t="s">
        <v>4944</v>
      </c>
      <c r="N768" s="55" t="s">
        <v>5192</v>
      </c>
      <c r="O768" s="55" t="s">
        <v>5191</v>
      </c>
    </row>
    <row r="769" spans="1:15" ht="15.75" x14ac:dyDescent="0.25">
      <c r="A769" s="55" t="s">
        <v>5188</v>
      </c>
      <c r="B769" s="55" t="s">
        <v>7347</v>
      </c>
      <c r="C769" s="55" t="s">
        <v>6982</v>
      </c>
      <c r="D769" s="55" t="s">
        <v>5226</v>
      </c>
      <c r="E769" s="55" t="s">
        <v>5324</v>
      </c>
      <c r="F769" s="55" t="s">
        <v>5325</v>
      </c>
      <c r="G769" s="55" t="s">
        <v>5227</v>
      </c>
      <c r="H769" s="55" t="s">
        <v>5228</v>
      </c>
      <c r="I769" s="55" t="s">
        <v>6983</v>
      </c>
      <c r="J769" s="55" t="s">
        <v>5189</v>
      </c>
      <c r="K769" s="55" t="s">
        <v>6984</v>
      </c>
      <c r="L769" s="55" t="s">
        <v>6985</v>
      </c>
      <c r="M769" s="55" t="s">
        <v>518</v>
      </c>
      <c r="N769" s="55" t="s">
        <v>5192</v>
      </c>
      <c r="O769" s="55" t="s">
        <v>5191</v>
      </c>
    </row>
    <row r="770" spans="1:15" ht="15.75" x14ac:dyDescent="0.25">
      <c r="A770" s="55" t="s">
        <v>5188</v>
      </c>
      <c r="B770" s="55" t="s">
        <v>7348</v>
      </c>
      <c r="C770" s="55" t="s">
        <v>6982</v>
      </c>
      <c r="D770" s="55" t="s">
        <v>5226</v>
      </c>
      <c r="E770" s="55" t="s">
        <v>5324</v>
      </c>
      <c r="F770" s="55" t="s">
        <v>5325</v>
      </c>
      <c r="G770" s="55" t="s">
        <v>5227</v>
      </c>
      <c r="H770" s="55" t="s">
        <v>5228</v>
      </c>
      <c r="I770" s="55" t="s">
        <v>6983</v>
      </c>
      <c r="J770" s="55" t="s">
        <v>5189</v>
      </c>
      <c r="K770" s="55" t="s">
        <v>6984</v>
      </c>
      <c r="L770" s="55" t="s">
        <v>6985</v>
      </c>
      <c r="M770" s="55" t="s">
        <v>3551</v>
      </c>
      <c r="N770" s="55" t="s">
        <v>5192</v>
      </c>
      <c r="O770" s="55" t="s">
        <v>5191</v>
      </c>
    </row>
    <row r="771" spans="1:15" ht="15.75" x14ac:dyDescent="0.25">
      <c r="A771" s="55" t="s">
        <v>5188</v>
      </c>
      <c r="B771" s="55" t="s">
        <v>7349</v>
      </c>
      <c r="C771" s="55" t="s">
        <v>7350</v>
      </c>
      <c r="D771" s="55" t="s">
        <v>5226</v>
      </c>
      <c r="E771" s="55" t="s">
        <v>5324</v>
      </c>
      <c r="F771" s="55" t="s">
        <v>5325</v>
      </c>
      <c r="G771" s="55" t="s">
        <v>5227</v>
      </c>
      <c r="H771" s="55" t="s">
        <v>5228</v>
      </c>
      <c r="I771" s="55" t="s">
        <v>7351</v>
      </c>
      <c r="J771" s="55" t="s">
        <v>5189</v>
      </c>
      <c r="K771" s="55" t="s">
        <v>7352</v>
      </c>
      <c r="L771" s="55" t="s">
        <v>7353</v>
      </c>
      <c r="M771" s="55" t="s">
        <v>4519</v>
      </c>
      <c r="N771" s="55" t="s">
        <v>5192</v>
      </c>
      <c r="O771" s="55" t="s">
        <v>5191</v>
      </c>
    </row>
    <row r="772" spans="1:15" ht="15.75" x14ac:dyDescent="0.25">
      <c r="A772" s="55" t="s">
        <v>5188</v>
      </c>
      <c r="B772" s="55" t="s">
        <v>7354</v>
      </c>
      <c r="C772" s="55" t="s">
        <v>7355</v>
      </c>
      <c r="D772" s="55" t="s">
        <v>5226</v>
      </c>
      <c r="E772" s="55" t="s">
        <v>5324</v>
      </c>
      <c r="F772" s="55" t="s">
        <v>5325</v>
      </c>
      <c r="G772" s="55" t="s">
        <v>5227</v>
      </c>
      <c r="H772" s="55" t="s">
        <v>5228</v>
      </c>
      <c r="I772" s="55" t="s">
        <v>7356</v>
      </c>
      <c r="J772" s="55" t="s">
        <v>5189</v>
      </c>
      <c r="K772" s="55" t="s">
        <v>7357</v>
      </c>
      <c r="L772" s="55" t="s">
        <v>7358</v>
      </c>
      <c r="M772" s="55" t="s">
        <v>4846</v>
      </c>
      <c r="N772" s="55" t="s">
        <v>5192</v>
      </c>
      <c r="O772" s="55" t="s">
        <v>5191</v>
      </c>
    </row>
    <row r="773" spans="1:15" ht="15.75" x14ac:dyDescent="0.25">
      <c r="A773" s="55" t="s">
        <v>5188</v>
      </c>
      <c r="B773" s="55" t="s">
        <v>7359</v>
      </c>
      <c r="C773" s="55" t="s">
        <v>7360</v>
      </c>
      <c r="D773" s="55" t="s">
        <v>7361</v>
      </c>
      <c r="E773" s="55" t="s">
        <v>7362</v>
      </c>
      <c r="F773" s="55" t="s">
        <v>7363</v>
      </c>
      <c r="G773" s="55" t="s">
        <v>7364</v>
      </c>
      <c r="H773" s="55" t="s">
        <v>7365</v>
      </c>
      <c r="I773" s="55" t="s">
        <v>7366</v>
      </c>
      <c r="J773" s="55" t="s">
        <v>5189</v>
      </c>
      <c r="K773" s="55" t="s">
        <v>7367</v>
      </c>
      <c r="L773" s="55" t="s">
        <v>7368</v>
      </c>
      <c r="M773" s="55" t="s">
        <v>4569</v>
      </c>
      <c r="N773" s="55" t="s">
        <v>5192</v>
      </c>
      <c r="O773" s="55" t="s">
        <v>5191</v>
      </c>
    </row>
    <row r="774" spans="1:15" ht="15.75" x14ac:dyDescent="0.25">
      <c r="A774" s="55" t="s">
        <v>5188</v>
      </c>
      <c r="B774" s="55" t="s">
        <v>7369</v>
      </c>
      <c r="C774" s="55" t="s">
        <v>6992</v>
      </c>
      <c r="D774" s="55" t="s">
        <v>6993</v>
      </c>
      <c r="E774" s="55" t="s">
        <v>6994</v>
      </c>
      <c r="F774" s="55" t="s">
        <v>6995</v>
      </c>
      <c r="G774" s="55" t="s">
        <v>6996</v>
      </c>
      <c r="H774" s="55" t="s">
        <v>6997</v>
      </c>
      <c r="I774" s="55" t="s">
        <v>6370</v>
      </c>
      <c r="J774" s="55" t="s">
        <v>5189</v>
      </c>
      <c r="K774" s="55" t="s">
        <v>6998</v>
      </c>
      <c r="L774" s="55" t="s">
        <v>6999</v>
      </c>
      <c r="M774" s="55" t="s">
        <v>2782</v>
      </c>
      <c r="N774" s="55" t="s">
        <v>5192</v>
      </c>
      <c r="O774" s="55" t="s">
        <v>5191</v>
      </c>
    </row>
    <row r="775" spans="1:15" ht="15.75" x14ac:dyDescent="0.25">
      <c r="A775" s="55" t="s">
        <v>5188</v>
      </c>
      <c r="B775" s="55" t="s">
        <v>7370</v>
      </c>
      <c r="C775" s="55" t="s">
        <v>6992</v>
      </c>
      <c r="D775" s="55" t="s">
        <v>6993</v>
      </c>
      <c r="E775" s="55" t="s">
        <v>6994</v>
      </c>
      <c r="F775" s="55" t="s">
        <v>6995</v>
      </c>
      <c r="G775" s="55" t="s">
        <v>6996</v>
      </c>
      <c r="H775" s="55" t="s">
        <v>6997</v>
      </c>
      <c r="I775" s="55" t="s">
        <v>6370</v>
      </c>
      <c r="J775" s="55" t="s">
        <v>5189</v>
      </c>
      <c r="K775" s="55" t="s">
        <v>6998</v>
      </c>
      <c r="L775" s="55" t="s">
        <v>6999</v>
      </c>
      <c r="M775" s="55" t="s">
        <v>3551</v>
      </c>
      <c r="N775" s="55" t="s">
        <v>5192</v>
      </c>
      <c r="O775" s="55" t="s">
        <v>5191</v>
      </c>
    </row>
    <row r="776" spans="1:15" ht="15.75" x14ac:dyDescent="0.25">
      <c r="A776" s="55" t="s">
        <v>5188</v>
      </c>
      <c r="B776" s="55" t="s">
        <v>7371</v>
      </c>
      <c r="C776" s="55" t="s">
        <v>7372</v>
      </c>
      <c r="D776" s="55" t="s">
        <v>7373</v>
      </c>
      <c r="E776" s="55" t="s">
        <v>7374</v>
      </c>
      <c r="F776" s="55" t="s">
        <v>7375</v>
      </c>
      <c r="G776" s="55" t="s">
        <v>7006</v>
      </c>
      <c r="H776" s="55" t="s">
        <v>7007</v>
      </c>
      <c r="I776" s="55" t="s">
        <v>7376</v>
      </c>
      <c r="J776" s="55" t="s">
        <v>5189</v>
      </c>
      <c r="K776" s="55" t="s">
        <v>7377</v>
      </c>
      <c r="L776" s="55" t="s">
        <v>7378</v>
      </c>
      <c r="M776" s="55" t="s">
        <v>5231</v>
      </c>
      <c r="N776" s="55" t="s">
        <v>5192</v>
      </c>
      <c r="O776" s="55" t="s">
        <v>5191</v>
      </c>
    </row>
    <row r="777" spans="1:15" ht="15.75" x14ac:dyDescent="0.25">
      <c r="A777" s="55" t="s">
        <v>5188</v>
      </c>
      <c r="B777" s="55" t="s">
        <v>7379</v>
      </c>
      <c r="C777" s="55" t="s">
        <v>7372</v>
      </c>
      <c r="D777" s="55" t="s">
        <v>7373</v>
      </c>
      <c r="E777" s="55" t="s">
        <v>7374</v>
      </c>
      <c r="F777" s="55" t="s">
        <v>7375</v>
      </c>
      <c r="G777" s="55" t="s">
        <v>7006</v>
      </c>
      <c r="H777" s="55" t="s">
        <v>7007</v>
      </c>
      <c r="I777" s="55" t="s">
        <v>7376</v>
      </c>
      <c r="J777" s="55" t="s">
        <v>5189</v>
      </c>
      <c r="K777" s="55" t="s">
        <v>7377</v>
      </c>
      <c r="L777" s="55" t="s">
        <v>7378</v>
      </c>
      <c r="M777" s="55" t="s">
        <v>3551</v>
      </c>
      <c r="N777" s="55" t="s">
        <v>5192</v>
      </c>
      <c r="O777" s="55" t="s">
        <v>5191</v>
      </c>
    </row>
    <row r="778" spans="1:15" ht="15.75" x14ac:dyDescent="0.25">
      <c r="A778" s="55" t="s">
        <v>5188</v>
      </c>
      <c r="B778" s="55" t="s">
        <v>7380</v>
      </c>
      <c r="C778" s="55" t="s">
        <v>7372</v>
      </c>
      <c r="D778" s="55" t="s">
        <v>7373</v>
      </c>
      <c r="E778" s="55" t="s">
        <v>7374</v>
      </c>
      <c r="F778" s="55" t="s">
        <v>7375</v>
      </c>
      <c r="G778" s="55" t="s">
        <v>7006</v>
      </c>
      <c r="H778" s="55" t="s">
        <v>7007</v>
      </c>
      <c r="I778" s="55" t="s">
        <v>7376</v>
      </c>
      <c r="J778" s="55" t="s">
        <v>5189</v>
      </c>
      <c r="K778" s="55" t="s">
        <v>7377</v>
      </c>
      <c r="L778" s="55" t="s">
        <v>7378</v>
      </c>
      <c r="M778" s="55" t="s">
        <v>5232</v>
      </c>
      <c r="N778" s="55" t="s">
        <v>5192</v>
      </c>
      <c r="O778" s="55" t="s">
        <v>5191</v>
      </c>
    </row>
    <row r="779" spans="1:15" ht="15.75" x14ac:dyDescent="0.25">
      <c r="A779" s="55" t="s">
        <v>5188</v>
      </c>
      <c r="B779" s="55" t="s">
        <v>7381</v>
      </c>
      <c r="C779" s="55" t="s">
        <v>7372</v>
      </c>
      <c r="D779" s="55" t="s">
        <v>7373</v>
      </c>
      <c r="E779" s="55" t="s">
        <v>7374</v>
      </c>
      <c r="F779" s="55" t="s">
        <v>7375</v>
      </c>
      <c r="G779" s="55" t="s">
        <v>7006</v>
      </c>
      <c r="H779" s="55" t="s">
        <v>7007</v>
      </c>
      <c r="I779" s="55" t="s">
        <v>7376</v>
      </c>
      <c r="J779" s="55" t="s">
        <v>5189</v>
      </c>
      <c r="K779" s="55" t="s">
        <v>7377</v>
      </c>
      <c r="L779" s="55" t="s">
        <v>7378</v>
      </c>
      <c r="M779" s="55" t="s">
        <v>5476</v>
      </c>
      <c r="N779" s="55" t="s">
        <v>5192</v>
      </c>
      <c r="O779" s="55" t="s">
        <v>5191</v>
      </c>
    </row>
    <row r="780" spans="1:15" ht="15.75" x14ac:dyDescent="0.25">
      <c r="A780" s="55" t="s">
        <v>5188</v>
      </c>
      <c r="B780" s="55" t="s">
        <v>7382</v>
      </c>
      <c r="C780" s="55" t="s">
        <v>7002</v>
      </c>
      <c r="D780" s="55" t="s">
        <v>7003</v>
      </c>
      <c r="E780" s="55" t="s">
        <v>7004</v>
      </c>
      <c r="F780" s="55" t="s">
        <v>7005</v>
      </c>
      <c r="G780" s="55" t="s">
        <v>7006</v>
      </c>
      <c r="H780" s="55" t="s">
        <v>7007</v>
      </c>
      <c r="I780" s="55" t="s">
        <v>7008</v>
      </c>
      <c r="J780" s="55" t="s">
        <v>5189</v>
      </c>
      <c r="K780" s="55" t="s">
        <v>7009</v>
      </c>
      <c r="L780" s="55" t="s">
        <v>7010</v>
      </c>
      <c r="M780" s="55" t="s">
        <v>4148</v>
      </c>
      <c r="N780" s="55" t="s">
        <v>5192</v>
      </c>
      <c r="O780" s="55" t="s">
        <v>5191</v>
      </c>
    </row>
    <row r="781" spans="1:15" ht="15.75" x14ac:dyDescent="0.25">
      <c r="A781" s="55" t="s">
        <v>5188</v>
      </c>
      <c r="B781" s="55" t="s">
        <v>7383</v>
      </c>
      <c r="C781" s="55" t="s">
        <v>7019</v>
      </c>
      <c r="D781" s="55" t="s">
        <v>7020</v>
      </c>
      <c r="E781" s="55" t="s">
        <v>7021</v>
      </c>
      <c r="F781" s="55" t="s">
        <v>7022</v>
      </c>
      <c r="G781" s="55" t="s">
        <v>7023</v>
      </c>
      <c r="H781" s="55" t="s">
        <v>7024</v>
      </c>
      <c r="I781" s="55" t="s">
        <v>7025</v>
      </c>
      <c r="J781" s="55" t="s">
        <v>5189</v>
      </c>
      <c r="K781" s="55" t="s">
        <v>7026</v>
      </c>
      <c r="L781" s="55" t="s">
        <v>7027</v>
      </c>
      <c r="M781" s="55" t="s">
        <v>7384</v>
      </c>
      <c r="N781" s="55" t="s">
        <v>5192</v>
      </c>
      <c r="O781" s="55" t="s">
        <v>5191</v>
      </c>
    </row>
    <row r="782" spans="1:15" ht="15.75" x14ac:dyDescent="0.25">
      <c r="A782" s="55" t="s">
        <v>5188</v>
      </c>
      <c r="B782" s="55" t="s">
        <v>7385</v>
      </c>
      <c r="C782" s="55" t="s">
        <v>7030</v>
      </c>
      <c r="D782" s="55" t="s">
        <v>7031</v>
      </c>
      <c r="E782" s="55" t="s">
        <v>7032</v>
      </c>
      <c r="F782" s="55" t="s">
        <v>7033</v>
      </c>
      <c r="G782" s="55" t="s">
        <v>7034</v>
      </c>
      <c r="H782" s="55" t="s">
        <v>7035</v>
      </c>
      <c r="I782" s="55" t="s">
        <v>7036</v>
      </c>
      <c r="J782" s="55" t="s">
        <v>5189</v>
      </c>
      <c r="K782" s="55" t="s">
        <v>7037</v>
      </c>
      <c r="L782" s="55" t="s">
        <v>7038</v>
      </c>
      <c r="M782" s="55" t="s">
        <v>3551</v>
      </c>
      <c r="N782" s="55" t="s">
        <v>5192</v>
      </c>
      <c r="O782" s="55" t="s">
        <v>5191</v>
      </c>
    </row>
    <row r="783" spans="1:15" ht="15.75" x14ac:dyDescent="0.25">
      <c r="A783" s="55" t="s">
        <v>5188</v>
      </c>
      <c r="B783" s="55" t="s">
        <v>7386</v>
      </c>
      <c r="C783" s="55" t="s">
        <v>7030</v>
      </c>
      <c r="D783" s="55" t="s">
        <v>7031</v>
      </c>
      <c r="E783" s="55" t="s">
        <v>7032</v>
      </c>
      <c r="F783" s="55" t="s">
        <v>7033</v>
      </c>
      <c r="G783" s="55" t="s">
        <v>7034</v>
      </c>
      <c r="H783" s="55" t="s">
        <v>7035</v>
      </c>
      <c r="I783" s="55" t="s">
        <v>7036</v>
      </c>
      <c r="J783" s="55" t="s">
        <v>5189</v>
      </c>
      <c r="K783" s="55" t="s">
        <v>7037</v>
      </c>
      <c r="L783" s="55" t="s">
        <v>7038</v>
      </c>
      <c r="M783" s="55" t="s">
        <v>4519</v>
      </c>
      <c r="N783" s="55" t="s">
        <v>5192</v>
      </c>
      <c r="O783" s="55" t="s">
        <v>5191</v>
      </c>
    </row>
    <row r="784" spans="1:15" ht="15.75" x14ac:dyDescent="0.25">
      <c r="A784" s="55" t="s">
        <v>5188</v>
      </c>
      <c r="B784" s="55" t="s">
        <v>7387</v>
      </c>
      <c r="C784" s="55" t="s">
        <v>7030</v>
      </c>
      <c r="D784" s="55" t="s">
        <v>7031</v>
      </c>
      <c r="E784" s="55" t="s">
        <v>7032</v>
      </c>
      <c r="F784" s="55" t="s">
        <v>7033</v>
      </c>
      <c r="G784" s="55" t="s">
        <v>7034</v>
      </c>
      <c r="H784" s="55" t="s">
        <v>7035</v>
      </c>
      <c r="I784" s="55" t="s">
        <v>7036</v>
      </c>
      <c r="J784" s="55" t="s">
        <v>5189</v>
      </c>
      <c r="K784" s="55" t="s">
        <v>7037</v>
      </c>
      <c r="L784" s="55" t="s">
        <v>7038</v>
      </c>
      <c r="M784" s="55" t="s">
        <v>4511</v>
      </c>
      <c r="N784" s="55" t="s">
        <v>5192</v>
      </c>
      <c r="O784" s="55" t="s">
        <v>5191</v>
      </c>
    </row>
    <row r="785" spans="1:15" ht="15.75" x14ac:dyDescent="0.25">
      <c r="A785" s="55" t="s">
        <v>5188</v>
      </c>
      <c r="B785" s="55" t="s">
        <v>7388</v>
      </c>
      <c r="C785" s="55" t="s">
        <v>7389</v>
      </c>
      <c r="D785" s="55" t="s">
        <v>7390</v>
      </c>
      <c r="E785" s="55" t="s">
        <v>5261</v>
      </c>
      <c r="F785" s="55" t="s">
        <v>5262</v>
      </c>
      <c r="G785" s="55" t="s">
        <v>7042</v>
      </c>
      <c r="H785" s="55" t="s">
        <v>7043</v>
      </c>
      <c r="I785" s="55" t="s">
        <v>7044</v>
      </c>
      <c r="J785" s="55" t="s">
        <v>5189</v>
      </c>
      <c r="K785" s="55" t="s">
        <v>7391</v>
      </c>
      <c r="L785" s="55" t="s">
        <v>7392</v>
      </c>
      <c r="M785" s="55" t="s">
        <v>667</v>
      </c>
      <c r="N785" s="55" t="s">
        <v>5192</v>
      </c>
      <c r="O785" s="55" t="s">
        <v>5191</v>
      </c>
    </row>
    <row r="786" spans="1:15" ht="15.75" x14ac:dyDescent="0.25">
      <c r="A786" s="55" t="s">
        <v>5188</v>
      </c>
      <c r="B786" s="55" t="s">
        <v>7393</v>
      </c>
      <c r="C786" s="55" t="s">
        <v>7140</v>
      </c>
      <c r="D786" s="55" t="s">
        <v>7141</v>
      </c>
      <c r="E786" s="55" t="s">
        <v>7142</v>
      </c>
      <c r="F786" s="55" t="s">
        <v>7143</v>
      </c>
      <c r="G786" s="55" t="s">
        <v>5259</v>
      </c>
      <c r="H786" s="55" t="s">
        <v>5260</v>
      </c>
      <c r="I786" s="55" t="s">
        <v>7144</v>
      </c>
      <c r="J786" s="55" t="s">
        <v>5189</v>
      </c>
      <c r="K786" s="55" t="s">
        <v>7145</v>
      </c>
      <c r="L786" s="55" t="s">
        <v>7146</v>
      </c>
      <c r="M786" s="55" t="s">
        <v>4906</v>
      </c>
      <c r="N786" s="55" t="s">
        <v>5192</v>
      </c>
      <c r="O786" s="55" t="s">
        <v>5191</v>
      </c>
    </row>
    <row r="787" spans="1:15" ht="15.75" x14ac:dyDescent="0.25">
      <c r="A787" s="55" t="s">
        <v>5188</v>
      </c>
      <c r="B787" s="55" t="s">
        <v>7394</v>
      </c>
      <c r="C787" s="55" t="s">
        <v>7148</v>
      </c>
      <c r="D787" s="55" t="s">
        <v>7149</v>
      </c>
      <c r="E787" s="55" t="s">
        <v>7150</v>
      </c>
      <c r="F787" s="55" t="s">
        <v>7151</v>
      </c>
      <c r="G787" s="55" t="s">
        <v>7152</v>
      </c>
      <c r="H787" s="55" t="s">
        <v>7153</v>
      </c>
      <c r="I787" s="55" t="s">
        <v>7154</v>
      </c>
      <c r="J787" s="55" t="s">
        <v>5189</v>
      </c>
      <c r="K787" s="55" t="s">
        <v>7155</v>
      </c>
      <c r="L787" s="55" t="s">
        <v>7156</v>
      </c>
      <c r="M787" s="55" t="s">
        <v>4675</v>
      </c>
      <c r="N787" s="55" t="s">
        <v>5192</v>
      </c>
      <c r="O787" s="55" t="s">
        <v>5191</v>
      </c>
    </row>
    <row r="788" spans="1:15" ht="15.75" x14ac:dyDescent="0.25">
      <c r="A788" s="55" t="s">
        <v>5188</v>
      </c>
      <c r="B788" s="55" t="s">
        <v>7395</v>
      </c>
      <c r="C788" s="55" t="s">
        <v>7148</v>
      </c>
      <c r="D788" s="55" t="s">
        <v>7149</v>
      </c>
      <c r="E788" s="55" t="s">
        <v>7150</v>
      </c>
      <c r="F788" s="55" t="s">
        <v>7151</v>
      </c>
      <c r="G788" s="55" t="s">
        <v>7152</v>
      </c>
      <c r="H788" s="55" t="s">
        <v>7153</v>
      </c>
      <c r="I788" s="55" t="s">
        <v>7154</v>
      </c>
      <c r="J788" s="55" t="s">
        <v>5189</v>
      </c>
      <c r="K788" s="55" t="s">
        <v>7155</v>
      </c>
      <c r="L788" s="55" t="s">
        <v>7156</v>
      </c>
      <c r="M788" s="55" t="s">
        <v>3551</v>
      </c>
      <c r="N788" s="55" t="s">
        <v>5192</v>
      </c>
      <c r="O788" s="55" t="s">
        <v>5191</v>
      </c>
    </row>
    <row r="789" spans="1:15" ht="15.75" x14ac:dyDescent="0.25">
      <c r="A789" s="55" t="s">
        <v>5188</v>
      </c>
      <c r="B789" s="55" t="s">
        <v>7396</v>
      </c>
      <c r="C789" s="55" t="s">
        <v>7158</v>
      </c>
      <c r="D789" s="55" t="s">
        <v>7159</v>
      </c>
      <c r="E789" s="55" t="s">
        <v>7160</v>
      </c>
      <c r="F789" s="55" t="s">
        <v>7161</v>
      </c>
      <c r="G789" s="55" t="s">
        <v>5259</v>
      </c>
      <c r="H789" s="55" t="s">
        <v>5260</v>
      </c>
      <c r="I789" s="55" t="s">
        <v>7162</v>
      </c>
      <c r="J789" s="55" t="s">
        <v>5189</v>
      </c>
      <c r="K789" s="55" t="s">
        <v>7163</v>
      </c>
      <c r="L789" s="55" t="s">
        <v>7164</v>
      </c>
      <c r="M789" s="55" t="s">
        <v>965</v>
      </c>
      <c r="N789" s="55" t="s">
        <v>5192</v>
      </c>
      <c r="O789" s="55" t="s">
        <v>5191</v>
      </c>
    </row>
    <row r="790" spans="1:15" ht="15.75" x14ac:dyDescent="0.25">
      <c r="A790" s="55" t="s">
        <v>5188</v>
      </c>
      <c r="B790" s="55" t="s">
        <v>7397</v>
      </c>
      <c r="C790" s="55" t="s">
        <v>7166</v>
      </c>
      <c r="D790" s="55" t="s">
        <v>7167</v>
      </c>
      <c r="E790" s="55" t="s">
        <v>7168</v>
      </c>
      <c r="F790" s="55" t="s">
        <v>7169</v>
      </c>
      <c r="G790" s="55" t="s">
        <v>7006</v>
      </c>
      <c r="H790" s="55" t="s">
        <v>7007</v>
      </c>
      <c r="I790" s="55" t="s">
        <v>7170</v>
      </c>
      <c r="J790" s="55" t="s">
        <v>5189</v>
      </c>
      <c r="K790" s="55" t="s">
        <v>7171</v>
      </c>
      <c r="L790" s="55" t="s">
        <v>7172</v>
      </c>
      <c r="M790" s="55" t="s">
        <v>4944</v>
      </c>
      <c r="N790" s="55" t="s">
        <v>5192</v>
      </c>
      <c r="O790" s="55" t="s">
        <v>5191</v>
      </c>
    </row>
    <row r="791" spans="1:15" ht="15.75" x14ac:dyDescent="0.25">
      <c r="A791" s="55" t="s">
        <v>5188</v>
      </c>
      <c r="B791" s="55" t="s">
        <v>7398</v>
      </c>
      <c r="C791" s="55" t="s">
        <v>7399</v>
      </c>
      <c r="D791" s="55" t="s">
        <v>7400</v>
      </c>
      <c r="E791" s="55" t="s">
        <v>7401</v>
      </c>
      <c r="F791" s="55" t="s">
        <v>7402</v>
      </c>
      <c r="G791" s="55" t="s">
        <v>7152</v>
      </c>
      <c r="H791" s="55" t="s">
        <v>7153</v>
      </c>
      <c r="I791" s="55" t="s">
        <v>7403</v>
      </c>
      <c r="J791" s="55" t="s">
        <v>5189</v>
      </c>
      <c r="K791" s="55" t="s">
        <v>7404</v>
      </c>
      <c r="L791" s="55" t="s">
        <v>7405</v>
      </c>
      <c r="M791" s="55" t="s">
        <v>4944</v>
      </c>
      <c r="N791" s="55" t="s">
        <v>5192</v>
      </c>
      <c r="O791" s="55" t="s">
        <v>5191</v>
      </c>
    </row>
    <row r="792" spans="1:15" ht="15.75" x14ac:dyDescent="0.25">
      <c r="A792" s="55" t="s">
        <v>5188</v>
      </c>
      <c r="B792" s="55" t="s">
        <v>7406</v>
      </c>
      <c r="C792" s="55" t="s">
        <v>7399</v>
      </c>
      <c r="D792" s="55" t="s">
        <v>7400</v>
      </c>
      <c r="E792" s="55" t="s">
        <v>7401</v>
      </c>
      <c r="F792" s="55" t="s">
        <v>7402</v>
      </c>
      <c r="G792" s="55" t="s">
        <v>7152</v>
      </c>
      <c r="H792" s="55" t="s">
        <v>7153</v>
      </c>
      <c r="I792" s="55" t="s">
        <v>7403</v>
      </c>
      <c r="J792" s="55" t="s">
        <v>5189</v>
      </c>
      <c r="K792" s="55" t="s">
        <v>7404</v>
      </c>
      <c r="L792" s="55" t="s">
        <v>7405</v>
      </c>
      <c r="M792" s="55" t="s">
        <v>4342</v>
      </c>
      <c r="N792" s="55" t="s">
        <v>5192</v>
      </c>
      <c r="O792" s="55" t="s">
        <v>5191</v>
      </c>
    </row>
    <row r="793" spans="1:15" ht="15.75" x14ac:dyDescent="0.25">
      <c r="A793" s="55" t="s">
        <v>5188</v>
      </c>
      <c r="B793" s="55" t="s">
        <v>7407</v>
      </c>
      <c r="C793" s="55" t="s">
        <v>7399</v>
      </c>
      <c r="D793" s="55" t="s">
        <v>7400</v>
      </c>
      <c r="E793" s="55" t="s">
        <v>7401</v>
      </c>
      <c r="F793" s="55" t="s">
        <v>7402</v>
      </c>
      <c r="G793" s="55" t="s">
        <v>7152</v>
      </c>
      <c r="H793" s="55" t="s">
        <v>7153</v>
      </c>
      <c r="I793" s="55" t="s">
        <v>7403</v>
      </c>
      <c r="J793" s="55" t="s">
        <v>5189</v>
      </c>
      <c r="K793" s="55" t="s">
        <v>7404</v>
      </c>
      <c r="L793" s="55" t="s">
        <v>7405</v>
      </c>
      <c r="M793" s="55" t="s">
        <v>3551</v>
      </c>
      <c r="N793" s="55" t="s">
        <v>5192</v>
      </c>
      <c r="O793" s="55" t="s">
        <v>5191</v>
      </c>
    </row>
    <row r="794" spans="1:15" ht="15.75" x14ac:dyDescent="0.25">
      <c r="A794" s="55" t="s">
        <v>5188</v>
      </c>
      <c r="B794" s="55" t="s">
        <v>7408</v>
      </c>
      <c r="C794" s="55" t="s">
        <v>7175</v>
      </c>
      <c r="D794" s="55" t="s">
        <v>7176</v>
      </c>
      <c r="E794" s="55" t="s">
        <v>7177</v>
      </c>
      <c r="F794" s="55" t="s">
        <v>7178</v>
      </c>
      <c r="G794" s="55" t="s">
        <v>5257</v>
      </c>
      <c r="H794" s="55" t="s">
        <v>5258</v>
      </c>
      <c r="I794" s="55" t="s">
        <v>7183</v>
      </c>
      <c r="J794" s="55" t="s">
        <v>5189</v>
      </c>
      <c r="K794" s="55" t="s">
        <v>7180</v>
      </c>
      <c r="L794" s="55" t="s">
        <v>7181</v>
      </c>
      <c r="M794" s="55" t="s">
        <v>4575</v>
      </c>
      <c r="N794" s="55" t="s">
        <v>5192</v>
      </c>
      <c r="O794" s="55" t="s">
        <v>5191</v>
      </c>
    </row>
    <row r="795" spans="1:15" ht="15.75" x14ac:dyDescent="0.25">
      <c r="A795" s="55" t="s">
        <v>5188</v>
      </c>
      <c r="B795" s="55" t="s">
        <v>7409</v>
      </c>
      <c r="C795" s="55" t="s">
        <v>7185</v>
      </c>
      <c r="D795" s="55" t="s">
        <v>7186</v>
      </c>
      <c r="E795" s="55" t="s">
        <v>7187</v>
      </c>
      <c r="F795" s="55" t="s">
        <v>7188</v>
      </c>
      <c r="G795" s="55" t="s">
        <v>5267</v>
      </c>
      <c r="H795" s="55" t="s">
        <v>5268</v>
      </c>
      <c r="I795" s="55" t="s">
        <v>7189</v>
      </c>
      <c r="J795" s="55" t="s">
        <v>5189</v>
      </c>
      <c r="K795" s="55" t="s">
        <v>7190</v>
      </c>
      <c r="L795" s="55" t="s">
        <v>7191</v>
      </c>
      <c r="M795" s="55" t="s">
        <v>4513</v>
      </c>
      <c r="N795" s="55" t="s">
        <v>5192</v>
      </c>
      <c r="O795" s="55" t="s">
        <v>5191</v>
      </c>
    </row>
    <row r="796" spans="1:15" ht="15.75" x14ac:dyDescent="0.25">
      <c r="A796" s="55" t="s">
        <v>5188</v>
      </c>
      <c r="B796" s="55" t="s">
        <v>7410</v>
      </c>
      <c r="C796" s="55" t="s">
        <v>7411</v>
      </c>
      <c r="D796" s="55" t="s">
        <v>7412</v>
      </c>
      <c r="E796" s="55" t="s">
        <v>7177</v>
      </c>
      <c r="F796" s="55" t="s">
        <v>7178</v>
      </c>
      <c r="G796" s="55" t="s">
        <v>5257</v>
      </c>
      <c r="H796" s="55" t="s">
        <v>5258</v>
      </c>
      <c r="I796" s="55" t="s">
        <v>7413</v>
      </c>
      <c r="J796" s="55" t="s">
        <v>5189</v>
      </c>
      <c r="K796" s="55" t="s">
        <v>7414</v>
      </c>
      <c r="L796" s="55" t="s">
        <v>7415</v>
      </c>
      <c r="M796" s="55" t="s">
        <v>5012</v>
      </c>
      <c r="N796" s="55" t="s">
        <v>5192</v>
      </c>
      <c r="O796" s="55" t="s">
        <v>5191</v>
      </c>
    </row>
    <row r="797" spans="1:15" ht="15.75" x14ac:dyDescent="0.25">
      <c r="A797" s="55" t="s">
        <v>5188</v>
      </c>
      <c r="B797" s="55" t="s">
        <v>7416</v>
      </c>
      <c r="C797" s="55" t="s">
        <v>7193</v>
      </c>
      <c r="D797" s="55" t="s">
        <v>7194</v>
      </c>
      <c r="E797" s="55" t="s">
        <v>7195</v>
      </c>
      <c r="F797" s="55" t="s">
        <v>7196</v>
      </c>
      <c r="G797" s="55" t="s">
        <v>5376</v>
      </c>
      <c r="H797" s="55" t="s">
        <v>5377</v>
      </c>
      <c r="I797" s="55" t="s">
        <v>7197</v>
      </c>
      <c r="J797" s="55" t="s">
        <v>5189</v>
      </c>
      <c r="K797" s="55" t="s">
        <v>7198</v>
      </c>
      <c r="L797" s="55" t="s">
        <v>7199</v>
      </c>
      <c r="M797" s="55" t="s">
        <v>4752</v>
      </c>
      <c r="N797" s="55" t="s">
        <v>5192</v>
      </c>
      <c r="O797" s="55" t="s">
        <v>5191</v>
      </c>
    </row>
    <row r="798" spans="1:15" ht="15.75" x14ac:dyDescent="0.25">
      <c r="A798" s="55" t="s">
        <v>5188</v>
      </c>
      <c r="B798" s="55" t="s">
        <v>8613</v>
      </c>
      <c r="C798" s="55" t="s">
        <v>8269</v>
      </c>
      <c r="D798" s="55" t="s">
        <v>8270</v>
      </c>
      <c r="E798" s="55" t="s">
        <v>8271</v>
      </c>
      <c r="F798" s="55" t="s">
        <v>8272</v>
      </c>
      <c r="G798" s="55" t="s">
        <v>5363</v>
      </c>
      <c r="H798" s="55" t="s">
        <v>5364</v>
      </c>
      <c r="I798" s="55" t="s">
        <v>8273</v>
      </c>
      <c r="J798" s="55" t="s">
        <v>5189</v>
      </c>
      <c r="K798" s="55" t="s">
        <v>8274</v>
      </c>
      <c r="L798" s="55" t="s">
        <v>8275</v>
      </c>
      <c r="M798" s="55" t="s">
        <v>4864</v>
      </c>
      <c r="N798" s="55" t="s">
        <v>5192</v>
      </c>
      <c r="O798" s="55" t="s">
        <v>5191</v>
      </c>
    </row>
    <row r="799" spans="1:15" ht="15.75" x14ac:dyDescent="0.25">
      <c r="A799" s="55" t="s">
        <v>5188</v>
      </c>
      <c r="B799" s="55" t="s">
        <v>8614</v>
      </c>
      <c r="C799" s="55" t="s">
        <v>8269</v>
      </c>
      <c r="D799" s="55" t="s">
        <v>8270</v>
      </c>
      <c r="E799" s="55" t="s">
        <v>8271</v>
      </c>
      <c r="F799" s="55" t="s">
        <v>8272</v>
      </c>
      <c r="G799" s="55" t="s">
        <v>5363</v>
      </c>
      <c r="H799" s="55" t="s">
        <v>5364</v>
      </c>
      <c r="I799" s="55" t="s">
        <v>8273</v>
      </c>
      <c r="J799" s="55" t="s">
        <v>5189</v>
      </c>
      <c r="K799" s="55" t="s">
        <v>8274</v>
      </c>
      <c r="L799" s="55" t="s">
        <v>8275</v>
      </c>
      <c r="M799" s="55" t="s">
        <v>965</v>
      </c>
      <c r="N799" s="55" t="s">
        <v>5192</v>
      </c>
      <c r="O799" s="55" t="s">
        <v>5191</v>
      </c>
    </row>
    <row r="800" spans="1:15" ht="15.75" x14ac:dyDescent="0.25">
      <c r="A800" s="55" t="s">
        <v>5188</v>
      </c>
      <c r="B800" s="55" t="s">
        <v>8615</v>
      </c>
      <c r="C800" s="55" t="s">
        <v>8278</v>
      </c>
      <c r="D800" s="55" t="s">
        <v>8279</v>
      </c>
      <c r="E800" s="55" t="s">
        <v>8280</v>
      </c>
      <c r="F800" s="55" t="s">
        <v>8281</v>
      </c>
      <c r="G800" s="55" t="s">
        <v>8282</v>
      </c>
      <c r="H800" s="55" t="s">
        <v>8283</v>
      </c>
      <c r="I800" s="55" t="s">
        <v>8284</v>
      </c>
      <c r="J800" s="55" t="s">
        <v>5189</v>
      </c>
      <c r="K800" s="55" t="s">
        <v>8285</v>
      </c>
      <c r="L800" s="55" t="s">
        <v>8286</v>
      </c>
      <c r="M800" s="55" t="s">
        <v>3551</v>
      </c>
      <c r="N800" s="55" t="s">
        <v>5192</v>
      </c>
      <c r="O800" s="55" t="s">
        <v>5191</v>
      </c>
    </row>
    <row r="801" spans="1:15" ht="15.75" x14ac:dyDescent="0.25">
      <c r="A801" s="55" t="s">
        <v>5188</v>
      </c>
      <c r="B801" s="55" t="s">
        <v>8616</v>
      </c>
      <c r="C801" s="55" t="s">
        <v>8290</v>
      </c>
      <c r="D801" s="55" t="s">
        <v>8291</v>
      </c>
      <c r="E801" s="55" t="s">
        <v>7333</v>
      </c>
      <c r="F801" s="55" t="s">
        <v>7334</v>
      </c>
      <c r="G801" s="55" t="s">
        <v>7152</v>
      </c>
      <c r="H801" s="55" t="s">
        <v>7153</v>
      </c>
      <c r="I801" s="55" t="s">
        <v>8292</v>
      </c>
      <c r="J801" s="55" t="s">
        <v>5189</v>
      </c>
      <c r="K801" s="55" t="s">
        <v>8293</v>
      </c>
      <c r="L801" s="55" t="s">
        <v>8294</v>
      </c>
      <c r="M801" s="55" t="s">
        <v>5058</v>
      </c>
      <c r="N801" s="55" t="s">
        <v>5192</v>
      </c>
      <c r="O801" s="55" t="s">
        <v>5191</v>
      </c>
    </row>
    <row r="802" spans="1:15" ht="15.75" x14ac:dyDescent="0.25">
      <c r="A802" s="55" t="s">
        <v>5188</v>
      </c>
      <c r="B802" s="55" t="s">
        <v>8617</v>
      </c>
      <c r="C802" s="55" t="s">
        <v>8296</v>
      </c>
      <c r="D802" s="55" t="s">
        <v>8297</v>
      </c>
      <c r="E802" s="55" t="s">
        <v>8298</v>
      </c>
      <c r="F802" s="55" t="s">
        <v>8299</v>
      </c>
      <c r="G802" s="55" t="s">
        <v>8300</v>
      </c>
      <c r="H802" s="55" t="s">
        <v>8301</v>
      </c>
      <c r="I802" s="55" t="s">
        <v>8618</v>
      </c>
      <c r="J802" s="55" t="s">
        <v>5189</v>
      </c>
      <c r="K802" s="55" t="s">
        <v>8303</v>
      </c>
      <c r="L802" s="55" t="s">
        <v>8304</v>
      </c>
      <c r="M802" s="55" t="s">
        <v>3551</v>
      </c>
      <c r="N802" s="55" t="s">
        <v>5192</v>
      </c>
      <c r="O802" s="55" t="s">
        <v>5191</v>
      </c>
    </row>
    <row r="803" spans="1:15" ht="15.75" x14ac:dyDescent="0.25">
      <c r="A803" s="55" t="s">
        <v>5188</v>
      </c>
      <c r="B803" s="55" t="s">
        <v>8619</v>
      </c>
      <c r="C803" s="55" t="s">
        <v>8620</v>
      </c>
      <c r="D803" s="55" t="s">
        <v>8297</v>
      </c>
      <c r="E803" s="55" t="s">
        <v>8298</v>
      </c>
      <c r="F803" s="55" t="s">
        <v>8299</v>
      </c>
      <c r="G803" s="55" t="s">
        <v>8300</v>
      </c>
      <c r="H803" s="55" t="s">
        <v>8301</v>
      </c>
      <c r="I803" s="55" t="s">
        <v>8621</v>
      </c>
      <c r="J803" s="55" t="s">
        <v>5189</v>
      </c>
      <c r="K803" s="55" t="s">
        <v>8622</v>
      </c>
      <c r="L803" s="55" t="s">
        <v>8623</v>
      </c>
      <c r="M803" s="55" t="s">
        <v>3551</v>
      </c>
      <c r="N803" s="55" t="s">
        <v>5192</v>
      </c>
      <c r="O803" s="55" t="s">
        <v>5191</v>
      </c>
    </row>
    <row r="804" spans="1:15" ht="15.75" x14ac:dyDescent="0.25">
      <c r="A804" s="55" t="s">
        <v>5188</v>
      </c>
      <c r="B804" s="55" t="s">
        <v>8624</v>
      </c>
      <c r="C804" s="55" t="s">
        <v>8620</v>
      </c>
      <c r="D804" s="55" t="s">
        <v>8297</v>
      </c>
      <c r="E804" s="55" t="s">
        <v>8298</v>
      </c>
      <c r="F804" s="55" t="s">
        <v>8299</v>
      </c>
      <c r="G804" s="55" t="s">
        <v>8300</v>
      </c>
      <c r="H804" s="55" t="s">
        <v>8301</v>
      </c>
      <c r="I804" s="55" t="s">
        <v>8621</v>
      </c>
      <c r="J804" s="55" t="s">
        <v>5189</v>
      </c>
      <c r="K804" s="55" t="s">
        <v>8622</v>
      </c>
      <c r="L804" s="55" t="s">
        <v>8623</v>
      </c>
      <c r="M804" s="55" t="s">
        <v>4501</v>
      </c>
      <c r="N804" s="55" t="s">
        <v>5192</v>
      </c>
      <c r="O804" s="55" t="s">
        <v>5191</v>
      </c>
    </row>
    <row r="805" spans="1:15" ht="15.75" x14ac:dyDescent="0.25">
      <c r="A805" s="55" t="s">
        <v>5188</v>
      </c>
      <c r="B805" s="55" t="s">
        <v>8625</v>
      </c>
      <c r="C805" s="55" t="s">
        <v>8626</v>
      </c>
      <c r="D805" s="55" t="s">
        <v>8297</v>
      </c>
      <c r="E805" s="55" t="s">
        <v>8298</v>
      </c>
      <c r="F805" s="55" t="s">
        <v>8299</v>
      </c>
      <c r="G805" s="55" t="s">
        <v>8300</v>
      </c>
      <c r="H805" s="55" t="s">
        <v>8301</v>
      </c>
      <c r="I805" s="55" t="s">
        <v>8627</v>
      </c>
      <c r="J805" s="55" t="s">
        <v>5189</v>
      </c>
      <c r="K805" s="55" t="s">
        <v>8628</v>
      </c>
      <c r="L805" s="55" t="s">
        <v>8629</v>
      </c>
      <c r="M805" s="55" t="s">
        <v>3551</v>
      </c>
      <c r="N805" s="55" t="s">
        <v>5192</v>
      </c>
      <c r="O805" s="55" t="s">
        <v>5191</v>
      </c>
    </row>
    <row r="806" spans="1:15" ht="15.75" x14ac:dyDescent="0.25">
      <c r="A806" s="55" t="s">
        <v>5188</v>
      </c>
      <c r="B806" s="55" t="s">
        <v>8630</v>
      </c>
      <c r="C806" s="55" t="s">
        <v>8626</v>
      </c>
      <c r="D806" s="55" t="s">
        <v>8297</v>
      </c>
      <c r="E806" s="55" t="s">
        <v>8298</v>
      </c>
      <c r="F806" s="55" t="s">
        <v>8299</v>
      </c>
      <c r="G806" s="55" t="s">
        <v>8300</v>
      </c>
      <c r="H806" s="55" t="s">
        <v>8301</v>
      </c>
      <c r="I806" s="55" t="s">
        <v>8627</v>
      </c>
      <c r="J806" s="55" t="s">
        <v>5189</v>
      </c>
      <c r="K806" s="55" t="s">
        <v>8628</v>
      </c>
      <c r="L806" s="55" t="s">
        <v>8629</v>
      </c>
      <c r="M806" s="55" t="s">
        <v>4501</v>
      </c>
      <c r="N806" s="55" t="s">
        <v>5192</v>
      </c>
      <c r="O806" s="55" t="s">
        <v>5191</v>
      </c>
    </row>
    <row r="807" spans="1:15" ht="15.75" x14ac:dyDescent="0.25">
      <c r="A807" s="55" t="s">
        <v>5188</v>
      </c>
      <c r="B807" s="55" t="s">
        <v>8631</v>
      </c>
      <c r="C807" s="55" t="s">
        <v>8312</v>
      </c>
      <c r="D807" s="55" t="s">
        <v>8297</v>
      </c>
      <c r="E807" s="55" t="s">
        <v>8298</v>
      </c>
      <c r="F807" s="55" t="s">
        <v>8299</v>
      </c>
      <c r="G807" s="55" t="s">
        <v>8300</v>
      </c>
      <c r="H807" s="55" t="s">
        <v>8301</v>
      </c>
      <c r="I807" s="55" t="s">
        <v>8313</v>
      </c>
      <c r="J807" s="55" t="s">
        <v>5189</v>
      </c>
      <c r="K807" s="55" t="s">
        <v>8314</v>
      </c>
      <c r="L807" s="55" t="s">
        <v>8315</v>
      </c>
      <c r="M807" s="55" t="s">
        <v>3551</v>
      </c>
      <c r="N807" s="55" t="s">
        <v>5192</v>
      </c>
      <c r="O807" s="55" t="s">
        <v>5191</v>
      </c>
    </row>
    <row r="808" spans="1:15" ht="15.75" x14ac:dyDescent="0.25">
      <c r="A808" s="55" t="s">
        <v>5188</v>
      </c>
      <c r="B808" s="55" t="s">
        <v>8632</v>
      </c>
      <c r="C808" s="55" t="s">
        <v>8317</v>
      </c>
      <c r="D808" s="55" t="s">
        <v>8297</v>
      </c>
      <c r="E808" s="55" t="s">
        <v>8298</v>
      </c>
      <c r="F808" s="55" t="s">
        <v>8299</v>
      </c>
      <c r="G808" s="55" t="s">
        <v>8300</v>
      </c>
      <c r="H808" s="55" t="s">
        <v>8301</v>
      </c>
      <c r="I808" s="55" t="s">
        <v>8318</v>
      </c>
      <c r="J808" s="55" t="s">
        <v>5189</v>
      </c>
      <c r="K808" s="55" t="s">
        <v>8319</v>
      </c>
      <c r="L808" s="55" t="s">
        <v>8320</v>
      </c>
      <c r="M808" s="55" t="s">
        <v>3551</v>
      </c>
      <c r="N808" s="55" t="s">
        <v>5192</v>
      </c>
      <c r="O808" s="55" t="s">
        <v>5191</v>
      </c>
    </row>
    <row r="809" spans="1:15" ht="15.75" x14ac:dyDescent="0.25">
      <c r="A809" s="55" t="s">
        <v>5188</v>
      </c>
      <c r="B809" s="55" t="s">
        <v>8633</v>
      </c>
      <c r="C809" s="55" t="s">
        <v>8634</v>
      </c>
      <c r="D809" s="55" t="s">
        <v>8297</v>
      </c>
      <c r="E809" s="55" t="s">
        <v>8298</v>
      </c>
      <c r="F809" s="55" t="s">
        <v>8299</v>
      </c>
      <c r="G809" s="55" t="s">
        <v>8300</v>
      </c>
      <c r="H809" s="55" t="s">
        <v>8301</v>
      </c>
      <c r="I809" s="55" t="s">
        <v>8635</v>
      </c>
      <c r="J809" s="55" t="s">
        <v>5189</v>
      </c>
      <c r="K809" s="55" t="s">
        <v>8636</v>
      </c>
      <c r="L809" s="55" t="s">
        <v>8637</v>
      </c>
      <c r="M809" s="55" t="s">
        <v>4501</v>
      </c>
      <c r="N809" s="55" t="s">
        <v>5192</v>
      </c>
      <c r="O809" s="55" t="s">
        <v>5191</v>
      </c>
    </row>
    <row r="810" spans="1:15" ht="15.75" x14ac:dyDescent="0.25">
      <c r="A810" s="55" t="s">
        <v>5188</v>
      </c>
      <c r="B810" s="55" t="s">
        <v>8638</v>
      </c>
      <c r="C810" s="55" t="s">
        <v>8332</v>
      </c>
      <c r="D810" s="55" t="s">
        <v>8333</v>
      </c>
      <c r="E810" s="55" t="s">
        <v>5312</v>
      </c>
      <c r="F810" s="55" t="s">
        <v>5313</v>
      </c>
      <c r="G810" s="55" t="s">
        <v>5229</v>
      </c>
      <c r="H810" s="55" t="s">
        <v>5230</v>
      </c>
      <c r="I810" s="55" t="s">
        <v>8334</v>
      </c>
      <c r="J810" s="55" t="s">
        <v>5189</v>
      </c>
      <c r="K810" s="55" t="s">
        <v>8335</v>
      </c>
      <c r="L810" s="55" t="s">
        <v>8336</v>
      </c>
      <c r="M810" s="55" t="s">
        <v>4547</v>
      </c>
      <c r="N810" s="55" t="s">
        <v>5192</v>
      </c>
      <c r="O810" s="55" t="s">
        <v>5191</v>
      </c>
    </row>
    <row r="811" spans="1:15" ht="15.75" x14ac:dyDescent="0.25">
      <c r="A811" s="55" t="s">
        <v>5188</v>
      </c>
      <c r="B811" s="55" t="s">
        <v>8639</v>
      </c>
      <c r="C811" s="55" t="s">
        <v>8640</v>
      </c>
      <c r="D811" s="55" t="s">
        <v>8641</v>
      </c>
      <c r="E811" s="55" t="s">
        <v>8642</v>
      </c>
      <c r="F811" s="55" t="s">
        <v>8643</v>
      </c>
      <c r="G811" s="55" t="s">
        <v>7034</v>
      </c>
      <c r="H811" s="55" t="s">
        <v>7035</v>
      </c>
      <c r="I811" s="55" t="s">
        <v>8174</v>
      </c>
      <c r="J811" s="55" t="s">
        <v>5189</v>
      </c>
      <c r="K811" s="55" t="s">
        <v>8644</v>
      </c>
      <c r="L811" s="55" t="s">
        <v>8645</v>
      </c>
      <c r="M811" s="55" t="s">
        <v>5232</v>
      </c>
      <c r="N811" s="55" t="s">
        <v>5192</v>
      </c>
      <c r="O811" s="55" t="s">
        <v>5191</v>
      </c>
    </row>
    <row r="812" spans="1:15" ht="15.75" x14ac:dyDescent="0.25">
      <c r="A812" s="55" t="s">
        <v>5188</v>
      </c>
      <c r="B812" s="55" t="s">
        <v>8646</v>
      </c>
      <c r="C812" s="55" t="s">
        <v>8640</v>
      </c>
      <c r="D812" s="55" t="s">
        <v>8641</v>
      </c>
      <c r="E812" s="55" t="s">
        <v>8642</v>
      </c>
      <c r="F812" s="55" t="s">
        <v>8643</v>
      </c>
      <c r="G812" s="55" t="s">
        <v>7034</v>
      </c>
      <c r="H812" s="55" t="s">
        <v>7035</v>
      </c>
      <c r="I812" s="55" t="s">
        <v>8174</v>
      </c>
      <c r="J812" s="55" t="s">
        <v>5189</v>
      </c>
      <c r="K812" s="55" t="s">
        <v>8644</v>
      </c>
      <c r="L812" s="55" t="s">
        <v>8645</v>
      </c>
      <c r="M812" s="55" t="s">
        <v>3551</v>
      </c>
      <c r="N812" s="55" t="s">
        <v>5192</v>
      </c>
      <c r="O812" s="55" t="s">
        <v>5191</v>
      </c>
    </row>
    <row r="813" spans="1:15" ht="15.75" x14ac:dyDescent="0.25">
      <c r="A813" s="55" t="s">
        <v>5188</v>
      </c>
      <c r="B813" s="55" t="s">
        <v>8647</v>
      </c>
      <c r="C813" s="55" t="s">
        <v>8360</v>
      </c>
      <c r="D813" s="55" t="s">
        <v>8361</v>
      </c>
      <c r="E813" s="55" t="s">
        <v>8362</v>
      </c>
      <c r="F813" s="55" t="s">
        <v>8363</v>
      </c>
      <c r="G813" s="55" t="s">
        <v>5244</v>
      </c>
      <c r="H813" s="55" t="s">
        <v>5245</v>
      </c>
      <c r="I813" s="55" t="s">
        <v>8364</v>
      </c>
      <c r="J813" s="55" t="s">
        <v>5189</v>
      </c>
      <c r="K813" s="55" t="s">
        <v>8365</v>
      </c>
      <c r="L813" s="55" t="s">
        <v>8366</v>
      </c>
      <c r="M813" s="55" t="s">
        <v>4503</v>
      </c>
      <c r="N813" s="55" t="s">
        <v>5192</v>
      </c>
      <c r="O813" s="55" t="s">
        <v>5191</v>
      </c>
    </row>
    <row r="814" spans="1:15" ht="15.75" x14ac:dyDescent="0.25">
      <c r="A814" s="55" t="s">
        <v>5188</v>
      </c>
      <c r="B814" s="55" t="s">
        <v>8648</v>
      </c>
      <c r="C814" s="55" t="s">
        <v>8389</v>
      </c>
      <c r="D814" s="55" t="s">
        <v>8390</v>
      </c>
      <c r="E814" s="55" t="s">
        <v>8391</v>
      </c>
      <c r="F814" s="55" t="s">
        <v>8392</v>
      </c>
      <c r="G814" s="55" t="s">
        <v>8393</v>
      </c>
      <c r="H814" s="55" t="s">
        <v>8394</v>
      </c>
      <c r="I814" s="55" t="s">
        <v>8395</v>
      </c>
      <c r="J814" s="55" t="s">
        <v>5189</v>
      </c>
      <c r="K814" s="55" t="s">
        <v>8396</v>
      </c>
      <c r="L814" s="55" t="s">
        <v>8397</v>
      </c>
      <c r="M814" s="55" t="s">
        <v>4340</v>
      </c>
      <c r="N814" s="55" t="s">
        <v>5192</v>
      </c>
      <c r="O814" s="55" t="s">
        <v>5191</v>
      </c>
    </row>
    <row r="815" spans="1:15" ht="15.75" x14ac:dyDescent="0.25">
      <c r="A815" s="55" t="s">
        <v>5188</v>
      </c>
      <c r="B815" s="55" t="s">
        <v>8649</v>
      </c>
      <c r="C815" s="55" t="s">
        <v>8389</v>
      </c>
      <c r="D815" s="55" t="s">
        <v>8390</v>
      </c>
      <c r="E815" s="55" t="s">
        <v>8391</v>
      </c>
      <c r="F815" s="55" t="s">
        <v>8392</v>
      </c>
      <c r="G815" s="55" t="s">
        <v>8393</v>
      </c>
      <c r="H815" s="55" t="s">
        <v>8394</v>
      </c>
      <c r="I815" s="55" t="s">
        <v>8395</v>
      </c>
      <c r="J815" s="55" t="s">
        <v>5189</v>
      </c>
      <c r="K815" s="55" t="s">
        <v>8396</v>
      </c>
      <c r="L815" s="55" t="s">
        <v>8397</v>
      </c>
      <c r="M815" s="55" t="s">
        <v>4322</v>
      </c>
      <c r="N815" s="55" t="s">
        <v>5192</v>
      </c>
      <c r="O815" s="55" t="s">
        <v>5191</v>
      </c>
    </row>
    <row r="816" spans="1:15" ht="15.75" x14ac:dyDescent="0.25">
      <c r="A816" s="55" t="s">
        <v>5188</v>
      </c>
      <c r="B816" s="55" t="s">
        <v>8650</v>
      </c>
      <c r="C816" s="55" t="s">
        <v>8399</v>
      </c>
      <c r="D816" s="55" t="s">
        <v>8400</v>
      </c>
      <c r="E816" s="55" t="s">
        <v>7845</v>
      </c>
      <c r="F816" s="55" t="s">
        <v>7846</v>
      </c>
      <c r="G816" s="55" t="s">
        <v>5222</v>
      </c>
      <c r="H816" s="55" t="s">
        <v>5223</v>
      </c>
      <c r="I816" s="55" t="s">
        <v>8401</v>
      </c>
      <c r="J816" s="55" t="s">
        <v>5189</v>
      </c>
      <c r="K816" s="55" t="s">
        <v>8402</v>
      </c>
      <c r="L816" s="55" t="s">
        <v>8403</v>
      </c>
      <c r="M816" s="55" t="s">
        <v>3411</v>
      </c>
      <c r="N816" s="55" t="s">
        <v>5192</v>
      </c>
      <c r="O816" s="55" t="s">
        <v>5191</v>
      </c>
    </row>
    <row r="817" spans="1:15" ht="15.75" x14ac:dyDescent="0.25">
      <c r="A817" s="55" t="s">
        <v>5188</v>
      </c>
      <c r="B817" s="55" t="s">
        <v>8651</v>
      </c>
      <c r="C817" s="55" t="s">
        <v>8652</v>
      </c>
      <c r="D817" s="55" t="s">
        <v>8653</v>
      </c>
      <c r="E817" s="55" t="s">
        <v>8654</v>
      </c>
      <c r="F817" s="55" t="s">
        <v>8655</v>
      </c>
      <c r="G817" s="55" t="s">
        <v>5363</v>
      </c>
      <c r="H817" s="55" t="s">
        <v>5364</v>
      </c>
      <c r="I817" s="55" t="s">
        <v>8656</v>
      </c>
      <c r="J817" s="55" t="s">
        <v>5189</v>
      </c>
      <c r="K817" s="55" t="s">
        <v>8657</v>
      </c>
      <c r="L817" s="55" t="s">
        <v>8658</v>
      </c>
      <c r="M817" s="55" t="s">
        <v>4752</v>
      </c>
      <c r="N817" s="55" t="s">
        <v>5192</v>
      </c>
      <c r="O817" s="55" t="s">
        <v>5191</v>
      </c>
    </row>
    <row r="818" spans="1:15" ht="15.75" x14ac:dyDescent="0.25">
      <c r="A818" s="55" t="s">
        <v>5188</v>
      </c>
      <c r="B818" s="55" t="s">
        <v>8659</v>
      </c>
      <c r="C818" s="55" t="s">
        <v>8652</v>
      </c>
      <c r="D818" s="55" t="s">
        <v>8653</v>
      </c>
      <c r="E818" s="55" t="s">
        <v>8654</v>
      </c>
      <c r="F818" s="55" t="s">
        <v>8655</v>
      </c>
      <c r="G818" s="55" t="s">
        <v>5363</v>
      </c>
      <c r="H818" s="55" t="s">
        <v>5364</v>
      </c>
      <c r="I818" s="55" t="s">
        <v>8656</v>
      </c>
      <c r="J818" s="55" t="s">
        <v>5189</v>
      </c>
      <c r="K818" s="55" t="s">
        <v>8657</v>
      </c>
      <c r="L818" s="55" t="s">
        <v>8658</v>
      </c>
      <c r="M818" s="55" t="s">
        <v>4758</v>
      </c>
      <c r="N818" s="55" t="s">
        <v>5192</v>
      </c>
      <c r="O818" s="55" t="s">
        <v>5191</v>
      </c>
    </row>
    <row r="819" spans="1:15" ht="15.75" x14ac:dyDescent="0.25">
      <c r="A819" s="55" t="s">
        <v>5188</v>
      </c>
      <c r="B819" s="55" t="s">
        <v>8660</v>
      </c>
      <c r="C819" s="55" t="s">
        <v>8408</v>
      </c>
      <c r="D819" s="55" t="s">
        <v>8409</v>
      </c>
      <c r="E819" s="55" t="s">
        <v>8410</v>
      </c>
      <c r="F819" s="55" t="s">
        <v>8411</v>
      </c>
      <c r="G819" s="55" t="s">
        <v>7006</v>
      </c>
      <c r="H819" s="55" t="s">
        <v>7007</v>
      </c>
      <c r="I819" s="55" t="s">
        <v>8412</v>
      </c>
      <c r="J819" s="55" t="s">
        <v>5189</v>
      </c>
      <c r="K819" s="55" t="s">
        <v>8413</v>
      </c>
      <c r="L819" s="55" t="s">
        <v>8414</v>
      </c>
      <c r="M819" s="55" t="s">
        <v>4503</v>
      </c>
      <c r="N819" s="55" t="s">
        <v>5192</v>
      </c>
      <c r="O819" s="55" t="s">
        <v>5191</v>
      </c>
    </row>
    <row r="820" spans="1:15" ht="15.75" x14ac:dyDescent="0.25">
      <c r="A820" s="55" t="s">
        <v>5188</v>
      </c>
      <c r="B820" s="55" t="s">
        <v>8661</v>
      </c>
      <c r="C820" s="55" t="s">
        <v>8416</v>
      </c>
      <c r="D820" s="55" t="s">
        <v>8417</v>
      </c>
      <c r="E820" s="55" t="s">
        <v>8280</v>
      </c>
      <c r="F820" s="55" t="s">
        <v>8281</v>
      </c>
      <c r="G820" s="55" t="s">
        <v>8282</v>
      </c>
      <c r="H820" s="55" t="s">
        <v>8283</v>
      </c>
      <c r="I820" s="55" t="s">
        <v>8418</v>
      </c>
      <c r="J820" s="55" t="s">
        <v>5189</v>
      </c>
      <c r="K820" s="55" t="s">
        <v>8419</v>
      </c>
      <c r="L820" s="55" t="s">
        <v>8420</v>
      </c>
      <c r="M820" s="55" t="s">
        <v>5232</v>
      </c>
      <c r="N820" s="55" t="s">
        <v>5192</v>
      </c>
      <c r="O820" s="55" t="s">
        <v>5191</v>
      </c>
    </row>
    <row r="821" spans="1:15" ht="15.75" x14ac:dyDescent="0.25">
      <c r="A821" s="55" t="s">
        <v>5188</v>
      </c>
      <c r="B821" s="55" t="s">
        <v>8662</v>
      </c>
      <c r="C821" s="55" t="s">
        <v>8663</v>
      </c>
      <c r="D821" s="55" t="s">
        <v>8664</v>
      </c>
      <c r="E821" s="55" t="s">
        <v>8665</v>
      </c>
      <c r="F821" s="55" t="s">
        <v>8666</v>
      </c>
      <c r="G821" s="55" t="s">
        <v>8667</v>
      </c>
      <c r="H821" s="55" t="s">
        <v>8668</v>
      </c>
      <c r="I821" s="55" t="s">
        <v>8669</v>
      </c>
      <c r="J821" s="55" t="s">
        <v>5189</v>
      </c>
      <c r="K821" s="55" t="s">
        <v>8670</v>
      </c>
      <c r="L821" s="55" t="s">
        <v>8671</v>
      </c>
      <c r="M821" s="55" t="s">
        <v>4569</v>
      </c>
      <c r="N821" s="55" t="s">
        <v>5192</v>
      </c>
      <c r="O821" s="55" t="s">
        <v>5191</v>
      </c>
    </row>
    <row r="822" spans="1:15" ht="15.75" x14ac:dyDescent="0.25">
      <c r="A822" s="55" t="s">
        <v>5188</v>
      </c>
      <c r="B822" s="55" t="s">
        <v>8672</v>
      </c>
      <c r="C822" s="55" t="s">
        <v>8673</v>
      </c>
      <c r="D822" s="55" t="s">
        <v>8674</v>
      </c>
      <c r="E822" s="55" t="s">
        <v>8675</v>
      </c>
      <c r="F822" s="55" t="s">
        <v>8676</v>
      </c>
      <c r="G822" s="55" t="s">
        <v>6910</v>
      </c>
      <c r="H822" s="55" t="s">
        <v>6911</v>
      </c>
      <c r="I822" s="55" t="s">
        <v>8677</v>
      </c>
      <c r="J822" s="55" t="s">
        <v>5189</v>
      </c>
      <c r="K822" s="55" t="s">
        <v>6382</v>
      </c>
      <c r="L822" s="55" t="s">
        <v>8678</v>
      </c>
      <c r="M822" s="55" t="s">
        <v>921</v>
      </c>
      <c r="N822" s="55" t="s">
        <v>5192</v>
      </c>
      <c r="O822" s="55" t="s">
        <v>5191</v>
      </c>
    </row>
    <row r="823" spans="1:15" ht="15.75" x14ac:dyDescent="0.25">
      <c r="A823" s="55" t="s">
        <v>5188</v>
      </c>
      <c r="B823" s="55" t="s">
        <v>8679</v>
      </c>
      <c r="C823" s="55" t="s">
        <v>8673</v>
      </c>
      <c r="D823" s="55" t="s">
        <v>8674</v>
      </c>
      <c r="E823" s="55" t="s">
        <v>8675</v>
      </c>
      <c r="F823" s="55" t="s">
        <v>8676</v>
      </c>
      <c r="G823" s="55" t="s">
        <v>6910</v>
      </c>
      <c r="H823" s="55" t="s">
        <v>6911</v>
      </c>
      <c r="I823" s="55" t="s">
        <v>8677</v>
      </c>
      <c r="J823" s="55" t="s">
        <v>5189</v>
      </c>
      <c r="K823" s="55" t="s">
        <v>6382</v>
      </c>
      <c r="L823" s="55" t="s">
        <v>8678</v>
      </c>
      <c r="M823" s="55" t="s">
        <v>4752</v>
      </c>
      <c r="N823" s="55" t="s">
        <v>5192</v>
      </c>
      <c r="O823" s="55" t="s">
        <v>5191</v>
      </c>
    </row>
    <row r="824" spans="1:15" ht="15.75" x14ac:dyDescent="0.25">
      <c r="A824" s="55" t="s">
        <v>5188</v>
      </c>
      <c r="B824" s="55" t="s">
        <v>8680</v>
      </c>
      <c r="C824" s="55" t="s">
        <v>8422</v>
      </c>
      <c r="D824" s="55" t="s">
        <v>8423</v>
      </c>
      <c r="E824" s="55" t="s">
        <v>7142</v>
      </c>
      <c r="F824" s="55" t="s">
        <v>7143</v>
      </c>
      <c r="G824" s="55" t="s">
        <v>7006</v>
      </c>
      <c r="H824" s="55" t="s">
        <v>7007</v>
      </c>
      <c r="I824" s="55" t="s">
        <v>8424</v>
      </c>
      <c r="J824" s="55" t="s">
        <v>5189</v>
      </c>
      <c r="K824" s="55" t="s">
        <v>8425</v>
      </c>
      <c r="L824" s="55" t="s">
        <v>8426</v>
      </c>
      <c r="M824" s="55" t="s">
        <v>4503</v>
      </c>
      <c r="N824" s="55" t="s">
        <v>5192</v>
      </c>
      <c r="O824" s="55" t="s">
        <v>5191</v>
      </c>
    </row>
    <row r="825" spans="1:15" ht="15.75" x14ac:dyDescent="0.25">
      <c r="A825" s="55" t="s">
        <v>5188</v>
      </c>
      <c r="B825" s="55" t="s">
        <v>8681</v>
      </c>
      <c r="C825" s="55" t="s">
        <v>8428</v>
      </c>
      <c r="D825" s="55" t="s">
        <v>8429</v>
      </c>
      <c r="E825" s="55" t="s">
        <v>8430</v>
      </c>
      <c r="F825" s="55" t="s">
        <v>8431</v>
      </c>
      <c r="G825" s="55" t="s">
        <v>7006</v>
      </c>
      <c r="H825" s="55" t="s">
        <v>7007</v>
      </c>
      <c r="I825" s="55" t="s">
        <v>8432</v>
      </c>
      <c r="J825" s="55" t="s">
        <v>5189</v>
      </c>
      <c r="K825" s="55" t="s">
        <v>8433</v>
      </c>
      <c r="L825" s="55" t="s">
        <v>8434</v>
      </c>
      <c r="M825" s="55" t="s">
        <v>4573</v>
      </c>
      <c r="N825" s="55" t="s">
        <v>5192</v>
      </c>
      <c r="O825" s="55" t="s">
        <v>5191</v>
      </c>
    </row>
    <row r="826" spans="1:15" ht="15.75" x14ac:dyDescent="0.25">
      <c r="A826" s="55" t="s">
        <v>5188</v>
      </c>
      <c r="B826" s="55" t="s">
        <v>8682</v>
      </c>
      <c r="C826" s="55" t="s">
        <v>8436</v>
      </c>
      <c r="D826" s="55" t="s">
        <v>8437</v>
      </c>
      <c r="E826" s="55" t="s">
        <v>8438</v>
      </c>
      <c r="F826" s="55" t="s">
        <v>8439</v>
      </c>
      <c r="G826" s="55" t="s">
        <v>8440</v>
      </c>
      <c r="H826" s="55" t="s">
        <v>8441</v>
      </c>
      <c r="I826" s="55" t="s">
        <v>8442</v>
      </c>
      <c r="J826" s="55" t="s">
        <v>5189</v>
      </c>
      <c r="K826" s="55" t="s">
        <v>8443</v>
      </c>
      <c r="L826" s="55" t="s">
        <v>8444</v>
      </c>
      <c r="M826" s="55" t="s">
        <v>4503</v>
      </c>
      <c r="N826" s="55" t="s">
        <v>5192</v>
      </c>
      <c r="O826" s="55" t="s">
        <v>5191</v>
      </c>
    </row>
    <row r="827" spans="1:15" ht="15.75" x14ac:dyDescent="0.25">
      <c r="A827" s="55" t="s">
        <v>5188</v>
      </c>
      <c r="B827" s="55" t="s">
        <v>8683</v>
      </c>
      <c r="C827" s="55" t="s">
        <v>8458</v>
      </c>
      <c r="D827" s="55" t="s">
        <v>8459</v>
      </c>
      <c r="E827" s="55" t="s">
        <v>8460</v>
      </c>
      <c r="F827" s="55" t="s">
        <v>8461</v>
      </c>
      <c r="G827" s="55" t="s">
        <v>8462</v>
      </c>
      <c r="H827" s="55" t="s">
        <v>8463</v>
      </c>
      <c r="I827" s="55" t="s">
        <v>8464</v>
      </c>
      <c r="J827" s="55" t="s">
        <v>5189</v>
      </c>
      <c r="K827" s="55" t="s">
        <v>8465</v>
      </c>
      <c r="L827" s="55" t="s">
        <v>8466</v>
      </c>
      <c r="M827" s="55" t="s">
        <v>1451</v>
      </c>
      <c r="N827" s="55" t="s">
        <v>5192</v>
      </c>
      <c r="O827" s="55" t="s">
        <v>5191</v>
      </c>
    </row>
    <row r="828" spans="1:15" ht="15.75" x14ac:dyDescent="0.25">
      <c r="A828" s="55" t="s">
        <v>5188</v>
      </c>
      <c r="B828" s="55" t="s">
        <v>8684</v>
      </c>
      <c r="C828" s="55" t="s">
        <v>8458</v>
      </c>
      <c r="D828" s="55" t="s">
        <v>8459</v>
      </c>
      <c r="E828" s="55" t="s">
        <v>8460</v>
      </c>
      <c r="F828" s="55" t="s">
        <v>8461</v>
      </c>
      <c r="G828" s="55" t="s">
        <v>8462</v>
      </c>
      <c r="H828" s="55" t="s">
        <v>8463</v>
      </c>
      <c r="I828" s="55" t="s">
        <v>8464</v>
      </c>
      <c r="J828" s="55" t="s">
        <v>5189</v>
      </c>
      <c r="K828" s="55" t="s">
        <v>8465</v>
      </c>
      <c r="L828" s="55" t="s">
        <v>8466</v>
      </c>
      <c r="M828" s="55" t="s">
        <v>4858</v>
      </c>
      <c r="N828" s="55" t="s">
        <v>5192</v>
      </c>
      <c r="O828" s="55" t="s">
        <v>5191</v>
      </c>
    </row>
    <row r="829" spans="1:15" ht="15.75" x14ac:dyDescent="0.25">
      <c r="A829" s="55" t="s">
        <v>5188</v>
      </c>
      <c r="B829" s="55" t="s">
        <v>8685</v>
      </c>
      <c r="C829" s="55" t="s">
        <v>8686</v>
      </c>
      <c r="D829" s="55" t="s">
        <v>8687</v>
      </c>
      <c r="E829" s="55" t="s">
        <v>5965</v>
      </c>
      <c r="F829" s="55" t="s">
        <v>5966</v>
      </c>
      <c r="G829" s="55" t="s">
        <v>5667</v>
      </c>
      <c r="H829" s="55" t="s">
        <v>5668</v>
      </c>
      <c r="I829" s="55" t="s">
        <v>8688</v>
      </c>
      <c r="J829" s="55" t="s">
        <v>5189</v>
      </c>
      <c r="K829" s="55" t="s">
        <v>8689</v>
      </c>
      <c r="L829" s="55" t="s">
        <v>8690</v>
      </c>
      <c r="M829" s="55" t="s">
        <v>2549</v>
      </c>
      <c r="N829" s="55" t="s">
        <v>5192</v>
      </c>
      <c r="O829" s="55" t="s">
        <v>5191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O1704"/>
  <sheetViews>
    <sheetView zoomScale="115" zoomScaleNormal="115" workbookViewId="0">
      <selection activeCell="B2" sqref="B2"/>
    </sheetView>
  </sheetViews>
  <sheetFormatPr baseColWidth="10" defaultColWidth="12.5703125" defaultRowHeight="14.25" x14ac:dyDescent="0.2"/>
  <cols>
    <col min="1" max="1" width="15.28515625" style="3" customWidth="1"/>
    <col min="2" max="2" width="41.7109375" style="34" customWidth="1"/>
    <col min="3" max="3" width="9.5703125" style="3" customWidth="1"/>
    <col min="4" max="11" width="5.28515625" style="24" customWidth="1"/>
    <col min="12" max="12" width="13.42578125" style="3" customWidth="1"/>
    <col min="13" max="13" width="44.7109375" style="3" customWidth="1"/>
    <col min="14" max="14" width="10.42578125" style="3" customWidth="1"/>
    <col min="15" max="15" width="13.28515625" style="3" customWidth="1"/>
    <col min="16" max="16384" width="12.5703125" style="3"/>
  </cols>
  <sheetData>
    <row r="1" spans="1:15" ht="16.5" thickBot="1" x14ac:dyDescent="0.25">
      <c r="A1" s="127" t="s">
        <v>13</v>
      </c>
      <c r="B1" s="128"/>
      <c r="C1" s="129"/>
      <c r="D1" s="1"/>
      <c r="E1" s="1"/>
      <c r="F1" s="1"/>
      <c r="G1" s="1"/>
      <c r="H1" s="1"/>
      <c r="I1" s="1"/>
      <c r="J1" s="1"/>
      <c r="K1" s="1"/>
      <c r="L1" s="130" t="s">
        <v>14</v>
      </c>
      <c r="M1" s="131"/>
      <c r="N1" s="132"/>
      <c r="O1" s="2"/>
    </row>
    <row r="2" spans="1:15" ht="15" thickBot="1" x14ac:dyDescent="0.25">
      <c r="A2" s="4" t="s">
        <v>9</v>
      </c>
      <c r="B2" s="5" t="s">
        <v>15</v>
      </c>
      <c r="C2" s="6" t="s">
        <v>12</v>
      </c>
      <c r="D2" s="7"/>
      <c r="E2" s="8" t="s">
        <v>1</v>
      </c>
      <c r="F2" s="9" t="s">
        <v>2</v>
      </c>
      <c r="G2" s="10" t="s">
        <v>16</v>
      </c>
      <c r="H2" s="11"/>
      <c r="I2" s="11"/>
      <c r="J2" s="1"/>
      <c r="K2" s="1"/>
      <c r="L2" s="12" t="s">
        <v>9</v>
      </c>
      <c r="M2" s="13" t="s">
        <v>15</v>
      </c>
      <c r="N2" s="14" t="s">
        <v>12</v>
      </c>
      <c r="O2" s="15" t="s">
        <v>17</v>
      </c>
    </row>
    <row r="3" spans="1:15" x14ac:dyDescent="0.2">
      <c r="A3" s="16" t="s">
        <v>18</v>
      </c>
      <c r="B3" s="16" t="s">
        <v>19</v>
      </c>
      <c r="C3" s="16">
        <v>16</v>
      </c>
      <c r="D3" s="1"/>
      <c r="E3" s="1">
        <v>2150</v>
      </c>
      <c r="F3" s="1">
        <v>2400</v>
      </c>
      <c r="G3" s="1">
        <v>53</v>
      </c>
      <c r="H3" s="1"/>
      <c r="I3" s="1"/>
      <c r="J3" s="1"/>
      <c r="K3" s="1"/>
      <c r="L3" s="16" t="s">
        <v>20</v>
      </c>
      <c r="M3" s="16" t="s">
        <v>21</v>
      </c>
      <c r="N3" s="16">
        <v>41</v>
      </c>
      <c r="O3" s="15" t="s">
        <v>22</v>
      </c>
    </row>
    <row r="4" spans="1:15" x14ac:dyDescent="0.2">
      <c r="A4" s="17" t="s">
        <v>23</v>
      </c>
      <c r="B4" s="17" t="s">
        <v>24</v>
      </c>
      <c r="C4" s="17">
        <v>6</v>
      </c>
      <c r="D4" s="1"/>
      <c r="E4" s="1">
        <v>2150</v>
      </c>
      <c r="F4" s="1">
        <v>2440</v>
      </c>
      <c r="G4" s="1">
        <v>23</v>
      </c>
      <c r="H4" s="1"/>
      <c r="I4" s="18"/>
      <c r="J4" s="1"/>
      <c r="K4" s="1"/>
      <c r="L4" s="19" t="s">
        <v>25</v>
      </c>
      <c r="M4" s="17" t="s">
        <v>26</v>
      </c>
      <c r="N4" s="17">
        <v>41</v>
      </c>
      <c r="O4" s="15" t="s">
        <v>22</v>
      </c>
    </row>
    <row r="5" spans="1:15" x14ac:dyDescent="0.2">
      <c r="A5" s="17" t="s">
        <v>27</v>
      </c>
      <c r="B5" s="17" t="s">
        <v>28</v>
      </c>
      <c r="C5" s="17">
        <v>25</v>
      </c>
      <c r="D5" s="1"/>
      <c r="E5" s="1">
        <v>1220</v>
      </c>
      <c r="F5" s="1">
        <v>2440</v>
      </c>
      <c r="G5" s="1">
        <v>47</v>
      </c>
      <c r="H5" s="1"/>
      <c r="I5" s="18"/>
      <c r="J5" s="1"/>
      <c r="K5" s="1"/>
      <c r="L5" s="17" t="s">
        <v>29</v>
      </c>
      <c r="M5" s="17" t="s">
        <v>30</v>
      </c>
      <c r="N5" s="17">
        <v>19</v>
      </c>
      <c r="O5" s="15" t="s">
        <v>31</v>
      </c>
    </row>
    <row r="6" spans="1:15" x14ac:dyDescent="0.2">
      <c r="A6" s="17" t="s">
        <v>32</v>
      </c>
      <c r="B6" s="17" t="s">
        <v>33</v>
      </c>
      <c r="C6" s="17">
        <v>18</v>
      </c>
      <c r="D6" s="1"/>
      <c r="E6" s="1">
        <v>1220</v>
      </c>
      <c r="F6" s="1">
        <v>2440</v>
      </c>
      <c r="G6" s="1">
        <v>35</v>
      </c>
      <c r="H6" s="1"/>
      <c r="I6" s="18"/>
      <c r="J6" s="1"/>
      <c r="K6" s="1"/>
      <c r="L6" s="17" t="s">
        <v>34</v>
      </c>
      <c r="M6" s="17" t="s">
        <v>35</v>
      </c>
      <c r="N6" s="17">
        <v>15</v>
      </c>
      <c r="O6" s="15" t="s">
        <v>36</v>
      </c>
    </row>
    <row r="7" spans="1:15" x14ac:dyDescent="0.2">
      <c r="A7" s="17" t="s">
        <v>37</v>
      </c>
      <c r="B7" s="17" t="s">
        <v>38</v>
      </c>
      <c r="C7" s="17">
        <v>30</v>
      </c>
      <c r="D7" s="1"/>
      <c r="E7" s="1">
        <v>1220</v>
      </c>
      <c r="F7" s="1">
        <v>2440</v>
      </c>
      <c r="G7" s="1">
        <v>55</v>
      </c>
      <c r="H7" s="1"/>
      <c r="I7" s="18"/>
      <c r="J7" s="1"/>
      <c r="K7" s="1"/>
      <c r="L7" s="19" t="s">
        <v>39</v>
      </c>
      <c r="M7" s="17" t="s">
        <v>40</v>
      </c>
      <c r="N7" s="17">
        <v>41</v>
      </c>
      <c r="O7" s="15" t="s">
        <v>22</v>
      </c>
    </row>
    <row r="8" spans="1:15" x14ac:dyDescent="0.2">
      <c r="A8" s="17" t="s">
        <v>41</v>
      </c>
      <c r="B8" s="17" t="s">
        <v>42</v>
      </c>
      <c r="C8" s="17">
        <v>36</v>
      </c>
      <c r="D8" s="1"/>
      <c r="E8" s="1">
        <v>1220</v>
      </c>
      <c r="F8" s="1">
        <v>2440</v>
      </c>
      <c r="G8" s="1">
        <v>66</v>
      </c>
      <c r="H8" s="1"/>
      <c r="I8" s="18"/>
      <c r="J8" s="1"/>
      <c r="K8" s="1"/>
      <c r="L8" s="17" t="s">
        <v>43</v>
      </c>
      <c r="M8" s="17" t="s">
        <v>44</v>
      </c>
      <c r="N8" s="17">
        <v>18</v>
      </c>
      <c r="O8" s="15" t="s">
        <v>36</v>
      </c>
    </row>
    <row r="9" spans="1:15" x14ac:dyDescent="0.2">
      <c r="A9" s="17" t="s">
        <v>45</v>
      </c>
      <c r="B9" s="17" t="s">
        <v>46</v>
      </c>
      <c r="C9" s="17">
        <v>6</v>
      </c>
      <c r="D9" s="1"/>
      <c r="E9" s="1">
        <v>1830</v>
      </c>
      <c r="F9" s="1">
        <v>2440</v>
      </c>
      <c r="G9" s="1">
        <v>23</v>
      </c>
      <c r="H9" s="1"/>
      <c r="I9" s="18"/>
      <c r="J9" s="1"/>
      <c r="K9" s="1"/>
      <c r="L9" s="17" t="s">
        <v>47</v>
      </c>
      <c r="M9" s="17" t="s">
        <v>48</v>
      </c>
      <c r="N9" s="17">
        <v>41</v>
      </c>
      <c r="O9" s="15" t="s">
        <v>22</v>
      </c>
    </row>
    <row r="10" spans="1:15" x14ac:dyDescent="0.2">
      <c r="A10" s="17" t="s">
        <v>49</v>
      </c>
      <c r="B10" s="17" t="s">
        <v>50</v>
      </c>
      <c r="C10" s="17">
        <v>18</v>
      </c>
      <c r="D10" s="1"/>
      <c r="E10" s="1">
        <v>2150</v>
      </c>
      <c r="F10" s="1">
        <v>2440</v>
      </c>
      <c r="G10" s="1">
        <v>61</v>
      </c>
      <c r="H10" s="1"/>
      <c r="I10" s="18"/>
      <c r="J10" s="1"/>
      <c r="K10" s="1"/>
      <c r="L10" s="17" t="s">
        <v>51</v>
      </c>
      <c r="M10" s="17" t="s">
        <v>52</v>
      </c>
      <c r="N10" s="17">
        <v>33</v>
      </c>
      <c r="O10" s="15" t="s">
        <v>22</v>
      </c>
    </row>
    <row r="11" spans="1:15" x14ac:dyDescent="0.2">
      <c r="A11" s="17" t="s">
        <v>53</v>
      </c>
      <c r="B11" s="17" t="s">
        <v>54</v>
      </c>
      <c r="C11" s="17">
        <v>4</v>
      </c>
      <c r="D11" s="1"/>
      <c r="E11" s="1">
        <v>2150</v>
      </c>
      <c r="F11" s="1">
        <v>2440</v>
      </c>
      <c r="G11" s="1">
        <v>16</v>
      </c>
      <c r="H11" s="11"/>
      <c r="I11" s="18"/>
      <c r="J11" s="1"/>
      <c r="K11" s="1"/>
      <c r="L11" s="17" t="s">
        <v>55</v>
      </c>
      <c r="M11" s="17" t="s">
        <v>56</v>
      </c>
      <c r="N11" s="17">
        <v>44</v>
      </c>
      <c r="O11" s="15" t="s">
        <v>22</v>
      </c>
    </row>
    <row r="12" spans="1:15" x14ac:dyDescent="0.2">
      <c r="A12" s="17" t="s">
        <v>57</v>
      </c>
      <c r="B12" s="17" t="s">
        <v>58</v>
      </c>
      <c r="C12" s="17">
        <v>6</v>
      </c>
      <c r="D12" s="1"/>
      <c r="E12" s="1">
        <v>2150</v>
      </c>
      <c r="F12" s="1">
        <v>2440</v>
      </c>
      <c r="G12" s="1">
        <v>23</v>
      </c>
      <c r="H12" s="1"/>
      <c r="I12" s="18"/>
      <c r="J12" s="1"/>
      <c r="K12" s="1"/>
      <c r="L12" s="17" t="s">
        <v>59</v>
      </c>
      <c r="M12" s="17" t="s">
        <v>60</v>
      </c>
      <c r="N12" s="17">
        <v>33</v>
      </c>
      <c r="O12" s="15" t="s">
        <v>31</v>
      </c>
    </row>
    <row r="13" spans="1:15" x14ac:dyDescent="0.2">
      <c r="A13" s="17" t="s">
        <v>61</v>
      </c>
      <c r="B13" s="17" t="s">
        <v>62</v>
      </c>
      <c r="C13" s="17">
        <v>9</v>
      </c>
      <c r="D13" s="1"/>
      <c r="E13" s="1">
        <v>2150</v>
      </c>
      <c r="F13" s="1">
        <v>2440</v>
      </c>
      <c r="G13" s="1">
        <v>33</v>
      </c>
      <c r="H13" s="1"/>
      <c r="I13" s="18"/>
      <c r="J13" s="1"/>
      <c r="K13" s="1"/>
      <c r="L13" s="17" t="s">
        <v>63</v>
      </c>
      <c r="M13" s="17" t="s">
        <v>64</v>
      </c>
      <c r="N13" s="17">
        <v>19</v>
      </c>
      <c r="O13" s="15" t="s">
        <v>22</v>
      </c>
    </row>
    <row r="14" spans="1:15" x14ac:dyDescent="0.2">
      <c r="A14" s="17" t="s">
        <v>65</v>
      </c>
      <c r="B14" s="17" t="s">
        <v>66</v>
      </c>
      <c r="C14" s="17">
        <v>4</v>
      </c>
      <c r="D14" s="1"/>
      <c r="E14" s="1">
        <v>1830</v>
      </c>
      <c r="F14" s="1">
        <v>2440</v>
      </c>
      <c r="G14" s="1">
        <v>15</v>
      </c>
      <c r="H14" s="1"/>
      <c r="I14" s="18"/>
      <c r="J14" s="1"/>
      <c r="K14" s="1"/>
      <c r="L14" s="17" t="s">
        <v>67</v>
      </c>
      <c r="M14" s="17" t="s">
        <v>68</v>
      </c>
      <c r="N14" s="17">
        <v>19</v>
      </c>
      <c r="O14" s="15" t="s">
        <v>31</v>
      </c>
    </row>
    <row r="15" spans="1:15" x14ac:dyDescent="0.2">
      <c r="A15" s="17" t="s">
        <v>69</v>
      </c>
      <c r="B15" s="17" t="s">
        <v>70</v>
      </c>
      <c r="C15" s="17">
        <v>12</v>
      </c>
      <c r="D15" s="1"/>
      <c r="E15" s="1">
        <v>2150</v>
      </c>
      <c r="F15" s="1">
        <v>2440</v>
      </c>
      <c r="G15" s="1">
        <v>41</v>
      </c>
      <c r="H15" s="1"/>
      <c r="I15" s="18"/>
      <c r="J15" s="1"/>
      <c r="K15" s="1"/>
      <c r="L15" s="17" t="s">
        <v>71</v>
      </c>
      <c r="M15" s="17" t="s">
        <v>72</v>
      </c>
      <c r="N15" s="17">
        <v>22</v>
      </c>
      <c r="O15" s="15" t="s">
        <v>22</v>
      </c>
    </row>
    <row r="16" spans="1:15" x14ac:dyDescent="0.2">
      <c r="A16" s="17" t="s">
        <v>73</v>
      </c>
      <c r="B16" s="17" t="s">
        <v>74</v>
      </c>
      <c r="C16" s="17">
        <v>15</v>
      </c>
      <c r="D16" s="1"/>
      <c r="E16" s="1">
        <v>2150</v>
      </c>
      <c r="F16" s="1">
        <v>2440</v>
      </c>
      <c r="G16" s="1">
        <v>52</v>
      </c>
      <c r="H16" s="1"/>
      <c r="I16" s="1"/>
      <c r="J16" s="1"/>
      <c r="K16" s="1"/>
      <c r="L16" s="17" t="s">
        <v>75</v>
      </c>
      <c r="M16" s="17" t="s">
        <v>76</v>
      </c>
      <c r="N16" s="17">
        <v>33</v>
      </c>
      <c r="O16" s="15" t="s">
        <v>22</v>
      </c>
    </row>
    <row r="17" spans="1:15" x14ac:dyDescent="0.2">
      <c r="A17" s="17" t="s">
        <v>77</v>
      </c>
      <c r="B17" s="17" t="s">
        <v>78</v>
      </c>
      <c r="C17" s="17">
        <v>18</v>
      </c>
      <c r="D17" s="1"/>
      <c r="E17" s="1">
        <v>2150</v>
      </c>
      <c r="F17" s="1">
        <v>2440</v>
      </c>
      <c r="G17" s="1">
        <v>61</v>
      </c>
      <c r="H17" s="1"/>
      <c r="I17" s="1"/>
      <c r="J17" s="1"/>
      <c r="K17" s="1"/>
      <c r="L17" s="17" t="s">
        <v>79</v>
      </c>
      <c r="M17" s="17" t="s">
        <v>80</v>
      </c>
      <c r="N17" s="17">
        <v>19</v>
      </c>
      <c r="O17" s="15" t="s">
        <v>22</v>
      </c>
    </row>
    <row r="18" spans="1:15" x14ac:dyDescent="0.2">
      <c r="A18" s="17" t="s">
        <v>81</v>
      </c>
      <c r="B18" s="17" t="s">
        <v>82</v>
      </c>
      <c r="C18" s="17">
        <v>25</v>
      </c>
      <c r="D18" s="1"/>
      <c r="E18" s="1">
        <v>2150</v>
      </c>
      <c r="F18" s="1">
        <v>2440</v>
      </c>
      <c r="G18" s="1">
        <v>83</v>
      </c>
      <c r="H18" s="1"/>
      <c r="I18" s="1"/>
      <c r="J18" s="1"/>
      <c r="K18" s="1"/>
      <c r="L18" s="17" t="s">
        <v>83</v>
      </c>
      <c r="M18" s="17" t="s">
        <v>84</v>
      </c>
      <c r="N18" s="17">
        <v>19</v>
      </c>
      <c r="O18" s="15" t="s">
        <v>22</v>
      </c>
    </row>
    <row r="19" spans="1:15" x14ac:dyDescent="0.2">
      <c r="A19" s="17" t="s">
        <v>85</v>
      </c>
      <c r="B19" s="17" t="s">
        <v>86</v>
      </c>
      <c r="C19" s="17">
        <v>30</v>
      </c>
      <c r="D19" s="1"/>
      <c r="E19" s="1">
        <v>2150</v>
      </c>
      <c r="F19" s="1">
        <v>2440</v>
      </c>
      <c r="G19" s="1">
        <v>97</v>
      </c>
      <c r="H19" s="1"/>
      <c r="I19" s="1"/>
      <c r="J19" s="1"/>
      <c r="K19" s="1"/>
      <c r="L19" s="17" t="s">
        <v>87</v>
      </c>
      <c r="M19" s="17" t="s">
        <v>88</v>
      </c>
      <c r="N19" s="17">
        <v>22</v>
      </c>
      <c r="O19" s="15" t="s">
        <v>22</v>
      </c>
    </row>
    <row r="20" spans="1:15" x14ac:dyDescent="0.2">
      <c r="A20" s="17" t="s">
        <v>89</v>
      </c>
      <c r="B20" s="17" t="s">
        <v>86</v>
      </c>
      <c r="C20" s="17">
        <v>30</v>
      </c>
      <c r="D20" s="1"/>
      <c r="E20" s="1">
        <v>2150</v>
      </c>
      <c r="F20" s="1">
        <v>2440</v>
      </c>
      <c r="G20" s="1">
        <v>97</v>
      </c>
      <c r="H20" s="1"/>
      <c r="I20" s="1"/>
      <c r="J20" s="1"/>
      <c r="K20" s="1"/>
      <c r="L20" s="17" t="s">
        <v>90</v>
      </c>
      <c r="M20" s="17" t="s">
        <v>91</v>
      </c>
      <c r="N20" s="17">
        <v>29</v>
      </c>
      <c r="O20" s="15" t="s">
        <v>22</v>
      </c>
    </row>
    <row r="21" spans="1:15" x14ac:dyDescent="0.2">
      <c r="A21" s="17" t="s">
        <v>92</v>
      </c>
      <c r="B21" s="17" t="s">
        <v>93</v>
      </c>
      <c r="C21" s="17">
        <v>9</v>
      </c>
      <c r="D21" s="1"/>
      <c r="E21" s="1">
        <v>1830</v>
      </c>
      <c r="F21" s="1">
        <v>2400</v>
      </c>
      <c r="G21" s="1">
        <v>28</v>
      </c>
      <c r="H21" s="1"/>
      <c r="I21" s="1"/>
      <c r="J21" s="1"/>
      <c r="K21" s="1"/>
      <c r="L21" s="17" t="s">
        <v>94</v>
      </c>
      <c r="M21" s="17" t="s">
        <v>95</v>
      </c>
      <c r="N21" s="17">
        <v>33</v>
      </c>
      <c r="O21" s="15" t="s">
        <v>22</v>
      </c>
    </row>
    <row r="22" spans="1:15" x14ac:dyDescent="0.2">
      <c r="A22" s="17" t="s">
        <v>96</v>
      </c>
      <c r="B22" s="17" t="s">
        <v>97</v>
      </c>
      <c r="C22" s="17">
        <v>15</v>
      </c>
      <c r="D22" s="1"/>
      <c r="E22" s="1">
        <v>2100</v>
      </c>
      <c r="F22" s="1">
        <v>2440</v>
      </c>
      <c r="G22" s="1">
        <v>50</v>
      </c>
      <c r="H22" s="1"/>
      <c r="I22" s="1"/>
      <c r="J22" s="1"/>
      <c r="K22" s="1"/>
      <c r="L22" s="17" t="s">
        <v>98</v>
      </c>
      <c r="M22" s="17" t="s">
        <v>99</v>
      </c>
      <c r="N22" s="17">
        <v>33</v>
      </c>
      <c r="O22" s="15" t="s">
        <v>22</v>
      </c>
    </row>
    <row r="23" spans="1:15" x14ac:dyDescent="0.2">
      <c r="A23" s="17" t="s">
        <v>100</v>
      </c>
      <c r="B23" s="17" t="s">
        <v>101</v>
      </c>
      <c r="C23" s="17">
        <v>4</v>
      </c>
      <c r="D23" s="1"/>
      <c r="E23" s="1">
        <v>1220</v>
      </c>
      <c r="F23" s="1">
        <v>2440</v>
      </c>
      <c r="G23" s="1">
        <v>9</v>
      </c>
      <c r="H23" s="1"/>
      <c r="I23" s="1"/>
      <c r="J23" s="1"/>
      <c r="K23" s="1"/>
      <c r="L23" s="17" t="s">
        <v>102</v>
      </c>
      <c r="M23" s="17" t="s">
        <v>103</v>
      </c>
      <c r="N23" s="17">
        <v>22</v>
      </c>
      <c r="O23" s="15" t="s">
        <v>31</v>
      </c>
    </row>
    <row r="24" spans="1:15" x14ac:dyDescent="0.2">
      <c r="A24" s="17" t="s">
        <v>104</v>
      </c>
      <c r="B24" s="17" t="s">
        <v>105</v>
      </c>
      <c r="C24" s="17">
        <v>9</v>
      </c>
      <c r="D24" s="1"/>
      <c r="E24" s="1">
        <v>1220</v>
      </c>
      <c r="F24" s="1">
        <v>2440</v>
      </c>
      <c r="G24" s="1">
        <v>19</v>
      </c>
      <c r="H24" s="1"/>
      <c r="I24" s="1"/>
      <c r="J24" s="1"/>
      <c r="K24" s="1"/>
      <c r="L24" s="17" t="s">
        <v>106</v>
      </c>
      <c r="M24" s="17" t="s">
        <v>107</v>
      </c>
      <c r="N24" s="17">
        <v>19</v>
      </c>
      <c r="O24" s="15" t="s">
        <v>31</v>
      </c>
    </row>
    <row r="25" spans="1:15" x14ac:dyDescent="0.2">
      <c r="A25" s="17" t="s">
        <v>108</v>
      </c>
      <c r="B25" s="17" t="s">
        <v>109</v>
      </c>
      <c r="C25" s="17">
        <v>12</v>
      </c>
      <c r="D25" s="1"/>
      <c r="E25" s="1">
        <v>1220</v>
      </c>
      <c r="F25" s="1">
        <v>2440</v>
      </c>
      <c r="G25" s="1">
        <v>24</v>
      </c>
      <c r="H25" s="1"/>
      <c r="I25" s="1"/>
      <c r="J25" s="1"/>
      <c r="K25" s="1"/>
      <c r="L25" s="17" t="s">
        <v>110</v>
      </c>
      <c r="M25" s="17" t="s">
        <v>111</v>
      </c>
      <c r="N25" s="17">
        <v>22</v>
      </c>
      <c r="O25" s="15" t="s">
        <v>31</v>
      </c>
    </row>
    <row r="26" spans="1:15" x14ac:dyDescent="0.2">
      <c r="A26" s="17" t="s">
        <v>112</v>
      </c>
      <c r="B26" s="17" t="s">
        <v>113</v>
      </c>
      <c r="C26" s="17">
        <v>15</v>
      </c>
      <c r="D26" s="1"/>
      <c r="E26" s="1">
        <v>1220</v>
      </c>
      <c r="F26" s="1">
        <v>2440</v>
      </c>
      <c r="G26" s="1">
        <v>29</v>
      </c>
      <c r="H26" s="1"/>
      <c r="I26" s="1"/>
      <c r="J26" s="1"/>
      <c r="K26" s="1"/>
      <c r="L26" s="17" t="s">
        <v>114</v>
      </c>
      <c r="M26" s="17" t="s">
        <v>115</v>
      </c>
      <c r="N26" s="17">
        <v>16</v>
      </c>
      <c r="O26" s="15" t="s">
        <v>31</v>
      </c>
    </row>
    <row r="27" spans="1:15" x14ac:dyDescent="0.2">
      <c r="A27" s="17" t="s">
        <v>116</v>
      </c>
      <c r="B27" s="17" t="s">
        <v>117</v>
      </c>
      <c r="C27" s="17">
        <v>18</v>
      </c>
      <c r="D27" s="1"/>
      <c r="E27" s="1">
        <v>1220</v>
      </c>
      <c r="F27" s="1">
        <v>2440</v>
      </c>
      <c r="G27" s="1">
        <v>35</v>
      </c>
      <c r="H27" s="1"/>
      <c r="I27" s="1"/>
      <c r="J27" s="1"/>
      <c r="K27" s="1"/>
      <c r="L27" s="17" t="s">
        <v>118</v>
      </c>
      <c r="M27" s="17" t="s">
        <v>119</v>
      </c>
      <c r="N27" s="17">
        <v>19</v>
      </c>
      <c r="O27" s="2" t="s">
        <v>31</v>
      </c>
    </row>
    <row r="28" spans="1:15" x14ac:dyDescent="0.2">
      <c r="A28" s="17" t="s">
        <v>120</v>
      </c>
      <c r="B28" s="17" t="s">
        <v>121</v>
      </c>
      <c r="C28" s="17">
        <v>25</v>
      </c>
      <c r="D28" s="1"/>
      <c r="E28" s="1">
        <v>1220</v>
      </c>
      <c r="F28" s="1">
        <v>2440</v>
      </c>
      <c r="G28" s="1">
        <v>47</v>
      </c>
      <c r="H28" s="1"/>
      <c r="I28" s="1"/>
      <c r="J28" s="1"/>
      <c r="K28" s="1"/>
      <c r="L28" s="17" t="s">
        <v>122</v>
      </c>
      <c r="M28" s="17" t="s">
        <v>123</v>
      </c>
      <c r="N28" s="17">
        <v>22</v>
      </c>
      <c r="O28" s="15" t="s">
        <v>31</v>
      </c>
    </row>
    <row r="29" spans="1:15" x14ac:dyDescent="0.2">
      <c r="A29" s="17" t="s">
        <v>124</v>
      </c>
      <c r="B29" s="17" t="s">
        <v>125</v>
      </c>
      <c r="C29" s="17">
        <v>18</v>
      </c>
      <c r="D29" s="1"/>
      <c r="E29" s="1">
        <v>1860</v>
      </c>
      <c r="F29" s="1">
        <v>2750</v>
      </c>
      <c r="G29" s="1">
        <v>58</v>
      </c>
      <c r="H29" s="1"/>
      <c r="I29" s="1"/>
      <c r="J29" s="1"/>
      <c r="K29" s="1"/>
      <c r="L29" s="17" t="s">
        <v>126</v>
      </c>
      <c r="M29" s="17" t="s">
        <v>127</v>
      </c>
      <c r="N29" s="17">
        <v>33</v>
      </c>
      <c r="O29" s="2"/>
    </row>
    <row r="30" spans="1:15" x14ac:dyDescent="0.2">
      <c r="A30" s="17" t="s">
        <v>128</v>
      </c>
      <c r="B30" s="17" t="s">
        <v>129</v>
      </c>
      <c r="C30" s="17">
        <v>15</v>
      </c>
      <c r="D30" s="1"/>
      <c r="E30" s="1">
        <v>2150</v>
      </c>
      <c r="F30" s="1">
        <v>2440</v>
      </c>
      <c r="G30" s="1">
        <v>53</v>
      </c>
      <c r="H30" s="1"/>
      <c r="I30" s="1"/>
      <c r="J30" s="1"/>
      <c r="K30" s="1"/>
      <c r="L30" s="17" t="s">
        <v>130</v>
      </c>
      <c r="M30" s="17" t="s">
        <v>131</v>
      </c>
      <c r="N30" s="17">
        <v>19</v>
      </c>
      <c r="O30" s="15" t="s">
        <v>31</v>
      </c>
    </row>
    <row r="31" spans="1:15" x14ac:dyDescent="0.2">
      <c r="A31" s="17" t="s">
        <v>132</v>
      </c>
      <c r="B31" s="17" t="s">
        <v>133</v>
      </c>
      <c r="C31" s="17">
        <v>30</v>
      </c>
      <c r="D31" s="1"/>
      <c r="E31" s="1">
        <v>1220</v>
      </c>
      <c r="F31" s="1">
        <v>2440</v>
      </c>
      <c r="G31" s="1">
        <v>55</v>
      </c>
      <c r="H31" s="1"/>
      <c r="I31" s="1"/>
      <c r="J31" s="1"/>
      <c r="K31" s="1"/>
      <c r="L31" s="17" t="s">
        <v>134</v>
      </c>
      <c r="M31" s="17" t="s">
        <v>135</v>
      </c>
      <c r="N31" s="17">
        <v>44</v>
      </c>
      <c r="O31" s="15" t="s">
        <v>22</v>
      </c>
    </row>
    <row r="32" spans="1:15" x14ac:dyDescent="0.2">
      <c r="A32" s="17" t="s">
        <v>136</v>
      </c>
      <c r="B32" s="17" t="s">
        <v>137</v>
      </c>
      <c r="C32" s="17">
        <v>15</v>
      </c>
      <c r="D32" s="1"/>
      <c r="E32" s="1">
        <v>2150</v>
      </c>
      <c r="F32" s="1">
        <v>2440</v>
      </c>
      <c r="G32" s="1">
        <v>52</v>
      </c>
      <c r="H32" s="1"/>
      <c r="I32" s="1"/>
      <c r="J32" s="1"/>
      <c r="K32" s="1"/>
      <c r="L32" s="17" t="s">
        <v>138</v>
      </c>
      <c r="M32" s="17" t="s">
        <v>139</v>
      </c>
      <c r="N32" s="17">
        <v>19</v>
      </c>
      <c r="O32" s="15" t="s">
        <v>31</v>
      </c>
    </row>
    <row r="33" spans="1:15" x14ac:dyDescent="0.2">
      <c r="A33" s="17" t="s">
        <v>140</v>
      </c>
      <c r="B33" s="17" t="s">
        <v>141</v>
      </c>
      <c r="C33" s="17">
        <v>18</v>
      </c>
      <c r="D33" s="1"/>
      <c r="E33" s="1">
        <v>2150</v>
      </c>
      <c r="F33" s="1">
        <v>2440</v>
      </c>
      <c r="G33" s="1">
        <v>61</v>
      </c>
      <c r="H33" s="1"/>
      <c r="I33" s="1"/>
      <c r="J33" s="1"/>
      <c r="K33" s="1"/>
      <c r="L33" s="17" t="s">
        <v>142</v>
      </c>
      <c r="M33" s="17" t="s">
        <v>143</v>
      </c>
      <c r="N33" s="17">
        <v>33</v>
      </c>
      <c r="O33" s="15" t="s">
        <v>22</v>
      </c>
    </row>
    <row r="34" spans="1:15" x14ac:dyDescent="0.2">
      <c r="A34" s="17" t="s">
        <v>144</v>
      </c>
      <c r="B34" s="17" t="s">
        <v>145</v>
      </c>
      <c r="C34" s="17">
        <v>18</v>
      </c>
      <c r="D34" s="1"/>
      <c r="E34" s="1">
        <v>1530</v>
      </c>
      <c r="F34" s="1">
        <v>2440</v>
      </c>
      <c r="G34" s="1">
        <v>43</v>
      </c>
      <c r="H34" s="1"/>
      <c r="I34" s="1"/>
      <c r="J34" s="1"/>
      <c r="K34" s="1"/>
      <c r="L34" s="17" t="s">
        <v>146</v>
      </c>
      <c r="M34" s="17" t="s">
        <v>147</v>
      </c>
      <c r="N34" s="17">
        <v>19</v>
      </c>
      <c r="O34" s="15" t="s">
        <v>22</v>
      </c>
    </row>
    <row r="35" spans="1:15" x14ac:dyDescent="0.2">
      <c r="A35" s="17" t="s">
        <v>148</v>
      </c>
      <c r="B35" s="17" t="s">
        <v>149</v>
      </c>
      <c r="C35" s="17">
        <v>25</v>
      </c>
      <c r="D35" s="1"/>
      <c r="E35" s="1">
        <v>1530</v>
      </c>
      <c r="F35" s="1">
        <v>2440</v>
      </c>
      <c r="G35" s="1">
        <v>63</v>
      </c>
      <c r="H35" s="1"/>
      <c r="I35" s="1"/>
      <c r="J35" s="1"/>
      <c r="K35" s="1"/>
      <c r="L35" s="17" t="s">
        <v>150</v>
      </c>
      <c r="M35" s="17" t="s">
        <v>151</v>
      </c>
      <c r="N35" s="17">
        <v>19</v>
      </c>
      <c r="O35" s="15" t="s">
        <v>22</v>
      </c>
    </row>
    <row r="36" spans="1:15" x14ac:dyDescent="0.2">
      <c r="A36" s="17" t="s">
        <v>152</v>
      </c>
      <c r="B36" s="17" t="s">
        <v>153</v>
      </c>
      <c r="C36" s="17">
        <v>15</v>
      </c>
      <c r="D36" s="1"/>
      <c r="E36" s="1">
        <v>1220</v>
      </c>
      <c r="F36" s="1">
        <v>2440</v>
      </c>
      <c r="G36" s="1">
        <v>29</v>
      </c>
      <c r="H36" s="1"/>
      <c r="I36" s="1"/>
      <c r="J36" s="1"/>
      <c r="K36" s="1"/>
      <c r="L36" s="17" t="s">
        <v>154</v>
      </c>
      <c r="M36" s="17" t="s">
        <v>155</v>
      </c>
      <c r="N36" s="17">
        <v>33</v>
      </c>
      <c r="O36" s="15" t="s">
        <v>22</v>
      </c>
    </row>
    <row r="37" spans="1:15" x14ac:dyDescent="0.2">
      <c r="A37" s="17" t="s">
        <v>156</v>
      </c>
      <c r="B37" s="17" t="s">
        <v>157</v>
      </c>
      <c r="C37" s="17">
        <v>30</v>
      </c>
      <c r="D37" s="1"/>
      <c r="E37" s="1">
        <v>2150</v>
      </c>
      <c r="F37" s="1">
        <v>2440</v>
      </c>
      <c r="G37" s="1">
        <v>97</v>
      </c>
      <c r="H37" s="1"/>
      <c r="I37" s="1"/>
      <c r="J37" s="1"/>
      <c r="K37" s="1"/>
      <c r="L37" s="17" t="s">
        <v>158</v>
      </c>
      <c r="M37" s="17" t="s">
        <v>159</v>
      </c>
      <c r="N37" s="17">
        <v>33</v>
      </c>
      <c r="O37" s="15" t="s">
        <v>22</v>
      </c>
    </row>
    <row r="38" spans="1:15" x14ac:dyDescent="0.2">
      <c r="A38" s="17" t="s">
        <v>160</v>
      </c>
      <c r="B38" s="17" t="s">
        <v>161</v>
      </c>
      <c r="C38" s="17">
        <v>4</v>
      </c>
      <c r="D38" s="1"/>
      <c r="E38" s="1">
        <v>2150</v>
      </c>
      <c r="F38" s="1">
        <v>2440</v>
      </c>
      <c r="G38" s="1">
        <v>16</v>
      </c>
      <c r="H38" s="1"/>
      <c r="I38" s="1"/>
      <c r="J38" s="1"/>
      <c r="K38" s="1"/>
      <c r="L38" s="17" t="s">
        <v>162</v>
      </c>
      <c r="M38" s="17" t="s">
        <v>163</v>
      </c>
      <c r="N38" s="17">
        <v>33</v>
      </c>
      <c r="O38" s="15" t="s">
        <v>31</v>
      </c>
    </row>
    <row r="39" spans="1:15" x14ac:dyDescent="0.2">
      <c r="A39" s="17" t="s">
        <v>164</v>
      </c>
      <c r="B39" s="17" t="s">
        <v>165</v>
      </c>
      <c r="C39" s="17">
        <v>36</v>
      </c>
      <c r="D39" s="1"/>
      <c r="E39" s="1">
        <v>2150</v>
      </c>
      <c r="F39" s="1">
        <v>2440</v>
      </c>
      <c r="G39" s="1">
        <v>117</v>
      </c>
      <c r="H39" s="1"/>
      <c r="I39" s="1"/>
      <c r="J39" s="1"/>
      <c r="K39" s="1"/>
      <c r="L39" s="17" t="s">
        <v>166</v>
      </c>
      <c r="M39" s="17" t="s">
        <v>167</v>
      </c>
      <c r="N39" s="17">
        <v>22</v>
      </c>
      <c r="O39" s="15" t="s">
        <v>22</v>
      </c>
    </row>
    <row r="40" spans="1:15" x14ac:dyDescent="0.2">
      <c r="A40" s="17" t="s">
        <v>168</v>
      </c>
      <c r="B40" s="17" t="s">
        <v>169</v>
      </c>
      <c r="C40" s="17">
        <v>9</v>
      </c>
      <c r="D40" s="1"/>
      <c r="E40" s="1">
        <v>2150</v>
      </c>
      <c r="F40" s="1">
        <v>2440</v>
      </c>
      <c r="G40" s="1">
        <v>33</v>
      </c>
      <c r="H40" s="1"/>
      <c r="I40" s="1"/>
      <c r="J40" s="1"/>
      <c r="K40" s="1"/>
      <c r="L40" s="17" t="s">
        <v>170</v>
      </c>
      <c r="M40" s="17" t="s">
        <v>171</v>
      </c>
      <c r="N40" s="17">
        <v>22</v>
      </c>
      <c r="O40" s="15" t="s">
        <v>22</v>
      </c>
    </row>
    <row r="41" spans="1:15" x14ac:dyDescent="0.2">
      <c r="A41" s="17" t="s">
        <v>172</v>
      </c>
      <c r="B41" s="17" t="s">
        <v>173</v>
      </c>
      <c r="C41" s="17">
        <v>12</v>
      </c>
      <c r="D41" s="1"/>
      <c r="E41" s="1">
        <v>2150</v>
      </c>
      <c r="F41" s="1">
        <v>2400</v>
      </c>
      <c r="G41" s="1">
        <v>45</v>
      </c>
      <c r="H41" s="1"/>
      <c r="I41" s="1"/>
      <c r="J41" s="1"/>
      <c r="K41" s="1"/>
      <c r="L41" s="17" t="s">
        <v>174</v>
      </c>
      <c r="M41" s="17" t="s">
        <v>175</v>
      </c>
      <c r="N41" s="17">
        <v>16</v>
      </c>
      <c r="O41" s="15" t="s">
        <v>31</v>
      </c>
    </row>
    <row r="42" spans="1:15" x14ac:dyDescent="0.2">
      <c r="A42" s="17" t="s">
        <v>176</v>
      </c>
      <c r="B42" s="17" t="s">
        <v>177</v>
      </c>
      <c r="C42" s="17">
        <v>15</v>
      </c>
      <c r="D42" s="1"/>
      <c r="E42" s="1">
        <v>2150</v>
      </c>
      <c r="F42" s="1">
        <v>2440</v>
      </c>
      <c r="G42" s="1">
        <v>56</v>
      </c>
      <c r="H42" s="1"/>
      <c r="I42" s="1"/>
      <c r="J42" s="1"/>
      <c r="K42" s="1"/>
      <c r="L42" s="17" t="s">
        <v>178</v>
      </c>
      <c r="M42" s="17" t="s">
        <v>179</v>
      </c>
      <c r="N42" s="17">
        <v>19</v>
      </c>
      <c r="O42" s="15" t="s">
        <v>31</v>
      </c>
    </row>
    <row r="43" spans="1:15" x14ac:dyDescent="0.2">
      <c r="A43" s="17" t="s">
        <v>180</v>
      </c>
      <c r="B43" s="17" t="s">
        <v>181</v>
      </c>
      <c r="C43" s="17">
        <v>18</v>
      </c>
      <c r="D43" s="1"/>
      <c r="E43" s="1">
        <v>2150</v>
      </c>
      <c r="F43" s="1">
        <v>2440</v>
      </c>
      <c r="G43" s="1">
        <v>67</v>
      </c>
      <c r="H43" s="1"/>
      <c r="I43" s="1"/>
      <c r="J43" s="1"/>
      <c r="K43" s="1"/>
      <c r="L43" s="17" t="s">
        <v>182</v>
      </c>
      <c r="M43" s="17" t="s">
        <v>183</v>
      </c>
      <c r="N43" s="17">
        <v>22</v>
      </c>
      <c r="O43" s="15" t="s">
        <v>31</v>
      </c>
    </row>
    <row r="44" spans="1:15" x14ac:dyDescent="0.2">
      <c r="A44" s="17" t="s">
        <v>184</v>
      </c>
      <c r="B44" s="17" t="s">
        <v>185</v>
      </c>
      <c r="C44" s="17">
        <v>25</v>
      </c>
      <c r="D44" s="1"/>
      <c r="E44" s="1">
        <v>2150</v>
      </c>
      <c r="F44" s="1">
        <v>2440</v>
      </c>
      <c r="G44" s="1">
        <v>88</v>
      </c>
      <c r="H44" s="1"/>
      <c r="I44" s="1"/>
      <c r="J44" s="1"/>
      <c r="K44" s="1"/>
      <c r="L44" s="17" t="s">
        <v>186</v>
      </c>
      <c r="M44" s="17" t="s">
        <v>187</v>
      </c>
      <c r="N44" s="17">
        <v>44</v>
      </c>
      <c r="O44" s="15" t="s">
        <v>31</v>
      </c>
    </row>
    <row r="45" spans="1:15" x14ac:dyDescent="0.2">
      <c r="A45" s="17" t="s">
        <v>188</v>
      </c>
      <c r="B45" s="17" t="s">
        <v>189</v>
      </c>
      <c r="C45" s="17">
        <v>30</v>
      </c>
      <c r="D45" s="1"/>
      <c r="E45" s="1">
        <v>2150</v>
      </c>
      <c r="F45" s="1">
        <v>2440</v>
      </c>
      <c r="G45" s="1">
        <v>103</v>
      </c>
      <c r="H45" s="1"/>
      <c r="I45" s="1"/>
      <c r="J45" s="1"/>
      <c r="K45" s="1"/>
      <c r="L45" s="17" t="s">
        <v>190</v>
      </c>
      <c r="M45" s="17" t="s">
        <v>191</v>
      </c>
      <c r="N45" s="17">
        <v>16</v>
      </c>
      <c r="O45" s="15" t="s">
        <v>31</v>
      </c>
    </row>
    <row r="46" spans="1:15" x14ac:dyDescent="0.2">
      <c r="A46" s="17" t="s">
        <v>192</v>
      </c>
      <c r="B46" s="17" t="s">
        <v>193</v>
      </c>
      <c r="C46" s="17">
        <v>18</v>
      </c>
      <c r="D46" s="1"/>
      <c r="E46" s="1">
        <v>1530</v>
      </c>
      <c r="F46" s="1">
        <v>2440</v>
      </c>
      <c r="G46" s="1">
        <v>47</v>
      </c>
      <c r="H46" s="1"/>
      <c r="I46" s="1"/>
      <c r="J46" s="1"/>
      <c r="K46" s="1"/>
      <c r="L46" s="17" t="s">
        <v>194</v>
      </c>
      <c r="M46" s="17" t="s">
        <v>195</v>
      </c>
      <c r="N46" s="17">
        <v>19</v>
      </c>
      <c r="O46" s="15" t="s">
        <v>31</v>
      </c>
    </row>
    <row r="47" spans="1:15" x14ac:dyDescent="0.2">
      <c r="A47" s="17" t="s">
        <v>196</v>
      </c>
      <c r="B47" s="17" t="s">
        <v>197</v>
      </c>
      <c r="C47" s="17">
        <v>18</v>
      </c>
      <c r="D47" s="1"/>
      <c r="E47" s="1">
        <v>1830</v>
      </c>
      <c r="F47" s="1">
        <v>2440</v>
      </c>
      <c r="G47" s="1">
        <v>52</v>
      </c>
      <c r="H47" s="1"/>
      <c r="I47" s="1"/>
      <c r="J47" s="1"/>
      <c r="K47" s="1"/>
      <c r="L47" s="17" t="s">
        <v>198</v>
      </c>
      <c r="M47" s="17" t="s">
        <v>199</v>
      </c>
      <c r="N47" s="17">
        <v>22</v>
      </c>
      <c r="O47" s="15" t="s">
        <v>31</v>
      </c>
    </row>
    <row r="48" spans="1:15" x14ac:dyDescent="0.2">
      <c r="A48" s="17" t="s">
        <v>200</v>
      </c>
      <c r="B48" s="17" t="s">
        <v>201</v>
      </c>
      <c r="C48" s="17">
        <v>15</v>
      </c>
      <c r="D48" s="1"/>
      <c r="E48" s="1">
        <v>2150</v>
      </c>
      <c r="F48" s="1">
        <v>2440</v>
      </c>
      <c r="G48" s="1">
        <v>53</v>
      </c>
      <c r="H48" s="1"/>
      <c r="I48" s="1"/>
      <c r="J48" s="1"/>
      <c r="K48" s="1"/>
      <c r="L48" s="17" t="s">
        <v>198</v>
      </c>
      <c r="M48" s="17" t="s">
        <v>202</v>
      </c>
      <c r="N48" s="17">
        <v>22</v>
      </c>
      <c r="O48" s="15" t="s">
        <v>31</v>
      </c>
    </row>
    <row r="49" spans="1:15" x14ac:dyDescent="0.2">
      <c r="A49" s="17" t="s">
        <v>203</v>
      </c>
      <c r="B49" s="17" t="s">
        <v>204</v>
      </c>
      <c r="C49" s="17">
        <v>18</v>
      </c>
      <c r="D49" s="1"/>
      <c r="E49" s="1">
        <v>2150</v>
      </c>
      <c r="F49" s="1">
        <v>2440</v>
      </c>
      <c r="G49" s="1">
        <v>67</v>
      </c>
      <c r="H49" s="1"/>
      <c r="I49" s="1"/>
      <c r="J49" s="1"/>
      <c r="K49" s="1"/>
      <c r="L49" s="17" t="s">
        <v>205</v>
      </c>
      <c r="M49" s="17" t="s">
        <v>206</v>
      </c>
      <c r="N49" s="17">
        <v>33</v>
      </c>
      <c r="O49" s="15" t="s">
        <v>31</v>
      </c>
    </row>
    <row r="50" spans="1:15" x14ac:dyDescent="0.2">
      <c r="A50" s="17" t="s">
        <v>207</v>
      </c>
      <c r="B50" s="17" t="s">
        <v>208</v>
      </c>
      <c r="C50" s="17">
        <v>30</v>
      </c>
      <c r="D50" s="1"/>
      <c r="E50" s="1">
        <v>2150</v>
      </c>
      <c r="F50" s="1">
        <v>2440</v>
      </c>
      <c r="G50" s="1">
        <v>97</v>
      </c>
      <c r="H50" s="1"/>
      <c r="I50" s="1"/>
      <c r="J50" s="1"/>
      <c r="K50" s="1"/>
      <c r="L50" s="17" t="s">
        <v>209</v>
      </c>
      <c r="M50" s="17" t="s">
        <v>210</v>
      </c>
      <c r="N50" s="17">
        <v>44</v>
      </c>
      <c r="O50" s="15" t="s">
        <v>31</v>
      </c>
    </row>
    <row r="51" spans="1:15" x14ac:dyDescent="0.2">
      <c r="A51" s="17" t="s">
        <v>211</v>
      </c>
      <c r="B51" s="17" t="s">
        <v>212</v>
      </c>
      <c r="C51" s="17">
        <v>15</v>
      </c>
      <c r="D51" s="1"/>
      <c r="E51" s="1">
        <v>1830</v>
      </c>
      <c r="F51" s="1">
        <v>2440</v>
      </c>
      <c r="G51" s="1">
        <v>41</v>
      </c>
      <c r="H51" s="1"/>
      <c r="I51" s="1"/>
      <c r="J51" s="1"/>
      <c r="K51" s="1"/>
      <c r="L51" s="17" t="s">
        <v>213</v>
      </c>
      <c r="M51" s="17" t="s">
        <v>214</v>
      </c>
      <c r="N51" s="17">
        <v>19</v>
      </c>
      <c r="O51" s="15" t="s">
        <v>22</v>
      </c>
    </row>
    <row r="52" spans="1:15" x14ac:dyDescent="0.2">
      <c r="A52" s="17" t="s">
        <v>215</v>
      </c>
      <c r="B52" s="17" t="s">
        <v>216</v>
      </c>
      <c r="C52" s="17">
        <v>3</v>
      </c>
      <c r="D52" s="1"/>
      <c r="E52" s="1">
        <v>1220</v>
      </c>
      <c r="F52" s="1">
        <v>2440</v>
      </c>
      <c r="G52" s="1">
        <v>6</v>
      </c>
      <c r="H52" s="1"/>
      <c r="I52" s="1"/>
      <c r="J52" s="1"/>
      <c r="K52" s="1"/>
      <c r="L52" s="17" t="s">
        <v>217</v>
      </c>
      <c r="M52" s="17" t="s">
        <v>218</v>
      </c>
      <c r="N52" s="17">
        <v>36</v>
      </c>
      <c r="O52" s="15" t="s">
        <v>22</v>
      </c>
    </row>
    <row r="53" spans="1:15" x14ac:dyDescent="0.2">
      <c r="A53" s="17" t="s">
        <v>219</v>
      </c>
      <c r="B53" s="17" t="s">
        <v>220</v>
      </c>
      <c r="C53" s="17">
        <v>9</v>
      </c>
      <c r="D53" s="1"/>
      <c r="E53" s="1">
        <v>1830</v>
      </c>
      <c r="F53" s="1">
        <v>2440</v>
      </c>
      <c r="G53" s="1">
        <v>28</v>
      </c>
      <c r="H53" s="1"/>
      <c r="I53" s="1"/>
      <c r="J53" s="1"/>
      <c r="K53" s="1"/>
      <c r="L53" s="17" t="s">
        <v>221</v>
      </c>
      <c r="M53" s="20" t="s">
        <v>222</v>
      </c>
      <c r="N53" s="17">
        <v>22</v>
      </c>
      <c r="O53" s="15" t="s">
        <v>31</v>
      </c>
    </row>
    <row r="54" spans="1:15" x14ac:dyDescent="0.2">
      <c r="A54" s="17" t="s">
        <v>223</v>
      </c>
      <c r="B54" s="17" t="s">
        <v>224</v>
      </c>
      <c r="C54" s="17">
        <v>6</v>
      </c>
      <c r="D54" s="1"/>
      <c r="E54" s="1">
        <v>2150</v>
      </c>
      <c r="F54" s="1">
        <v>2440</v>
      </c>
      <c r="G54" s="1">
        <v>23</v>
      </c>
      <c r="H54" s="1"/>
      <c r="I54" s="1"/>
      <c r="J54" s="1"/>
      <c r="K54" s="1"/>
      <c r="L54" s="17" t="s">
        <v>225</v>
      </c>
      <c r="M54" s="17" t="s">
        <v>226</v>
      </c>
      <c r="N54" s="17">
        <v>15</v>
      </c>
      <c r="O54" s="2" t="s">
        <v>36</v>
      </c>
    </row>
    <row r="55" spans="1:15" x14ac:dyDescent="0.2">
      <c r="A55" s="17" t="s">
        <v>227</v>
      </c>
      <c r="B55" s="17" t="s">
        <v>228</v>
      </c>
      <c r="C55" s="17">
        <v>18</v>
      </c>
      <c r="D55" s="1"/>
      <c r="E55" s="1">
        <v>2150</v>
      </c>
      <c r="F55" s="1">
        <v>2440</v>
      </c>
      <c r="G55" s="1">
        <v>61</v>
      </c>
      <c r="H55" s="1"/>
      <c r="I55" s="1"/>
      <c r="J55" s="1"/>
      <c r="K55" s="1"/>
      <c r="L55" s="17" t="s">
        <v>229</v>
      </c>
      <c r="M55" s="17" t="s">
        <v>230</v>
      </c>
      <c r="N55" s="17">
        <v>19</v>
      </c>
      <c r="O55" s="15" t="s">
        <v>31</v>
      </c>
    </row>
    <row r="56" spans="1:15" x14ac:dyDescent="0.2">
      <c r="A56" s="17" t="s">
        <v>231</v>
      </c>
      <c r="B56" s="17" t="s">
        <v>232</v>
      </c>
      <c r="C56" s="17">
        <v>36</v>
      </c>
      <c r="D56" s="1"/>
      <c r="E56" s="1">
        <v>2150</v>
      </c>
      <c r="F56" s="1">
        <v>2440</v>
      </c>
      <c r="G56" s="1">
        <v>117</v>
      </c>
      <c r="H56" s="1"/>
      <c r="I56" s="1"/>
      <c r="J56" s="1"/>
      <c r="K56" s="1"/>
      <c r="L56" s="17" t="s">
        <v>233</v>
      </c>
      <c r="M56" s="17" t="s">
        <v>234</v>
      </c>
      <c r="N56" s="17">
        <v>44</v>
      </c>
      <c r="O56" s="15" t="s">
        <v>31</v>
      </c>
    </row>
    <row r="57" spans="1:15" x14ac:dyDescent="0.2">
      <c r="A57" s="17" t="s">
        <v>235</v>
      </c>
      <c r="B57" s="17" t="s">
        <v>236</v>
      </c>
      <c r="C57" s="17">
        <v>18</v>
      </c>
      <c r="D57" s="1"/>
      <c r="E57" s="1">
        <v>2150</v>
      </c>
      <c r="F57" s="1">
        <v>2440</v>
      </c>
      <c r="G57" s="1">
        <v>61</v>
      </c>
      <c r="H57" s="1"/>
      <c r="I57" s="1"/>
      <c r="J57" s="1"/>
      <c r="K57" s="1"/>
      <c r="L57" s="17" t="s">
        <v>237</v>
      </c>
      <c r="M57" s="17" t="s">
        <v>238</v>
      </c>
      <c r="N57" s="17">
        <v>19</v>
      </c>
      <c r="O57" s="15" t="s">
        <v>31</v>
      </c>
    </row>
    <row r="58" spans="1:15" x14ac:dyDescent="0.2">
      <c r="A58" s="17" t="s">
        <v>239</v>
      </c>
      <c r="B58" s="17" t="s">
        <v>240</v>
      </c>
      <c r="C58" s="17">
        <v>12</v>
      </c>
      <c r="D58" s="1"/>
      <c r="E58" s="1">
        <v>1830</v>
      </c>
      <c r="F58" s="1">
        <v>2440</v>
      </c>
      <c r="G58" s="1">
        <v>35</v>
      </c>
      <c r="H58" s="1"/>
      <c r="I58" s="1"/>
      <c r="J58" s="1"/>
      <c r="K58" s="1"/>
      <c r="L58" s="17" t="s">
        <v>241</v>
      </c>
      <c r="M58" s="17" t="s">
        <v>242</v>
      </c>
      <c r="N58" s="17">
        <v>41</v>
      </c>
      <c r="O58" s="15" t="s">
        <v>31</v>
      </c>
    </row>
    <row r="59" spans="1:15" x14ac:dyDescent="0.2">
      <c r="A59" s="17" t="s">
        <v>243</v>
      </c>
      <c r="B59" s="17" t="s">
        <v>212</v>
      </c>
      <c r="C59" s="17">
        <v>15</v>
      </c>
      <c r="D59" s="1"/>
      <c r="E59" s="1">
        <v>1830</v>
      </c>
      <c r="F59" s="1">
        <v>2440</v>
      </c>
      <c r="G59" s="1">
        <v>41</v>
      </c>
      <c r="H59" s="1"/>
      <c r="I59" s="1"/>
      <c r="J59" s="1"/>
      <c r="K59" s="1"/>
      <c r="L59" s="17" t="s">
        <v>244</v>
      </c>
      <c r="M59" s="17" t="s">
        <v>245</v>
      </c>
      <c r="N59" s="17">
        <v>19</v>
      </c>
      <c r="O59" s="15" t="s">
        <v>31</v>
      </c>
    </row>
    <row r="60" spans="1:15" x14ac:dyDescent="0.2">
      <c r="A60" s="17" t="s">
        <v>246</v>
      </c>
      <c r="B60" s="17" t="s">
        <v>247</v>
      </c>
      <c r="C60" s="17">
        <v>18</v>
      </c>
      <c r="D60" s="1"/>
      <c r="E60" s="1">
        <v>1830</v>
      </c>
      <c r="F60" s="1">
        <v>2440</v>
      </c>
      <c r="G60" s="1">
        <v>52</v>
      </c>
      <c r="H60" s="1"/>
      <c r="I60" s="1"/>
      <c r="J60" s="1"/>
      <c r="K60" s="1"/>
      <c r="L60" s="17" t="s">
        <v>248</v>
      </c>
      <c r="M60" s="17" t="s">
        <v>249</v>
      </c>
      <c r="N60" s="17">
        <v>41</v>
      </c>
      <c r="O60" s="15" t="s">
        <v>31</v>
      </c>
    </row>
    <row r="61" spans="1:15" x14ac:dyDescent="0.2">
      <c r="A61" s="17" t="s">
        <v>250</v>
      </c>
      <c r="B61" s="17" t="s">
        <v>251</v>
      </c>
      <c r="C61" s="17">
        <v>24</v>
      </c>
      <c r="D61" s="1"/>
      <c r="E61" s="1">
        <v>1830</v>
      </c>
      <c r="F61" s="1">
        <v>2440</v>
      </c>
      <c r="G61" s="1">
        <v>68</v>
      </c>
      <c r="H61" s="1"/>
      <c r="I61" s="1"/>
      <c r="J61" s="1"/>
      <c r="K61" s="1"/>
      <c r="L61" s="17" t="s">
        <v>252</v>
      </c>
      <c r="M61" s="17" t="s">
        <v>253</v>
      </c>
      <c r="N61" s="17">
        <v>19</v>
      </c>
      <c r="O61" s="15" t="s">
        <v>31</v>
      </c>
    </row>
    <row r="62" spans="1:15" x14ac:dyDescent="0.2">
      <c r="A62" s="17" t="s">
        <v>254</v>
      </c>
      <c r="B62" s="17" t="s">
        <v>255</v>
      </c>
      <c r="C62" s="17">
        <v>30</v>
      </c>
      <c r="D62" s="1"/>
      <c r="E62" s="1">
        <v>1830</v>
      </c>
      <c r="F62" s="1">
        <v>2440</v>
      </c>
      <c r="G62" s="1">
        <v>80</v>
      </c>
      <c r="H62" s="1"/>
      <c r="I62" s="1"/>
      <c r="J62" s="1"/>
      <c r="K62" s="1"/>
      <c r="L62" s="17" t="s">
        <v>256</v>
      </c>
      <c r="M62" s="17" t="s">
        <v>257</v>
      </c>
      <c r="N62" s="17">
        <v>19</v>
      </c>
      <c r="O62" s="15" t="s">
        <v>22</v>
      </c>
    </row>
    <row r="63" spans="1:15" x14ac:dyDescent="0.2">
      <c r="A63" s="17" t="s">
        <v>258</v>
      </c>
      <c r="B63" s="17" t="s">
        <v>259</v>
      </c>
      <c r="C63" s="17">
        <v>8</v>
      </c>
      <c r="D63" s="1"/>
      <c r="E63" s="1">
        <v>2150</v>
      </c>
      <c r="F63" s="1">
        <v>2440</v>
      </c>
      <c r="G63" s="1">
        <v>30</v>
      </c>
      <c r="H63" s="1"/>
      <c r="I63" s="1"/>
      <c r="J63" s="1"/>
      <c r="K63" s="1"/>
      <c r="L63" s="17" t="s">
        <v>260</v>
      </c>
      <c r="M63" s="17" t="s">
        <v>261</v>
      </c>
      <c r="N63" s="17">
        <v>19</v>
      </c>
      <c r="O63" s="15" t="s">
        <v>22</v>
      </c>
    </row>
    <row r="64" spans="1:15" x14ac:dyDescent="0.2">
      <c r="A64" s="17" t="s">
        <v>262</v>
      </c>
      <c r="B64" s="17" t="s">
        <v>263</v>
      </c>
      <c r="C64" s="17">
        <v>9</v>
      </c>
      <c r="D64" s="1"/>
      <c r="E64" s="1">
        <v>2150</v>
      </c>
      <c r="F64" s="1">
        <v>2440</v>
      </c>
      <c r="G64" s="1">
        <v>19</v>
      </c>
      <c r="H64" s="1"/>
      <c r="I64" s="1"/>
      <c r="J64" s="1"/>
      <c r="K64" s="1"/>
      <c r="L64" s="17" t="s">
        <v>264</v>
      </c>
      <c r="M64" s="17" t="s">
        <v>265</v>
      </c>
      <c r="N64" s="17">
        <v>41</v>
      </c>
      <c r="O64" s="15" t="s">
        <v>22</v>
      </c>
    </row>
    <row r="65" spans="1:15" x14ac:dyDescent="0.2">
      <c r="A65" s="17" t="s">
        <v>266</v>
      </c>
      <c r="B65" s="17" t="s">
        <v>267</v>
      </c>
      <c r="C65" s="17">
        <v>30</v>
      </c>
      <c r="D65" s="1"/>
      <c r="E65" s="1">
        <v>1220</v>
      </c>
      <c r="F65" s="1">
        <v>2440</v>
      </c>
      <c r="G65" s="1">
        <v>55</v>
      </c>
      <c r="H65" s="1"/>
      <c r="I65" s="1"/>
      <c r="J65" s="1"/>
      <c r="K65" s="1"/>
      <c r="L65" s="17" t="s">
        <v>268</v>
      </c>
      <c r="M65" s="17" t="s">
        <v>269</v>
      </c>
      <c r="N65" s="17">
        <v>19</v>
      </c>
      <c r="O65" s="15" t="s">
        <v>22</v>
      </c>
    </row>
    <row r="66" spans="1:15" x14ac:dyDescent="0.2">
      <c r="A66" s="17" t="s">
        <v>270</v>
      </c>
      <c r="B66" s="17" t="s">
        <v>271</v>
      </c>
      <c r="C66" s="17">
        <v>4</v>
      </c>
      <c r="D66" s="1"/>
      <c r="E66" s="1">
        <v>1830</v>
      </c>
      <c r="F66" s="1">
        <v>2440</v>
      </c>
      <c r="G66" s="1">
        <v>12</v>
      </c>
      <c r="H66" s="1"/>
      <c r="I66" s="1"/>
      <c r="J66" s="1"/>
      <c r="K66" s="1"/>
      <c r="L66" s="17" t="s">
        <v>272</v>
      </c>
      <c r="M66" s="17" t="s">
        <v>273</v>
      </c>
      <c r="N66" s="17">
        <v>22</v>
      </c>
      <c r="O66" s="15" t="s">
        <v>31</v>
      </c>
    </row>
    <row r="67" spans="1:15" x14ac:dyDescent="0.2">
      <c r="A67" s="17" t="s">
        <v>274</v>
      </c>
      <c r="B67" s="17" t="s">
        <v>275</v>
      </c>
      <c r="C67" s="17">
        <v>12</v>
      </c>
      <c r="D67" s="1"/>
      <c r="E67" s="1">
        <v>1830</v>
      </c>
      <c r="F67" s="1">
        <v>2440</v>
      </c>
      <c r="G67" s="1">
        <v>35</v>
      </c>
      <c r="H67" s="1"/>
      <c r="I67" s="1"/>
      <c r="J67" s="1"/>
      <c r="K67" s="1"/>
      <c r="L67" s="17" t="s">
        <v>276</v>
      </c>
      <c r="M67" s="17" t="s">
        <v>277</v>
      </c>
      <c r="N67" s="17">
        <v>17</v>
      </c>
      <c r="O67" s="2" t="s">
        <v>36</v>
      </c>
    </row>
    <row r="68" spans="1:15" x14ac:dyDescent="0.2">
      <c r="A68" s="17" t="s">
        <v>278</v>
      </c>
      <c r="B68" s="17" t="s">
        <v>279</v>
      </c>
      <c r="C68" s="17">
        <v>3</v>
      </c>
      <c r="D68" s="1"/>
      <c r="E68" s="1">
        <v>1220</v>
      </c>
      <c r="F68" s="1">
        <v>2440</v>
      </c>
      <c r="G68" s="1">
        <v>6</v>
      </c>
      <c r="H68" s="1"/>
      <c r="I68" s="1"/>
      <c r="J68" s="1"/>
      <c r="K68" s="1"/>
      <c r="L68" s="17" t="s">
        <v>280</v>
      </c>
      <c r="M68" s="17" t="s">
        <v>281</v>
      </c>
      <c r="N68" s="17">
        <v>44</v>
      </c>
      <c r="O68" s="15" t="s">
        <v>31</v>
      </c>
    </row>
    <row r="69" spans="1:15" x14ac:dyDescent="0.2">
      <c r="A69" s="17" t="s">
        <v>282</v>
      </c>
      <c r="B69" s="17" t="s">
        <v>283</v>
      </c>
      <c r="C69" s="17">
        <v>6</v>
      </c>
      <c r="D69" s="1"/>
      <c r="E69" s="1">
        <v>2150</v>
      </c>
      <c r="F69" s="1">
        <v>2440</v>
      </c>
      <c r="G69" s="1">
        <v>23</v>
      </c>
      <c r="H69" s="1"/>
      <c r="I69" s="1"/>
      <c r="J69" s="1"/>
      <c r="K69" s="1"/>
      <c r="L69" s="17" t="s">
        <v>284</v>
      </c>
      <c r="M69" s="17" t="s">
        <v>285</v>
      </c>
      <c r="N69" s="17">
        <v>22</v>
      </c>
      <c r="O69" s="15" t="s">
        <v>31</v>
      </c>
    </row>
    <row r="70" spans="1:15" x14ac:dyDescent="0.2">
      <c r="A70" s="17" t="s">
        <v>286</v>
      </c>
      <c r="B70" s="17" t="s">
        <v>287</v>
      </c>
      <c r="C70" s="17">
        <v>18</v>
      </c>
      <c r="D70" s="1"/>
      <c r="E70" s="1">
        <v>2150</v>
      </c>
      <c r="F70" s="1">
        <v>2440</v>
      </c>
      <c r="G70" s="1">
        <v>61</v>
      </c>
      <c r="H70" s="1"/>
      <c r="I70" s="1"/>
      <c r="J70" s="1"/>
      <c r="K70" s="1"/>
      <c r="L70" s="17" t="s">
        <v>288</v>
      </c>
      <c r="M70" s="17" t="s">
        <v>289</v>
      </c>
      <c r="N70" s="17">
        <v>19</v>
      </c>
      <c r="O70" s="15" t="s">
        <v>31</v>
      </c>
    </row>
    <row r="71" spans="1:15" x14ac:dyDescent="0.2">
      <c r="A71" s="17" t="s">
        <v>290</v>
      </c>
      <c r="B71" s="17" t="s">
        <v>291</v>
      </c>
      <c r="C71" s="17" t="s">
        <v>292</v>
      </c>
      <c r="D71" s="1"/>
      <c r="E71" s="1">
        <v>2150</v>
      </c>
      <c r="F71" s="1">
        <v>2440</v>
      </c>
      <c r="G71" s="1">
        <v>117</v>
      </c>
      <c r="H71" s="1"/>
      <c r="I71" s="1"/>
      <c r="J71" s="1"/>
      <c r="K71" s="1"/>
      <c r="L71" s="17" t="s">
        <v>293</v>
      </c>
      <c r="M71" s="17" t="s">
        <v>294</v>
      </c>
      <c r="N71" s="17">
        <v>16</v>
      </c>
      <c r="O71" s="15" t="s">
        <v>31</v>
      </c>
    </row>
    <row r="72" spans="1:15" x14ac:dyDescent="0.2">
      <c r="A72" s="17" t="s">
        <v>295</v>
      </c>
      <c r="B72" s="17" t="s">
        <v>296</v>
      </c>
      <c r="C72" s="17">
        <v>15</v>
      </c>
      <c r="D72" s="1"/>
      <c r="E72" s="1">
        <v>1830</v>
      </c>
      <c r="F72" s="1">
        <v>2440</v>
      </c>
      <c r="G72" s="1">
        <v>41</v>
      </c>
      <c r="H72" s="1"/>
      <c r="I72" s="1"/>
      <c r="J72" s="1"/>
      <c r="K72" s="1"/>
      <c r="L72" s="17" t="s">
        <v>297</v>
      </c>
      <c r="M72" s="17" t="s">
        <v>298</v>
      </c>
      <c r="N72" s="17">
        <v>19</v>
      </c>
      <c r="O72" s="15" t="s">
        <v>31</v>
      </c>
    </row>
    <row r="73" spans="1:15" x14ac:dyDescent="0.2">
      <c r="A73" s="17" t="s">
        <v>299</v>
      </c>
      <c r="B73" s="17" t="s">
        <v>300</v>
      </c>
      <c r="C73" s="17">
        <v>25</v>
      </c>
      <c r="D73" s="1"/>
      <c r="E73" s="1">
        <v>2150</v>
      </c>
      <c r="F73" s="1">
        <v>2440</v>
      </c>
      <c r="G73" s="1">
        <v>83</v>
      </c>
      <c r="H73" s="1"/>
      <c r="I73" s="1"/>
      <c r="J73" s="1"/>
      <c r="K73" s="1"/>
      <c r="L73" s="17" t="s">
        <v>301</v>
      </c>
      <c r="M73" s="17" t="s">
        <v>302</v>
      </c>
      <c r="N73" s="17">
        <v>22</v>
      </c>
      <c r="O73" s="15" t="s">
        <v>31</v>
      </c>
    </row>
    <row r="74" spans="1:15" x14ac:dyDescent="0.2">
      <c r="A74" s="17" t="s">
        <v>303</v>
      </c>
      <c r="B74" s="17" t="s">
        <v>304</v>
      </c>
      <c r="C74" s="17">
        <v>15</v>
      </c>
      <c r="D74" s="1"/>
      <c r="E74" s="1">
        <v>1830</v>
      </c>
      <c r="F74" s="1">
        <v>2440</v>
      </c>
      <c r="G74" s="1">
        <v>41</v>
      </c>
      <c r="H74" s="1"/>
      <c r="I74" s="1"/>
      <c r="J74" s="1"/>
      <c r="K74" s="1"/>
      <c r="L74" s="17" t="s">
        <v>305</v>
      </c>
      <c r="M74" s="17" t="s">
        <v>306</v>
      </c>
      <c r="N74" s="17">
        <v>33</v>
      </c>
      <c r="O74" s="15" t="s">
        <v>31</v>
      </c>
    </row>
    <row r="75" spans="1:15" x14ac:dyDescent="0.2">
      <c r="A75" s="17" t="s">
        <v>307</v>
      </c>
      <c r="B75" s="17" t="s">
        <v>308</v>
      </c>
      <c r="C75" s="17">
        <v>25</v>
      </c>
      <c r="D75" s="1"/>
      <c r="E75" s="1">
        <v>1830</v>
      </c>
      <c r="F75" s="1">
        <v>2440</v>
      </c>
      <c r="G75" s="1">
        <v>71</v>
      </c>
      <c r="H75" s="1"/>
      <c r="I75" s="1"/>
      <c r="J75" s="1"/>
      <c r="K75" s="1"/>
      <c r="L75" s="17" t="s">
        <v>309</v>
      </c>
      <c r="M75" s="17" t="s">
        <v>310</v>
      </c>
      <c r="N75" s="17">
        <v>44</v>
      </c>
      <c r="O75" s="15" t="s">
        <v>31</v>
      </c>
    </row>
    <row r="76" spans="1:15" x14ac:dyDescent="0.2">
      <c r="A76" s="17" t="s">
        <v>311</v>
      </c>
      <c r="B76" s="17" t="s">
        <v>312</v>
      </c>
      <c r="C76" s="17"/>
      <c r="D76" s="1"/>
      <c r="E76" s="1">
        <v>2150</v>
      </c>
      <c r="F76" s="1">
        <v>2440</v>
      </c>
      <c r="G76" s="1">
        <v>117</v>
      </c>
      <c r="H76" s="1"/>
      <c r="I76" s="1"/>
      <c r="J76" s="1"/>
      <c r="K76" s="1"/>
      <c r="L76" s="17" t="s">
        <v>313</v>
      </c>
      <c r="M76" s="17" t="s">
        <v>314</v>
      </c>
      <c r="N76" s="17">
        <v>16</v>
      </c>
      <c r="O76" s="15" t="s">
        <v>31</v>
      </c>
    </row>
    <row r="77" spans="1:15" x14ac:dyDescent="0.2">
      <c r="A77" s="17" t="s">
        <v>315</v>
      </c>
      <c r="B77" s="17" t="s">
        <v>316</v>
      </c>
      <c r="C77" s="17">
        <v>6</v>
      </c>
      <c r="D77" s="1"/>
      <c r="E77" s="1">
        <v>2150</v>
      </c>
      <c r="F77" s="1">
        <v>2440</v>
      </c>
      <c r="G77" s="1">
        <v>23</v>
      </c>
      <c r="H77" s="1"/>
      <c r="I77" s="1"/>
      <c r="J77" s="1"/>
      <c r="K77" s="1"/>
      <c r="L77" s="17" t="s">
        <v>317</v>
      </c>
      <c r="M77" s="17" t="s">
        <v>318</v>
      </c>
      <c r="N77" s="17">
        <v>15</v>
      </c>
      <c r="O77" s="2" t="s">
        <v>36</v>
      </c>
    </row>
    <row r="78" spans="1:15" x14ac:dyDescent="0.2">
      <c r="A78" s="17" t="s">
        <v>319</v>
      </c>
      <c r="B78" s="17" t="s">
        <v>320</v>
      </c>
      <c r="C78" s="17">
        <v>6</v>
      </c>
      <c r="D78" s="1"/>
      <c r="E78" s="1">
        <v>2150</v>
      </c>
      <c r="F78" s="1">
        <v>2440</v>
      </c>
      <c r="G78" s="1">
        <v>23</v>
      </c>
      <c r="H78" s="1"/>
      <c r="I78" s="1"/>
      <c r="J78" s="1"/>
      <c r="K78" s="1"/>
      <c r="L78" s="17" t="s">
        <v>321</v>
      </c>
      <c r="M78" s="17" t="s">
        <v>322</v>
      </c>
      <c r="N78" s="17">
        <v>19</v>
      </c>
      <c r="O78" s="15" t="s">
        <v>31</v>
      </c>
    </row>
    <row r="79" spans="1:15" x14ac:dyDescent="0.2">
      <c r="A79" s="17" t="s">
        <v>323</v>
      </c>
      <c r="B79" s="17" t="s">
        <v>324</v>
      </c>
      <c r="C79" s="17">
        <v>25</v>
      </c>
      <c r="D79" s="1"/>
      <c r="E79" s="1">
        <v>2150</v>
      </c>
      <c r="F79" s="1">
        <v>2440</v>
      </c>
      <c r="G79" s="1">
        <v>83</v>
      </c>
      <c r="H79" s="1"/>
      <c r="I79" s="1"/>
      <c r="J79" s="1"/>
      <c r="K79" s="1"/>
      <c r="L79" s="17" t="s">
        <v>325</v>
      </c>
      <c r="M79" s="17" t="s">
        <v>326</v>
      </c>
      <c r="N79" s="17">
        <v>22</v>
      </c>
      <c r="O79" s="15" t="s">
        <v>31</v>
      </c>
    </row>
    <row r="80" spans="1:15" x14ac:dyDescent="0.2">
      <c r="A80" s="17" t="s">
        <v>327</v>
      </c>
      <c r="B80" s="17" t="s">
        <v>328</v>
      </c>
      <c r="C80" s="17">
        <v>36</v>
      </c>
      <c r="D80" s="1"/>
      <c r="E80" s="1">
        <v>2150</v>
      </c>
      <c r="F80" s="1">
        <v>2440</v>
      </c>
      <c r="G80" s="1">
        <v>117</v>
      </c>
      <c r="H80" s="1"/>
      <c r="I80" s="1"/>
      <c r="J80" s="1"/>
      <c r="K80" s="1"/>
      <c r="L80" s="17" t="s">
        <v>329</v>
      </c>
      <c r="M80" s="17" t="s">
        <v>330</v>
      </c>
      <c r="N80" s="17">
        <v>41</v>
      </c>
      <c r="O80" s="15" t="s">
        <v>31</v>
      </c>
    </row>
    <row r="81" spans="1:15" x14ac:dyDescent="0.2">
      <c r="A81" s="21" t="s">
        <v>331</v>
      </c>
      <c r="B81" s="17" t="s">
        <v>332</v>
      </c>
      <c r="C81" s="17"/>
      <c r="D81" s="1"/>
      <c r="E81" s="1">
        <v>2150</v>
      </c>
      <c r="F81" s="1">
        <v>2440</v>
      </c>
      <c r="G81" s="1">
        <v>117</v>
      </c>
      <c r="H81" s="1"/>
      <c r="I81" s="1"/>
      <c r="J81" s="1"/>
      <c r="K81" s="1"/>
      <c r="L81" s="17" t="s">
        <v>333</v>
      </c>
      <c r="M81" s="17" t="s">
        <v>334</v>
      </c>
      <c r="N81" s="17">
        <v>19</v>
      </c>
      <c r="O81" s="15" t="s">
        <v>31</v>
      </c>
    </row>
    <row r="82" spans="1:15" x14ac:dyDescent="0.2">
      <c r="A82" s="17" t="s">
        <v>335</v>
      </c>
      <c r="B82" s="17" t="s">
        <v>336</v>
      </c>
      <c r="C82" s="17">
        <v>15</v>
      </c>
      <c r="D82" s="1"/>
      <c r="E82" s="1">
        <v>1220</v>
      </c>
      <c r="F82" s="1">
        <v>2440</v>
      </c>
      <c r="G82" s="1">
        <v>29</v>
      </c>
      <c r="H82" s="1"/>
      <c r="I82" s="1"/>
      <c r="J82" s="1"/>
      <c r="K82" s="1"/>
      <c r="L82" s="17" t="s">
        <v>337</v>
      </c>
      <c r="M82" s="17" t="s">
        <v>338</v>
      </c>
      <c r="N82" s="17">
        <v>25</v>
      </c>
      <c r="O82" s="15" t="s">
        <v>31</v>
      </c>
    </row>
    <row r="83" spans="1:15" ht="17.25" customHeight="1" x14ac:dyDescent="0.2">
      <c r="A83" s="17" t="s">
        <v>339</v>
      </c>
      <c r="B83" s="17" t="s">
        <v>340</v>
      </c>
      <c r="C83" s="17">
        <v>18</v>
      </c>
      <c r="D83" s="1"/>
      <c r="E83" s="1">
        <v>1830</v>
      </c>
      <c r="F83" s="1">
        <v>2440</v>
      </c>
      <c r="G83" s="1">
        <v>50</v>
      </c>
      <c r="H83" s="1"/>
      <c r="I83" s="1"/>
      <c r="J83" s="1"/>
      <c r="K83" s="1"/>
      <c r="L83" s="17" t="s">
        <v>341</v>
      </c>
      <c r="M83" s="17" t="s">
        <v>342</v>
      </c>
      <c r="N83" s="17">
        <v>33</v>
      </c>
      <c r="O83" s="15" t="s">
        <v>31</v>
      </c>
    </row>
    <row r="84" spans="1:15" x14ac:dyDescent="0.2">
      <c r="A84" s="17" t="s">
        <v>343</v>
      </c>
      <c r="B84" s="17" t="s">
        <v>344</v>
      </c>
      <c r="C84" s="17">
        <v>9</v>
      </c>
      <c r="D84" s="1"/>
      <c r="E84" s="1">
        <v>2150</v>
      </c>
      <c r="F84" s="1">
        <v>2440</v>
      </c>
      <c r="G84" s="1">
        <v>33</v>
      </c>
      <c r="H84" s="1"/>
      <c r="I84" s="1"/>
      <c r="J84" s="1"/>
      <c r="K84" s="1"/>
      <c r="L84" s="17" t="s">
        <v>345</v>
      </c>
      <c r="M84" s="17" t="s">
        <v>346</v>
      </c>
      <c r="N84" s="17">
        <v>44</v>
      </c>
      <c r="O84" s="15" t="s">
        <v>31</v>
      </c>
    </row>
    <row r="85" spans="1:15" x14ac:dyDescent="0.2">
      <c r="A85" s="17" t="s">
        <v>347</v>
      </c>
      <c r="B85" s="17" t="s">
        <v>348</v>
      </c>
      <c r="C85" s="17">
        <v>12</v>
      </c>
      <c r="D85" s="1"/>
      <c r="E85" s="1">
        <v>2150</v>
      </c>
      <c r="F85" s="1">
        <v>2440</v>
      </c>
      <c r="G85" s="1">
        <v>41</v>
      </c>
      <c r="H85" s="1"/>
      <c r="I85" s="1"/>
      <c r="J85" s="1"/>
      <c r="K85" s="1"/>
      <c r="L85" s="17" t="s">
        <v>349</v>
      </c>
      <c r="M85" s="17" t="s">
        <v>350</v>
      </c>
      <c r="N85" s="17">
        <v>33</v>
      </c>
      <c r="O85" s="15" t="s">
        <v>31</v>
      </c>
    </row>
    <row r="86" spans="1:15" x14ac:dyDescent="0.2">
      <c r="A86" s="17" t="s">
        <v>351</v>
      </c>
      <c r="B86" s="17" t="s">
        <v>352</v>
      </c>
      <c r="C86" s="17">
        <v>15</v>
      </c>
      <c r="D86" s="1"/>
      <c r="E86" s="1">
        <v>2150</v>
      </c>
      <c r="F86" s="1">
        <v>2440</v>
      </c>
      <c r="G86" s="1">
        <v>52</v>
      </c>
      <c r="H86" s="1"/>
      <c r="I86" s="1"/>
      <c r="J86" s="1"/>
      <c r="K86" s="1"/>
      <c r="L86" s="17" t="s">
        <v>353</v>
      </c>
      <c r="M86" s="17" t="s">
        <v>354</v>
      </c>
      <c r="N86" s="17">
        <v>29</v>
      </c>
      <c r="O86" s="15" t="s">
        <v>22</v>
      </c>
    </row>
    <row r="87" spans="1:15" x14ac:dyDescent="0.2">
      <c r="A87" s="17" t="s">
        <v>355</v>
      </c>
      <c r="B87" s="17" t="s">
        <v>356</v>
      </c>
      <c r="C87" s="17">
        <v>18</v>
      </c>
      <c r="D87" s="1"/>
      <c r="E87" s="1">
        <v>2150</v>
      </c>
      <c r="F87" s="1">
        <v>2440</v>
      </c>
      <c r="G87" s="1">
        <v>61</v>
      </c>
      <c r="H87" s="1"/>
      <c r="I87" s="1"/>
      <c r="J87" s="1"/>
      <c r="K87" s="1"/>
      <c r="L87" s="17" t="s">
        <v>357</v>
      </c>
      <c r="M87" s="17" t="s">
        <v>358</v>
      </c>
      <c r="N87" s="17">
        <v>22</v>
      </c>
      <c r="O87" s="15" t="s">
        <v>31</v>
      </c>
    </row>
    <row r="88" spans="1:15" x14ac:dyDescent="0.2">
      <c r="A88" s="17" t="s">
        <v>359</v>
      </c>
      <c r="B88" s="17" t="s">
        <v>360</v>
      </c>
      <c r="C88" s="17">
        <v>25</v>
      </c>
      <c r="D88" s="1"/>
      <c r="E88" s="1">
        <v>2150</v>
      </c>
      <c r="F88" s="1">
        <v>2440</v>
      </c>
      <c r="G88" s="1">
        <v>83</v>
      </c>
      <c r="H88" s="1"/>
      <c r="I88" s="1"/>
      <c r="J88" s="1"/>
      <c r="K88" s="1"/>
      <c r="L88" s="17" t="s">
        <v>361</v>
      </c>
      <c r="M88" s="17" t="s">
        <v>362</v>
      </c>
      <c r="N88" s="17">
        <v>22</v>
      </c>
      <c r="O88" s="15" t="s">
        <v>22</v>
      </c>
    </row>
    <row r="89" spans="1:15" x14ac:dyDescent="0.2">
      <c r="A89" s="17" t="s">
        <v>363</v>
      </c>
      <c r="B89" s="17" t="s">
        <v>364</v>
      </c>
      <c r="C89" s="17">
        <v>30</v>
      </c>
      <c r="D89" s="1"/>
      <c r="E89" s="1">
        <v>2150</v>
      </c>
      <c r="F89" s="1">
        <v>2440</v>
      </c>
      <c r="G89" s="1">
        <v>97</v>
      </c>
      <c r="H89" s="1"/>
      <c r="I89" s="1"/>
      <c r="J89" s="1"/>
      <c r="K89" s="1"/>
      <c r="L89" s="17" t="s">
        <v>365</v>
      </c>
      <c r="M89" s="17" t="s">
        <v>366</v>
      </c>
      <c r="N89" s="17">
        <v>33</v>
      </c>
      <c r="O89" s="15" t="s">
        <v>31</v>
      </c>
    </row>
    <row r="90" spans="1:15" x14ac:dyDescent="0.2">
      <c r="A90" s="17" t="s">
        <v>367</v>
      </c>
      <c r="B90" s="17" t="s">
        <v>368</v>
      </c>
      <c r="C90" s="17">
        <v>25</v>
      </c>
      <c r="D90" s="1"/>
      <c r="E90" s="1">
        <v>1530</v>
      </c>
      <c r="F90" s="1">
        <v>2440</v>
      </c>
      <c r="G90" s="1">
        <v>63</v>
      </c>
      <c r="H90" s="1"/>
      <c r="I90" s="1"/>
      <c r="J90" s="1"/>
      <c r="K90" s="1"/>
      <c r="L90" s="17" t="s">
        <v>369</v>
      </c>
      <c r="M90" s="17" t="s">
        <v>370</v>
      </c>
      <c r="N90" s="17">
        <v>19</v>
      </c>
      <c r="O90" s="15" t="s">
        <v>31</v>
      </c>
    </row>
    <row r="91" spans="1:15" x14ac:dyDescent="0.2">
      <c r="A91" s="17" t="s">
        <v>371</v>
      </c>
      <c r="B91" s="17" t="s">
        <v>368</v>
      </c>
      <c r="C91" s="17">
        <v>25</v>
      </c>
      <c r="D91" s="1"/>
      <c r="E91" s="1">
        <v>1530</v>
      </c>
      <c r="F91" s="1">
        <v>2440</v>
      </c>
      <c r="G91" s="1">
        <v>63</v>
      </c>
      <c r="H91" s="1"/>
      <c r="I91" s="1"/>
      <c r="J91" s="1"/>
      <c r="K91" s="1"/>
      <c r="L91" s="17" t="s">
        <v>372</v>
      </c>
      <c r="M91" s="17" t="s">
        <v>373</v>
      </c>
      <c r="N91" s="17">
        <v>44</v>
      </c>
      <c r="O91" s="15" t="s">
        <v>31</v>
      </c>
    </row>
    <row r="92" spans="1:15" x14ac:dyDescent="0.2">
      <c r="A92" s="17" t="s">
        <v>374</v>
      </c>
      <c r="B92" s="17" t="s">
        <v>375</v>
      </c>
      <c r="C92" s="17">
        <v>12</v>
      </c>
      <c r="D92" s="1"/>
      <c r="E92" s="1">
        <v>1830</v>
      </c>
      <c r="F92" s="1">
        <v>2440</v>
      </c>
      <c r="G92" s="1">
        <v>35</v>
      </c>
      <c r="H92" s="1"/>
      <c r="I92" s="1"/>
      <c r="J92" s="1"/>
      <c r="K92" s="1"/>
      <c r="L92" s="17" t="s">
        <v>376</v>
      </c>
      <c r="M92" s="17" t="s">
        <v>377</v>
      </c>
      <c r="N92" s="17">
        <v>16</v>
      </c>
      <c r="O92" s="15" t="s">
        <v>31</v>
      </c>
    </row>
    <row r="93" spans="1:15" x14ac:dyDescent="0.2">
      <c r="A93" s="17" t="s">
        <v>378</v>
      </c>
      <c r="B93" s="17" t="s">
        <v>379</v>
      </c>
      <c r="C93" s="17">
        <v>18</v>
      </c>
      <c r="D93" s="1"/>
      <c r="E93" s="1">
        <v>1830</v>
      </c>
      <c r="F93" s="1">
        <v>2440</v>
      </c>
      <c r="G93" s="1">
        <v>50</v>
      </c>
      <c r="H93" s="1"/>
      <c r="I93" s="1"/>
      <c r="J93" s="1"/>
      <c r="K93" s="1"/>
      <c r="L93" s="17" t="s">
        <v>380</v>
      </c>
      <c r="M93" s="17" t="s">
        <v>381</v>
      </c>
      <c r="N93" s="17">
        <v>19</v>
      </c>
      <c r="O93" s="15" t="s">
        <v>31</v>
      </c>
    </row>
    <row r="94" spans="1:15" x14ac:dyDescent="0.2">
      <c r="A94" s="17" t="s">
        <v>382</v>
      </c>
      <c r="B94" s="17" t="s">
        <v>383</v>
      </c>
      <c r="C94" s="17" t="s">
        <v>384</v>
      </c>
      <c r="D94" s="1"/>
      <c r="E94" s="1">
        <v>2150</v>
      </c>
      <c r="F94" s="1">
        <v>2440</v>
      </c>
      <c r="G94" s="1">
        <v>117</v>
      </c>
      <c r="H94" s="1"/>
      <c r="I94" s="1"/>
      <c r="J94" s="1"/>
      <c r="K94" s="1"/>
      <c r="L94" s="17" t="s">
        <v>385</v>
      </c>
      <c r="M94" s="17" t="s">
        <v>386</v>
      </c>
      <c r="N94" s="17">
        <v>22</v>
      </c>
      <c r="O94" s="15" t="s">
        <v>31</v>
      </c>
    </row>
    <row r="95" spans="1:15" x14ac:dyDescent="0.2">
      <c r="A95" s="17" t="s">
        <v>387</v>
      </c>
      <c r="B95" s="17" t="s">
        <v>388</v>
      </c>
      <c r="C95" s="17">
        <v>9</v>
      </c>
      <c r="D95" s="1"/>
      <c r="E95" s="1">
        <v>2150</v>
      </c>
      <c r="F95" s="1">
        <v>2440</v>
      </c>
      <c r="G95" s="1">
        <v>33</v>
      </c>
      <c r="H95" s="1"/>
      <c r="I95" s="1"/>
      <c r="J95" s="1"/>
      <c r="K95" s="1"/>
      <c r="L95" s="17" t="s">
        <v>389</v>
      </c>
      <c r="M95" s="17" t="s">
        <v>390</v>
      </c>
      <c r="N95" s="17">
        <v>25</v>
      </c>
      <c r="O95" s="15" t="s">
        <v>31</v>
      </c>
    </row>
    <row r="96" spans="1:15" x14ac:dyDescent="0.2">
      <c r="A96" s="17" t="s">
        <v>391</v>
      </c>
      <c r="B96" s="17" t="s">
        <v>392</v>
      </c>
      <c r="C96" s="17">
        <v>15</v>
      </c>
      <c r="D96" s="1"/>
      <c r="E96" s="1">
        <v>1830</v>
      </c>
      <c r="F96" s="1">
        <v>2440</v>
      </c>
      <c r="G96" s="1">
        <v>41</v>
      </c>
      <c r="H96" s="1"/>
      <c r="I96" s="1"/>
      <c r="J96" s="1"/>
      <c r="K96" s="1"/>
      <c r="L96" s="17" t="s">
        <v>393</v>
      </c>
      <c r="M96" s="17" t="s">
        <v>394</v>
      </c>
      <c r="N96" s="17">
        <v>33</v>
      </c>
      <c r="O96" s="15" t="s">
        <v>31</v>
      </c>
    </row>
    <row r="97" spans="1:15" x14ac:dyDescent="0.2">
      <c r="A97" s="17" t="s">
        <v>395</v>
      </c>
      <c r="B97" s="17" t="s">
        <v>396</v>
      </c>
      <c r="C97" s="17">
        <v>9</v>
      </c>
      <c r="D97" s="1"/>
      <c r="E97" s="1">
        <v>2150</v>
      </c>
      <c r="F97" s="1">
        <v>2440</v>
      </c>
      <c r="G97" s="1">
        <v>33</v>
      </c>
      <c r="H97" s="1"/>
      <c r="I97" s="1"/>
      <c r="J97" s="1"/>
      <c r="K97" s="1"/>
      <c r="L97" s="22" t="s">
        <v>397</v>
      </c>
      <c r="M97" s="17" t="s">
        <v>398</v>
      </c>
      <c r="N97" s="17">
        <v>16</v>
      </c>
      <c r="O97" s="15" t="s">
        <v>31</v>
      </c>
    </row>
    <row r="98" spans="1:15" x14ac:dyDescent="0.2">
      <c r="A98" s="17" t="s">
        <v>399</v>
      </c>
      <c r="B98" s="17" t="s">
        <v>400</v>
      </c>
      <c r="C98" s="17"/>
      <c r="D98" s="1"/>
      <c r="E98" s="1">
        <v>2150</v>
      </c>
      <c r="F98" s="1">
        <v>2440</v>
      </c>
      <c r="G98" s="1">
        <v>117</v>
      </c>
      <c r="H98" s="1"/>
      <c r="I98" s="1"/>
      <c r="J98" s="1"/>
      <c r="K98" s="1"/>
      <c r="L98" s="17" t="s">
        <v>401</v>
      </c>
      <c r="M98" s="17" t="s">
        <v>402</v>
      </c>
      <c r="N98" s="17">
        <v>33</v>
      </c>
      <c r="O98" s="15" t="s">
        <v>22</v>
      </c>
    </row>
    <row r="99" spans="1:15" x14ac:dyDescent="0.2">
      <c r="A99" s="17" t="s">
        <v>403</v>
      </c>
      <c r="B99" s="17" t="s">
        <v>404</v>
      </c>
      <c r="C99" s="17">
        <v>18</v>
      </c>
      <c r="D99" s="1"/>
      <c r="E99" s="1">
        <v>2150</v>
      </c>
      <c r="F99" s="1">
        <v>2440</v>
      </c>
      <c r="G99" s="1">
        <v>61</v>
      </c>
      <c r="H99" s="1"/>
      <c r="I99" s="1"/>
      <c r="J99" s="1"/>
      <c r="K99" s="1"/>
      <c r="L99" s="17" t="s">
        <v>405</v>
      </c>
      <c r="M99" s="17" t="s">
        <v>406</v>
      </c>
      <c r="N99" s="17">
        <v>33</v>
      </c>
      <c r="O99" s="15" t="s">
        <v>31</v>
      </c>
    </row>
    <row r="100" spans="1:15" x14ac:dyDescent="0.2">
      <c r="A100" s="17" t="s">
        <v>407</v>
      </c>
      <c r="B100" s="17" t="s">
        <v>408</v>
      </c>
      <c r="C100" s="17">
        <v>10</v>
      </c>
      <c r="D100" s="1"/>
      <c r="E100" s="1">
        <v>1220</v>
      </c>
      <c r="F100" s="1">
        <v>2440</v>
      </c>
      <c r="G100" s="1">
        <v>20</v>
      </c>
      <c r="H100" s="1"/>
      <c r="I100" s="1"/>
      <c r="J100" s="1"/>
      <c r="K100" s="1"/>
      <c r="L100" s="17" t="s">
        <v>409</v>
      </c>
      <c r="M100" s="17" t="s">
        <v>410</v>
      </c>
      <c r="N100" s="17">
        <v>44</v>
      </c>
      <c r="O100" s="15" t="s">
        <v>31</v>
      </c>
    </row>
    <row r="101" spans="1:15" x14ac:dyDescent="0.2">
      <c r="A101" s="17" t="s">
        <v>411</v>
      </c>
      <c r="B101" s="17" t="s">
        <v>412</v>
      </c>
      <c r="C101" s="17">
        <v>18</v>
      </c>
      <c r="D101" s="1"/>
      <c r="E101" s="1">
        <v>2150</v>
      </c>
      <c r="F101" s="1">
        <v>2440</v>
      </c>
      <c r="G101" s="1">
        <v>30</v>
      </c>
      <c r="H101" s="1"/>
      <c r="I101" s="1"/>
      <c r="J101" s="1"/>
      <c r="K101" s="1"/>
      <c r="L101" s="17" t="s">
        <v>413</v>
      </c>
      <c r="M101" s="17" t="s">
        <v>414</v>
      </c>
      <c r="N101" s="17">
        <v>19</v>
      </c>
      <c r="O101" s="15" t="s">
        <v>31</v>
      </c>
    </row>
    <row r="102" spans="1:15" x14ac:dyDescent="0.2">
      <c r="A102" s="17" t="s">
        <v>415</v>
      </c>
      <c r="B102" s="17" t="s">
        <v>416</v>
      </c>
      <c r="C102" s="17">
        <v>6</v>
      </c>
      <c r="D102" s="1"/>
      <c r="E102" s="1">
        <v>2150</v>
      </c>
      <c r="F102" s="1">
        <v>2440</v>
      </c>
      <c r="G102" s="1">
        <v>23</v>
      </c>
      <c r="H102" s="1"/>
      <c r="I102" s="1"/>
      <c r="J102" s="1"/>
      <c r="K102" s="1"/>
      <c r="L102" s="17" t="s">
        <v>417</v>
      </c>
      <c r="M102" s="17" t="s">
        <v>418</v>
      </c>
      <c r="N102" s="17">
        <v>22</v>
      </c>
      <c r="O102" s="15" t="s">
        <v>31</v>
      </c>
    </row>
    <row r="103" spans="1:15" x14ac:dyDescent="0.2">
      <c r="A103" s="17" t="s">
        <v>419</v>
      </c>
      <c r="B103" s="17" t="s">
        <v>420</v>
      </c>
      <c r="C103" s="17">
        <v>6</v>
      </c>
      <c r="D103" s="1"/>
      <c r="E103" s="1">
        <v>2150</v>
      </c>
      <c r="F103" s="1">
        <v>2440</v>
      </c>
      <c r="G103" s="1">
        <v>23</v>
      </c>
      <c r="H103" s="1"/>
      <c r="I103" s="1"/>
      <c r="J103" s="1"/>
      <c r="K103" s="1"/>
      <c r="L103" s="17" t="s">
        <v>421</v>
      </c>
      <c r="M103" s="17" t="s">
        <v>422</v>
      </c>
      <c r="N103" s="17">
        <v>44</v>
      </c>
      <c r="O103" s="15" t="s">
        <v>31</v>
      </c>
    </row>
    <row r="104" spans="1:15" x14ac:dyDescent="0.2">
      <c r="A104" s="17" t="s">
        <v>423</v>
      </c>
      <c r="B104" s="17" t="s">
        <v>424</v>
      </c>
      <c r="C104" s="17">
        <v>18</v>
      </c>
      <c r="D104" s="1"/>
      <c r="E104" s="1">
        <v>2150</v>
      </c>
      <c r="F104" s="1">
        <v>2440</v>
      </c>
      <c r="G104" s="1">
        <v>61</v>
      </c>
      <c r="H104" s="1"/>
      <c r="I104" s="1"/>
      <c r="J104" s="1"/>
      <c r="K104" s="1"/>
      <c r="L104" s="17" t="s">
        <v>425</v>
      </c>
      <c r="M104" s="17" t="s">
        <v>426</v>
      </c>
      <c r="N104" s="17">
        <v>16</v>
      </c>
      <c r="O104" s="15" t="s">
        <v>31</v>
      </c>
    </row>
    <row r="105" spans="1:15" x14ac:dyDescent="0.2">
      <c r="A105" s="17" t="s">
        <v>427</v>
      </c>
      <c r="B105" s="17" t="s">
        <v>428</v>
      </c>
      <c r="C105" s="17">
        <v>36</v>
      </c>
      <c r="D105" s="1"/>
      <c r="E105" s="1">
        <v>2150</v>
      </c>
      <c r="F105" s="1">
        <v>2440</v>
      </c>
      <c r="G105" s="1">
        <v>117</v>
      </c>
      <c r="H105" s="1"/>
      <c r="I105" s="1"/>
      <c r="J105" s="1"/>
      <c r="K105" s="1"/>
      <c r="L105" s="17" t="s">
        <v>429</v>
      </c>
      <c r="M105" s="17" t="s">
        <v>430</v>
      </c>
      <c r="N105" s="17">
        <v>22</v>
      </c>
      <c r="O105" s="2" t="s">
        <v>431</v>
      </c>
    </row>
    <row r="106" spans="1:15" x14ac:dyDescent="0.2">
      <c r="A106" s="17" t="s">
        <v>432</v>
      </c>
      <c r="B106" s="17" t="s">
        <v>433</v>
      </c>
      <c r="C106" s="17">
        <v>25</v>
      </c>
      <c r="D106" s="1"/>
      <c r="E106" s="1">
        <v>1830</v>
      </c>
      <c r="F106" s="1">
        <v>2440</v>
      </c>
      <c r="G106" s="1">
        <v>71</v>
      </c>
      <c r="H106" s="1"/>
      <c r="I106" s="1"/>
      <c r="J106" s="1"/>
      <c r="K106" s="1"/>
      <c r="L106" s="17" t="s">
        <v>434</v>
      </c>
      <c r="M106" s="17" t="s">
        <v>435</v>
      </c>
      <c r="N106" s="17">
        <v>33</v>
      </c>
      <c r="O106" s="15" t="s">
        <v>22</v>
      </c>
    </row>
    <row r="107" spans="1:15" x14ac:dyDescent="0.2">
      <c r="A107" s="17" t="s">
        <v>436</v>
      </c>
      <c r="B107" s="17" t="s">
        <v>437</v>
      </c>
      <c r="C107" s="17">
        <v>3</v>
      </c>
      <c r="D107" s="1"/>
      <c r="E107" s="1">
        <v>1220</v>
      </c>
      <c r="F107" s="1">
        <v>2440</v>
      </c>
      <c r="G107" s="1">
        <v>6</v>
      </c>
      <c r="H107" s="1"/>
      <c r="I107" s="1"/>
      <c r="J107" s="1"/>
      <c r="K107" s="1"/>
      <c r="L107" s="17" t="s">
        <v>438</v>
      </c>
      <c r="M107" s="17" t="s">
        <v>439</v>
      </c>
      <c r="N107" s="17">
        <v>15</v>
      </c>
      <c r="O107" s="2" t="s">
        <v>36</v>
      </c>
    </row>
    <row r="108" spans="1:15" x14ac:dyDescent="0.2">
      <c r="A108" s="17" t="s">
        <v>440</v>
      </c>
      <c r="B108" s="17" t="s">
        <v>441</v>
      </c>
      <c r="C108" s="17"/>
      <c r="D108" s="1"/>
      <c r="E108" s="1">
        <v>2150</v>
      </c>
      <c r="F108" s="1">
        <v>2440</v>
      </c>
      <c r="G108" s="1">
        <v>117</v>
      </c>
      <c r="H108" s="1"/>
      <c r="I108" s="1"/>
      <c r="J108" s="1"/>
      <c r="K108" s="1"/>
      <c r="L108" s="17" t="s">
        <v>442</v>
      </c>
      <c r="M108" s="17" t="s">
        <v>443</v>
      </c>
      <c r="N108" s="17">
        <v>19</v>
      </c>
      <c r="O108" s="15" t="s">
        <v>31</v>
      </c>
    </row>
    <row r="109" spans="1:15" x14ac:dyDescent="0.2">
      <c r="A109" s="17" t="s">
        <v>444</v>
      </c>
      <c r="B109" s="17" t="s">
        <v>445</v>
      </c>
      <c r="C109" s="17">
        <v>9</v>
      </c>
      <c r="D109" s="1"/>
      <c r="E109" s="1">
        <v>2150</v>
      </c>
      <c r="F109" s="1">
        <v>2440</v>
      </c>
      <c r="G109" s="1">
        <v>33</v>
      </c>
      <c r="H109" s="1"/>
      <c r="I109" s="1"/>
      <c r="J109" s="1"/>
      <c r="K109" s="1"/>
      <c r="L109" s="17" t="s">
        <v>446</v>
      </c>
      <c r="M109" s="17" t="s">
        <v>447</v>
      </c>
      <c r="N109" s="17">
        <v>22</v>
      </c>
      <c r="O109" s="15" t="s">
        <v>31</v>
      </c>
    </row>
    <row r="110" spans="1:15" x14ac:dyDescent="0.2">
      <c r="A110" s="17" t="s">
        <v>448</v>
      </c>
      <c r="B110" s="17" t="s">
        <v>449</v>
      </c>
      <c r="C110" s="17">
        <v>9</v>
      </c>
      <c r="D110" s="1"/>
      <c r="E110" s="1">
        <v>2150</v>
      </c>
      <c r="F110" s="1">
        <v>2440</v>
      </c>
      <c r="G110" s="1">
        <v>33</v>
      </c>
      <c r="H110" s="1"/>
      <c r="I110" s="1"/>
      <c r="J110" s="1"/>
      <c r="K110" s="1"/>
      <c r="L110" s="17" t="s">
        <v>450</v>
      </c>
      <c r="M110" s="17" t="s">
        <v>451</v>
      </c>
      <c r="N110" s="17">
        <v>33</v>
      </c>
      <c r="O110" s="15" t="s">
        <v>31</v>
      </c>
    </row>
    <row r="111" spans="1:15" x14ac:dyDescent="0.2">
      <c r="A111" s="17" t="s">
        <v>452</v>
      </c>
      <c r="B111" s="17" t="s">
        <v>453</v>
      </c>
      <c r="C111" s="17">
        <v>12</v>
      </c>
      <c r="D111" s="1"/>
      <c r="E111" s="1">
        <v>2150</v>
      </c>
      <c r="F111" s="1">
        <v>2440</v>
      </c>
      <c r="G111" s="1">
        <v>41</v>
      </c>
      <c r="H111" s="1"/>
      <c r="I111" s="1"/>
      <c r="J111" s="1"/>
      <c r="K111" s="1"/>
      <c r="L111" s="17" t="s">
        <v>454</v>
      </c>
      <c r="M111" s="17" t="s">
        <v>455</v>
      </c>
      <c r="N111" s="17">
        <v>44</v>
      </c>
      <c r="O111" s="15" t="s">
        <v>31</v>
      </c>
    </row>
    <row r="112" spans="1:15" x14ac:dyDescent="0.2">
      <c r="A112" s="17" t="s">
        <v>456</v>
      </c>
      <c r="B112" s="17" t="s">
        <v>457</v>
      </c>
      <c r="C112" s="17">
        <v>18</v>
      </c>
      <c r="D112" s="1"/>
      <c r="E112" s="1">
        <v>2150</v>
      </c>
      <c r="F112" s="1">
        <v>2440</v>
      </c>
      <c r="G112" s="1">
        <v>61</v>
      </c>
      <c r="H112" s="1"/>
      <c r="I112" s="1"/>
      <c r="J112" s="1"/>
      <c r="K112" s="1"/>
      <c r="L112" s="17" t="s">
        <v>458</v>
      </c>
      <c r="M112" s="17" t="s">
        <v>459</v>
      </c>
      <c r="N112" s="17">
        <v>19</v>
      </c>
      <c r="O112" s="15" t="s">
        <v>31</v>
      </c>
    </row>
    <row r="113" spans="1:15" x14ac:dyDescent="0.2">
      <c r="A113" s="17" t="s">
        <v>460</v>
      </c>
      <c r="B113" s="17" t="s">
        <v>461</v>
      </c>
      <c r="C113" s="17">
        <v>6</v>
      </c>
      <c r="D113" s="1"/>
      <c r="E113" s="1">
        <v>2150</v>
      </c>
      <c r="F113" s="1">
        <v>2440</v>
      </c>
      <c r="G113" s="1">
        <v>23</v>
      </c>
      <c r="H113" s="1"/>
      <c r="I113" s="1"/>
      <c r="J113" s="1"/>
      <c r="K113" s="1"/>
      <c r="L113" s="17" t="s">
        <v>462</v>
      </c>
      <c r="M113" s="17" t="s">
        <v>463</v>
      </c>
      <c r="N113" s="17">
        <v>22</v>
      </c>
      <c r="O113" s="15" t="s">
        <v>31</v>
      </c>
    </row>
    <row r="114" spans="1:15" x14ac:dyDescent="0.2">
      <c r="A114" s="17" t="s">
        <v>464</v>
      </c>
      <c r="B114" s="17" t="s">
        <v>465</v>
      </c>
      <c r="C114" s="17">
        <v>3</v>
      </c>
      <c r="D114" s="1"/>
      <c r="E114" s="1">
        <v>1220</v>
      </c>
      <c r="F114" s="1">
        <v>2440</v>
      </c>
      <c r="G114" s="1">
        <v>6</v>
      </c>
      <c r="H114" s="1"/>
      <c r="I114" s="1"/>
      <c r="J114" s="1"/>
      <c r="K114" s="1"/>
      <c r="L114" s="17" t="s">
        <v>466</v>
      </c>
      <c r="M114" s="17" t="s">
        <v>467</v>
      </c>
      <c r="N114" s="17">
        <v>19</v>
      </c>
      <c r="O114" s="15" t="s">
        <v>31</v>
      </c>
    </row>
    <row r="115" spans="1:15" x14ac:dyDescent="0.2">
      <c r="A115" s="17" t="s">
        <v>32</v>
      </c>
      <c r="B115" s="17" t="s">
        <v>468</v>
      </c>
      <c r="C115" s="17">
        <v>18</v>
      </c>
      <c r="D115" s="1"/>
      <c r="E115" s="1">
        <v>1220</v>
      </c>
      <c r="F115" s="1">
        <v>2440</v>
      </c>
      <c r="G115" s="1">
        <v>35</v>
      </c>
      <c r="H115" s="1"/>
      <c r="I115" s="1"/>
      <c r="J115" s="1"/>
      <c r="K115" s="1"/>
      <c r="L115" s="17" t="s">
        <v>469</v>
      </c>
      <c r="M115" s="17" t="s">
        <v>470</v>
      </c>
      <c r="N115" s="17">
        <v>22</v>
      </c>
      <c r="O115" s="15" t="s">
        <v>31</v>
      </c>
    </row>
    <row r="116" spans="1:15" x14ac:dyDescent="0.2">
      <c r="A116" s="17" t="s">
        <v>471</v>
      </c>
      <c r="B116" s="17" t="s">
        <v>472</v>
      </c>
      <c r="C116" s="17" t="s">
        <v>384</v>
      </c>
      <c r="D116" s="1"/>
      <c r="E116" s="1">
        <v>2150</v>
      </c>
      <c r="F116" s="1">
        <v>2440</v>
      </c>
      <c r="G116" s="1">
        <v>117</v>
      </c>
      <c r="H116" s="1"/>
      <c r="I116" s="1"/>
      <c r="J116" s="1"/>
      <c r="K116" s="1"/>
      <c r="L116" s="17" t="s">
        <v>473</v>
      </c>
      <c r="M116" s="17" t="s">
        <v>474</v>
      </c>
      <c r="N116" s="17">
        <v>44</v>
      </c>
      <c r="O116" s="15" t="s">
        <v>31</v>
      </c>
    </row>
    <row r="117" spans="1:15" x14ac:dyDescent="0.2">
      <c r="A117" s="17" t="s">
        <v>475</v>
      </c>
      <c r="B117" s="17" t="s">
        <v>476</v>
      </c>
      <c r="C117" s="17">
        <v>15</v>
      </c>
      <c r="D117" s="1"/>
      <c r="E117" s="1">
        <v>2150</v>
      </c>
      <c r="F117" s="1">
        <v>2440</v>
      </c>
      <c r="G117" s="1">
        <v>52</v>
      </c>
      <c r="H117" s="1"/>
      <c r="I117" s="1"/>
      <c r="J117" s="1"/>
      <c r="K117" s="1"/>
      <c r="L117" s="17" t="s">
        <v>477</v>
      </c>
      <c r="M117" s="17" t="s">
        <v>478</v>
      </c>
      <c r="N117" s="17">
        <v>22</v>
      </c>
      <c r="O117" s="15" t="s">
        <v>31</v>
      </c>
    </row>
    <row r="118" spans="1:15" x14ac:dyDescent="0.2">
      <c r="A118" s="17" t="s">
        <v>479</v>
      </c>
      <c r="B118" s="17" t="s">
        <v>480</v>
      </c>
      <c r="C118" s="17">
        <v>18</v>
      </c>
      <c r="D118" s="1"/>
      <c r="E118" s="1">
        <v>2150</v>
      </c>
      <c r="F118" s="1">
        <v>2440</v>
      </c>
      <c r="G118" s="1">
        <v>61</v>
      </c>
      <c r="H118" s="1"/>
      <c r="I118" s="1"/>
      <c r="J118" s="1"/>
      <c r="K118" s="1"/>
      <c r="L118" s="17" t="s">
        <v>481</v>
      </c>
      <c r="M118" s="17" t="s">
        <v>482</v>
      </c>
      <c r="N118" s="17">
        <v>33</v>
      </c>
      <c r="O118" s="15" t="s">
        <v>22</v>
      </c>
    </row>
    <row r="119" spans="1:15" x14ac:dyDescent="0.2">
      <c r="A119" s="17" t="s">
        <v>483</v>
      </c>
      <c r="B119" s="17" t="s">
        <v>484</v>
      </c>
      <c r="C119" s="17">
        <v>25</v>
      </c>
      <c r="D119" s="1"/>
      <c r="E119" s="1">
        <v>2150</v>
      </c>
      <c r="F119" s="1">
        <v>2440</v>
      </c>
      <c r="G119" s="1">
        <v>83</v>
      </c>
      <c r="H119" s="1"/>
      <c r="I119" s="1"/>
      <c r="J119" s="1"/>
      <c r="K119" s="1"/>
      <c r="L119" s="17" t="s">
        <v>485</v>
      </c>
      <c r="M119" s="17" t="s">
        <v>486</v>
      </c>
      <c r="N119" s="17">
        <v>44</v>
      </c>
      <c r="O119" s="15" t="s">
        <v>31</v>
      </c>
    </row>
    <row r="120" spans="1:15" x14ac:dyDescent="0.2">
      <c r="A120" s="17" t="s">
        <v>487</v>
      </c>
      <c r="B120" s="17" t="s">
        <v>488</v>
      </c>
      <c r="C120" s="17">
        <v>36</v>
      </c>
      <c r="D120" s="1"/>
      <c r="E120" s="1">
        <v>2150</v>
      </c>
      <c r="F120" s="1">
        <v>2440</v>
      </c>
      <c r="G120" s="1">
        <v>117</v>
      </c>
      <c r="H120" s="1"/>
      <c r="I120" s="1"/>
      <c r="J120" s="1"/>
      <c r="K120" s="1"/>
      <c r="L120" s="17" t="s">
        <v>489</v>
      </c>
      <c r="M120" s="17" t="s">
        <v>490</v>
      </c>
      <c r="N120" s="17">
        <v>19</v>
      </c>
      <c r="O120" s="15" t="s">
        <v>31</v>
      </c>
    </row>
    <row r="121" spans="1:15" x14ac:dyDescent="0.2">
      <c r="A121" s="17" t="s">
        <v>491</v>
      </c>
      <c r="B121" s="17" t="s">
        <v>492</v>
      </c>
      <c r="C121" s="17">
        <v>18</v>
      </c>
      <c r="D121" s="1"/>
      <c r="E121" s="1">
        <v>1830</v>
      </c>
      <c r="F121" s="1">
        <v>2440</v>
      </c>
      <c r="G121" s="1">
        <v>50</v>
      </c>
      <c r="H121" s="1"/>
      <c r="I121" s="1"/>
      <c r="J121" s="1"/>
      <c r="K121" s="1"/>
      <c r="L121" s="17" t="s">
        <v>493</v>
      </c>
      <c r="M121" s="17" t="s">
        <v>494</v>
      </c>
      <c r="N121" s="17">
        <v>33</v>
      </c>
      <c r="O121" s="15" t="s">
        <v>22</v>
      </c>
    </row>
    <row r="122" spans="1:15" x14ac:dyDescent="0.2">
      <c r="A122" s="17" t="s">
        <v>495</v>
      </c>
      <c r="B122" s="17" t="s">
        <v>496</v>
      </c>
      <c r="C122" s="17">
        <v>30</v>
      </c>
      <c r="D122" s="1"/>
      <c r="E122" s="1">
        <v>1830</v>
      </c>
      <c r="F122" s="1">
        <v>2440</v>
      </c>
      <c r="G122" s="1">
        <v>80</v>
      </c>
      <c r="H122" s="1"/>
      <c r="I122" s="1"/>
      <c r="J122" s="1"/>
      <c r="K122" s="1"/>
      <c r="L122" s="17" t="s">
        <v>497</v>
      </c>
      <c r="M122" s="17" t="s">
        <v>498</v>
      </c>
      <c r="N122" s="17">
        <v>33</v>
      </c>
      <c r="O122" s="15" t="s">
        <v>31</v>
      </c>
    </row>
    <row r="123" spans="1:15" x14ac:dyDescent="0.2">
      <c r="A123" s="17" t="s">
        <v>499</v>
      </c>
      <c r="B123" s="17" t="s">
        <v>500</v>
      </c>
      <c r="C123" s="17">
        <v>9</v>
      </c>
      <c r="D123" s="1"/>
      <c r="E123" s="1">
        <v>2150</v>
      </c>
      <c r="F123" s="1">
        <v>2440</v>
      </c>
      <c r="G123" s="1">
        <v>33</v>
      </c>
      <c r="H123" s="1"/>
      <c r="I123" s="1"/>
      <c r="J123" s="1"/>
      <c r="K123" s="1"/>
      <c r="L123" s="17" t="s">
        <v>501</v>
      </c>
      <c r="M123" s="17" t="s">
        <v>502</v>
      </c>
      <c r="N123" s="17"/>
      <c r="O123" s="2" t="s">
        <v>36</v>
      </c>
    </row>
    <row r="124" spans="1:15" x14ac:dyDescent="0.2">
      <c r="A124" s="17" t="s">
        <v>503</v>
      </c>
      <c r="B124" s="17" t="s">
        <v>504</v>
      </c>
      <c r="C124" s="17">
        <v>12</v>
      </c>
      <c r="D124" s="1"/>
      <c r="E124" s="1">
        <v>2150</v>
      </c>
      <c r="F124" s="1">
        <v>2440</v>
      </c>
      <c r="G124" s="1">
        <v>41</v>
      </c>
      <c r="H124" s="1"/>
      <c r="I124" s="1"/>
      <c r="J124" s="1"/>
      <c r="K124" s="1"/>
      <c r="L124" s="17" t="s">
        <v>505</v>
      </c>
      <c r="M124" s="17" t="s">
        <v>506</v>
      </c>
      <c r="N124" s="17">
        <v>22</v>
      </c>
      <c r="O124" s="15" t="s">
        <v>31</v>
      </c>
    </row>
    <row r="125" spans="1:15" x14ac:dyDescent="0.2">
      <c r="A125" s="17" t="s">
        <v>507</v>
      </c>
      <c r="B125" s="17" t="s">
        <v>508</v>
      </c>
      <c r="C125" s="17">
        <v>15</v>
      </c>
      <c r="D125" s="1"/>
      <c r="E125" s="1">
        <v>2150</v>
      </c>
      <c r="F125" s="1">
        <v>2440</v>
      </c>
      <c r="G125" s="1">
        <v>52</v>
      </c>
      <c r="H125" s="1"/>
      <c r="I125" s="1"/>
      <c r="J125" s="1"/>
      <c r="K125" s="1"/>
      <c r="L125" s="17" t="s">
        <v>509</v>
      </c>
      <c r="M125" s="17" t="s">
        <v>510</v>
      </c>
      <c r="N125" s="17">
        <v>25</v>
      </c>
      <c r="O125" s="15" t="s">
        <v>31</v>
      </c>
    </row>
    <row r="126" spans="1:15" x14ac:dyDescent="0.2">
      <c r="A126" s="17" t="s">
        <v>511</v>
      </c>
      <c r="B126" s="17" t="s">
        <v>512</v>
      </c>
      <c r="C126" s="17">
        <v>18</v>
      </c>
      <c r="D126" s="1"/>
      <c r="E126" s="1">
        <v>2150</v>
      </c>
      <c r="F126" s="1">
        <v>2440</v>
      </c>
      <c r="G126" s="1">
        <v>61</v>
      </c>
      <c r="H126" s="1"/>
      <c r="I126" s="1"/>
      <c r="J126" s="1"/>
      <c r="K126" s="1"/>
      <c r="L126" s="17" t="s">
        <v>513</v>
      </c>
      <c r="M126" s="17" t="s">
        <v>514</v>
      </c>
      <c r="N126" s="17">
        <v>33</v>
      </c>
      <c r="O126" s="15" t="s">
        <v>31</v>
      </c>
    </row>
    <row r="127" spans="1:15" x14ac:dyDescent="0.2">
      <c r="A127" s="17" t="s">
        <v>515</v>
      </c>
      <c r="B127" s="17" t="s">
        <v>500</v>
      </c>
      <c r="C127" s="17">
        <v>9</v>
      </c>
      <c r="D127" s="1"/>
      <c r="E127" s="1">
        <v>2150</v>
      </c>
      <c r="F127" s="1">
        <v>2440</v>
      </c>
      <c r="G127" s="1">
        <v>33</v>
      </c>
      <c r="H127" s="1"/>
      <c r="I127" s="1"/>
      <c r="J127" s="1"/>
      <c r="K127" s="1"/>
      <c r="L127" s="17" t="s">
        <v>516</v>
      </c>
      <c r="M127" s="17" t="s">
        <v>517</v>
      </c>
      <c r="N127" s="17">
        <v>44</v>
      </c>
      <c r="O127" s="15" t="s">
        <v>31</v>
      </c>
    </row>
    <row r="128" spans="1:15" x14ac:dyDescent="0.2">
      <c r="A128" s="17" t="s">
        <v>518</v>
      </c>
      <c r="B128" s="17" t="s">
        <v>519</v>
      </c>
      <c r="C128" s="17">
        <v>18</v>
      </c>
      <c r="D128" s="1"/>
      <c r="E128" s="1">
        <v>2150</v>
      </c>
      <c r="F128" s="1">
        <v>2440</v>
      </c>
      <c r="G128" s="1">
        <v>58</v>
      </c>
      <c r="H128" s="1"/>
      <c r="I128" s="1"/>
      <c r="J128" s="1"/>
      <c r="K128" s="1"/>
      <c r="L128" s="17" t="s">
        <v>520</v>
      </c>
      <c r="M128" s="17" t="s">
        <v>521</v>
      </c>
      <c r="N128" s="17">
        <v>44</v>
      </c>
      <c r="O128" s="15" t="s">
        <v>22</v>
      </c>
    </row>
    <row r="129" spans="1:15" x14ac:dyDescent="0.2">
      <c r="A129" s="17" t="s">
        <v>522</v>
      </c>
      <c r="B129" s="17" t="s">
        <v>523</v>
      </c>
      <c r="C129" s="17">
        <v>15</v>
      </c>
      <c r="D129" s="1"/>
      <c r="E129" s="1">
        <v>2150</v>
      </c>
      <c r="F129" s="1">
        <v>2440</v>
      </c>
      <c r="G129" s="1">
        <v>53</v>
      </c>
      <c r="H129" s="1"/>
      <c r="I129" s="1"/>
      <c r="J129" s="1"/>
      <c r="K129" s="1"/>
      <c r="L129" s="17" t="s">
        <v>524</v>
      </c>
      <c r="M129" s="17" t="s">
        <v>525</v>
      </c>
      <c r="N129" s="17">
        <v>33</v>
      </c>
      <c r="O129" s="15" t="s">
        <v>22</v>
      </c>
    </row>
    <row r="130" spans="1:15" x14ac:dyDescent="0.2">
      <c r="A130" s="17" t="s">
        <v>526</v>
      </c>
      <c r="B130" s="17" t="s">
        <v>527</v>
      </c>
      <c r="C130" s="17" t="s">
        <v>528</v>
      </c>
      <c r="D130" s="1"/>
      <c r="E130" s="1">
        <v>2150</v>
      </c>
      <c r="F130" s="1">
        <v>2440</v>
      </c>
      <c r="G130" s="1">
        <v>117</v>
      </c>
      <c r="H130" s="1"/>
      <c r="I130" s="1"/>
      <c r="J130" s="1"/>
      <c r="K130" s="1"/>
      <c r="L130" s="17" t="s">
        <v>529</v>
      </c>
      <c r="M130" s="17" t="s">
        <v>530</v>
      </c>
      <c r="N130" s="17">
        <v>19</v>
      </c>
      <c r="O130" s="15" t="s">
        <v>31</v>
      </c>
    </row>
    <row r="131" spans="1:15" x14ac:dyDescent="0.2">
      <c r="A131" s="17" t="s">
        <v>531</v>
      </c>
      <c r="B131" s="17" t="s">
        <v>532</v>
      </c>
      <c r="C131" s="17" t="s">
        <v>528</v>
      </c>
      <c r="D131" s="1"/>
      <c r="E131" s="1">
        <v>2150</v>
      </c>
      <c r="F131" s="1">
        <v>2440</v>
      </c>
      <c r="G131" s="1">
        <v>117</v>
      </c>
      <c r="H131" s="1"/>
      <c r="I131" s="1"/>
      <c r="J131" s="1"/>
      <c r="K131" s="1"/>
      <c r="L131" s="17" t="s">
        <v>533</v>
      </c>
      <c r="M131" s="17" t="s">
        <v>534</v>
      </c>
      <c r="N131" s="17">
        <v>16</v>
      </c>
      <c r="O131" s="15" t="s">
        <v>31</v>
      </c>
    </row>
    <row r="132" spans="1:15" x14ac:dyDescent="0.2">
      <c r="A132" s="17" t="s">
        <v>535</v>
      </c>
      <c r="B132" s="17" t="s">
        <v>536</v>
      </c>
      <c r="C132" s="17">
        <v>18</v>
      </c>
      <c r="D132" s="1"/>
      <c r="E132" s="1">
        <v>2150</v>
      </c>
      <c r="F132" s="1">
        <v>2440</v>
      </c>
      <c r="G132" s="1">
        <v>58</v>
      </c>
      <c r="H132" s="1"/>
      <c r="I132" s="1"/>
      <c r="J132" s="1"/>
      <c r="K132" s="1"/>
      <c r="L132" s="17" t="s">
        <v>537</v>
      </c>
      <c r="M132" s="17" t="s">
        <v>538</v>
      </c>
      <c r="N132" s="17">
        <v>19</v>
      </c>
      <c r="O132" s="15" t="s">
        <v>31</v>
      </c>
    </row>
    <row r="133" spans="1:15" x14ac:dyDescent="0.2">
      <c r="A133" s="17" t="s">
        <v>539</v>
      </c>
      <c r="B133" s="17" t="s">
        <v>540</v>
      </c>
      <c r="C133" s="17">
        <v>18</v>
      </c>
      <c r="D133" s="1"/>
      <c r="E133" s="1">
        <v>2150</v>
      </c>
      <c r="F133" s="1">
        <v>2440</v>
      </c>
      <c r="G133" s="1">
        <v>58</v>
      </c>
      <c r="H133" s="1"/>
      <c r="I133" s="1"/>
      <c r="J133" s="1"/>
      <c r="K133" s="1"/>
      <c r="L133" s="17" t="s">
        <v>541</v>
      </c>
      <c r="M133" s="17" t="s">
        <v>542</v>
      </c>
      <c r="N133" s="17">
        <v>19</v>
      </c>
      <c r="O133" s="15" t="s">
        <v>31</v>
      </c>
    </row>
    <row r="134" spans="1:15" x14ac:dyDescent="0.2">
      <c r="A134" s="17" t="s">
        <v>543</v>
      </c>
      <c r="B134" s="17" t="s">
        <v>544</v>
      </c>
      <c r="C134" s="17">
        <v>18</v>
      </c>
      <c r="D134" s="1"/>
      <c r="E134" s="1">
        <v>2150</v>
      </c>
      <c r="F134" s="1">
        <v>2440</v>
      </c>
      <c r="G134" s="1">
        <v>117</v>
      </c>
      <c r="H134" s="1"/>
      <c r="I134" s="1"/>
      <c r="J134" s="1"/>
      <c r="K134" s="1"/>
      <c r="L134" s="17" t="s">
        <v>545</v>
      </c>
      <c r="M134" s="17" t="s">
        <v>546</v>
      </c>
      <c r="N134" s="17">
        <v>44</v>
      </c>
      <c r="O134" s="15" t="s">
        <v>31</v>
      </c>
    </row>
    <row r="135" spans="1:15" x14ac:dyDescent="0.2">
      <c r="A135" s="17" t="s">
        <v>547</v>
      </c>
      <c r="B135" s="17" t="s">
        <v>548</v>
      </c>
      <c r="C135" s="17">
        <v>15</v>
      </c>
      <c r="D135" s="1"/>
      <c r="E135" s="1">
        <v>2150</v>
      </c>
      <c r="F135" s="1">
        <v>2440</v>
      </c>
      <c r="G135" s="1">
        <v>117</v>
      </c>
      <c r="H135" s="1"/>
      <c r="I135" s="1"/>
      <c r="J135" s="1"/>
      <c r="K135" s="1"/>
      <c r="L135" s="17" t="s">
        <v>549</v>
      </c>
      <c r="M135" s="17" t="s">
        <v>550</v>
      </c>
      <c r="N135" s="17">
        <v>44</v>
      </c>
      <c r="O135" s="15" t="s">
        <v>31</v>
      </c>
    </row>
    <row r="136" spans="1:15" x14ac:dyDescent="0.2">
      <c r="A136" s="17" t="s">
        <v>551</v>
      </c>
      <c r="B136" s="17" t="s">
        <v>552</v>
      </c>
      <c r="C136" s="17">
        <v>15</v>
      </c>
      <c r="D136" s="1"/>
      <c r="E136" s="1">
        <v>2150</v>
      </c>
      <c r="F136" s="1">
        <v>2440</v>
      </c>
      <c r="G136" s="1">
        <v>50</v>
      </c>
      <c r="H136" s="1"/>
      <c r="I136" s="1"/>
      <c r="J136" s="1"/>
      <c r="K136" s="1"/>
      <c r="L136" s="17" t="s">
        <v>553</v>
      </c>
      <c r="M136" s="17" t="s">
        <v>554</v>
      </c>
      <c r="N136" s="17">
        <v>22</v>
      </c>
      <c r="O136" s="15" t="s">
        <v>31</v>
      </c>
    </row>
    <row r="137" spans="1:15" x14ac:dyDescent="0.2">
      <c r="A137" s="17" t="s">
        <v>555</v>
      </c>
      <c r="B137" s="17" t="s">
        <v>556</v>
      </c>
      <c r="C137" s="17">
        <v>8</v>
      </c>
      <c r="D137" s="1"/>
      <c r="E137" s="1">
        <v>2150</v>
      </c>
      <c r="F137" s="1">
        <v>2440</v>
      </c>
      <c r="G137" s="1">
        <v>117</v>
      </c>
      <c r="H137" s="1"/>
      <c r="I137" s="1"/>
      <c r="J137" s="1"/>
      <c r="K137" s="1"/>
      <c r="L137" s="17" t="s">
        <v>557</v>
      </c>
      <c r="M137" s="17" t="s">
        <v>558</v>
      </c>
      <c r="N137" s="17">
        <v>25</v>
      </c>
      <c r="O137" s="15" t="s">
        <v>31</v>
      </c>
    </row>
    <row r="138" spans="1:15" x14ac:dyDescent="0.2">
      <c r="A138" s="17" t="s">
        <v>559</v>
      </c>
      <c r="B138" s="17" t="s">
        <v>560</v>
      </c>
      <c r="C138" s="17">
        <v>18</v>
      </c>
      <c r="D138" s="1"/>
      <c r="E138" s="1">
        <v>2150</v>
      </c>
      <c r="F138" s="1">
        <v>2440</v>
      </c>
      <c r="G138" s="1">
        <v>117</v>
      </c>
      <c r="H138" s="1"/>
      <c r="I138" s="1"/>
      <c r="J138" s="1"/>
      <c r="K138" s="1"/>
      <c r="L138" s="17" t="s">
        <v>561</v>
      </c>
      <c r="M138" s="17" t="s">
        <v>562</v>
      </c>
      <c r="N138" s="17">
        <v>33</v>
      </c>
      <c r="O138" s="15" t="s">
        <v>31</v>
      </c>
    </row>
    <row r="139" spans="1:15" x14ac:dyDescent="0.2">
      <c r="A139" s="17" t="s">
        <v>563</v>
      </c>
      <c r="B139" s="17" t="s">
        <v>564</v>
      </c>
      <c r="C139" s="17">
        <v>18</v>
      </c>
      <c r="D139" s="1"/>
      <c r="E139" s="1">
        <v>2150</v>
      </c>
      <c r="F139" s="1">
        <v>2440</v>
      </c>
      <c r="G139" s="1">
        <v>62</v>
      </c>
      <c r="H139" s="1"/>
      <c r="I139" s="1"/>
      <c r="J139" s="1"/>
      <c r="K139" s="1"/>
      <c r="L139" s="17" t="s">
        <v>565</v>
      </c>
      <c r="M139" s="17" t="s">
        <v>566</v>
      </c>
      <c r="N139" s="17">
        <v>19</v>
      </c>
      <c r="O139" s="15" t="s">
        <v>31</v>
      </c>
    </row>
    <row r="140" spans="1:15" x14ac:dyDescent="0.2">
      <c r="A140" s="17" t="s">
        <v>567</v>
      </c>
      <c r="B140" s="17" t="s">
        <v>568</v>
      </c>
      <c r="C140" s="17">
        <v>9</v>
      </c>
      <c r="D140" s="1"/>
      <c r="E140" s="1">
        <v>2150</v>
      </c>
      <c r="F140" s="1">
        <v>2440</v>
      </c>
      <c r="G140" s="1">
        <v>33</v>
      </c>
      <c r="H140" s="1"/>
      <c r="I140" s="1"/>
      <c r="J140" s="1"/>
      <c r="K140" s="1"/>
      <c r="L140" s="17" t="s">
        <v>569</v>
      </c>
      <c r="M140" s="17" t="s">
        <v>570</v>
      </c>
      <c r="N140" s="17">
        <v>22</v>
      </c>
      <c r="O140" s="15" t="s">
        <v>31</v>
      </c>
    </row>
    <row r="141" spans="1:15" x14ac:dyDescent="0.2">
      <c r="A141" s="17" t="s">
        <v>571</v>
      </c>
      <c r="B141" s="17" t="s">
        <v>572</v>
      </c>
      <c r="C141" s="17">
        <v>18</v>
      </c>
      <c r="D141" s="1"/>
      <c r="E141" s="1">
        <v>2150</v>
      </c>
      <c r="F141" s="1">
        <v>2440</v>
      </c>
      <c r="G141" s="1">
        <v>61</v>
      </c>
      <c r="H141" s="1"/>
      <c r="I141" s="1"/>
      <c r="J141" s="1"/>
      <c r="K141" s="1"/>
      <c r="L141" s="17" t="s">
        <v>573</v>
      </c>
      <c r="M141" s="17" t="s">
        <v>574</v>
      </c>
      <c r="N141" s="17">
        <v>25</v>
      </c>
      <c r="O141" s="15" t="s">
        <v>31</v>
      </c>
    </row>
    <row r="142" spans="1:15" x14ac:dyDescent="0.2">
      <c r="A142" s="17" t="s">
        <v>575</v>
      </c>
      <c r="B142" s="17" t="s">
        <v>576</v>
      </c>
      <c r="C142" s="17">
        <v>7</v>
      </c>
      <c r="D142" s="1"/>
      <c r="E142" s="1">
        <v>2150</v>
      </c>
      <c r="F142" s="1">
        <v>2440</v>
      </c>
      <c r="G142" s="1">
        <v>117</v>
      </c>
      <c r="H142" s="1"/>
      <c r="I142" s="1"/>
      <c r="J142" s="1"/>
      <c r="K142" s="1"/>
      <c r="L142" s="17" t="s">
        <v>577</v>
      </c>
      <c r="M142" s="17" t="s">
        <v>578</v>
      </c>
      <c r="N142" s="17">
        <v>19</v>
      </c>
      <c r="O142" s="15" t="s">
        <v>22</v>
      </c>
    </row>
    <row r="143" spans="1:15" x14ac:dyDescent="0.2">
      <c r="A143" s="17" t="s">
        <v>579</v>
      </c>
      <c r="B143" s="17" t="s">
        <v>580</v>
      </c>
      <c r="C143" s="17">
        <v>15</v>
      </c>
      <c r="D143" s="1"/>
      <c r="E143" s="1">
        <v>2150</v>
      </c>
      <c r="F143" s="1">
        <v>2440</v>
      </c>
      <c r="G143" s="1">
        <v>53</v>
      </c>
      <c r="H143" s="1"/>
      <c r="I143" s="1"/>
      <c r="J143" s="1"/>
      <c r="K143" s="1"/>
      <c r="L143" s="17" t="s">
        <v>581</v>
      </c>
      <c r="M143" s="17" t="s">
        <v>582</v>
      </c>
      <c r="N143" s="17">
        <v>33</v>
      </c>
      <c r="O143" s="15" t="s">
        <v>22</v>
      </c>
    </row>
    <row r="144" spans="1:15" x14ac:dyDescent="0.2">
      <c r="A144" s="17" t="s">
        <v>583</v>
      </c>
      <c r="B144" s="17" t="s">
        <v>584</v>
      </c>
      <c r="C144" s="17">
        <v>15</v>
      </c>
      <c r="D144" s="1"/>
      <c r="E144" s="1">
        <v>2150</v>
      </c>
      <c r="F144" s="1">
        <v>2440</v>
      </c>
      <c r="G144" s="1">
        <v>53</v>
      </c>
      <c r="H144" s="1"/>
      <c r="I144" s="1"/>
      <c r="J144" s="1"/>
      <c r="K144" s="1"/>
      <c r="L144" s="17" t="s">
        <v>585</v>
      </c>
      <c r="M144" s="17" t="s">
        <v>586</v>
      </c>
      <c r="N144" s="17">
        <v>36</v>
      </c>
      <c r="O144" s="15" t="s">
        <v>22</v>
      </c>
    </row>
    <row r="145" spans="1:15" x14ac:dyDescent="0.2">
      <c r="A145" s="17" t="s">
        <v>587</v>
      </c>
      <c r="B145" s="17" t="s">
        <v>588</v>
      </c>
      <c r="C145" s="17">
        <v>15</v>
      </c>
      <c r="D145" s="1"/>
      <c r="E145" s="1">
        <v>1220</v>
      </c>
      <c r="F145" s="1">
        <v>2440</v>
      </c>
      <c r="G145" s="1">
        <v>29</v>
      </c>
      <c r="H145" s="1"/>
      <c r="I145" s="1"/>
      <c r="J145" s="1"/>
      <c r="K145" s="1"/>
      <c r="L145" s="17" t="s">
        <v>589</v>
      </c>
      <c r="M145" s="17" t="s">
        <v>590</v>
      </c>
      <c r="N145" s="17">
        <v>18</v>
      </c>
      <c r="O145" s="2" t="s">
        <v>36</v>
      </c>
    </row>
    <row r="146" spans="1:15" x14ac:dyDescent="0.2">
      <c r="A146" s="17" t="s">
        <v>591</v>
      </c>
      <c r="B146" s="17" t="s">
        <v>592</v>
      </c>
      <c r="C146" s="17">
        <v>3</v>
      </c>
      <c r="D146" s="1"/>
      <c r="E146" s="1">
        <v>1220</v>
      </c>
      <c r="F146" s="1">
        <v>2440</v>
      </c>
      <c r="G146" s="1">
        <v>6</v>
      </c>
      <c r="H146" s="1"/>
      <c r="I146" s="1"/>
      <c r="J146" s="1"/>
      <c r="K146" s="1"/>
      <c r="L146" s="17" t="s">
        <v>593</v>
      </c>
      <c r="M146" s="17" t="s">
        <v>594</v>
      </c>
      <c r="N146" s="17">
        <v>19</v>
      </c>
      <c r="O146" s="15" t="s">
        <v>31</v>
      </c>
    </row>
    <row r="147" spans="1:15" x14ac:dyDescent="0.2">
      <c r="A147" s="17" t="s">
        <v>595</v>
      </c>
      <c r="B147" s="17" t="s">
        <v>596</v>
      </c>
      <c r="C147" s="17"/>
      <c r="D147" s="1"/>
      <c r="E147" s="1">
        <v>2150</v>
      </c>
      <c r="F147" s="1">
        <v>2440</v>
      </c>
      <c r="G147" s="1">
        <v>117</v>
      </c>
      <c r="H147" s="1"/>
      <c r="I147" s="1"/>
      <c r="J147" s="1"/>
      <c r="K147" s="1"/>
      <c r="L147" s="17" t="s">
        <v>597</v>
      </c>
      <c r="M147" s="17" t="s">
        <v>598</v>
      </c>
      <c r="N147" s="17">
        <v>22</v>
      </c>
      <c r="O147" s="15" t="s">
        <v>22</v>
      </c>
    </row>
    <row r="148" spans="1:15" x14ac:dyDescent="0.2">
      <c r="A148" s="17" t="s">
        <v>599</v>
      </c>
      <c r="B148" s="17" t="s">
        <v>600</v>
      </c>
      <c r="C148" s="17">
        <v>15</v>
      </c>
      <c r="D148" s="1"/>
      <c r="E148" s="1">
        <v>1220</v>
      </c>
      <c r="F148" s="1">
        <v>2440</v>
      </c>
      <c r="G148" s="1">
        <v>29</v>
      </c>
      <c r="H148" s="1"/>
      <c r="I148" s="1"/>
      <c r="J148" s="1"/>
      <c r="K148" s="1"/>
      <c r="L148" s="17" t="s">
        <v>601</v>
      </c>
      <c r="M148" s="17" t="s">
        <v>602</v>
      </c>
      <c r="N148" s="17"/>
      <c r="O148" s="2"/>
    </row>
    <row r="149" spans="1:15" x14ac:dyDescent="0.2">
      <c r="A149" s="17" t="s">
        <v>603</v>
      </c>
      <c r="B149" s="17" t="s">
        <v>604</v>
      </c>
      <c r="C149" s="17">
        <v>18</v>
      </c>
      <c r="D149" s="1"/>
      <c r="E149" s="1">
        <v>2150</v>
      </c>
      <c r="F149" s="1">
        <v>2440</v>
      </c>
      <c r="G149" s="1">
        <v>61</v>
      </c>
      <c r="H149" s="1"/>
      <c r="I149" s="1"/>
      <c r="J149" s="1"/>
      <c r="K149" s="1"/>
      <c r="L149" s="17" t="s">
        <v>605</v>
      </c>
      <c r="M149" s="17" t="s">
        <v>606</v>
      </c>
      <c r="N149" s="17">
        <v>33</v>
      </c>
      <c r="O149" s="15" t="s">
        <v>31</v>
      </c>
    </row>
    <row r="150" spans="1:15" x14ac:dyDescent="0.2">
      <c r="A150" s="17" t="s">
        <v>607</v>
      </c>
      <c r="B150" s="17" t="s">
        <v>608</v>
      </c>
      <c r="C150" s="17" t="s">
        <v>292</v>
      </c>
      <c r="D150" s="1"/>
      <c r="E150" s="1">
        <v>2150</v>
      </c>
      <c r="F150" s="1">
        <v>2440</v>
      </c>
      <c r="G150" s="1">
        <v>117</v>
      </c>
      <c r="H150" s="1"/>
      <c r="I150" s="1"/>
      <c r="J150" s="1"/>
      <c r="K150" s="1"/>
      <c r="L150" s="17" t="s">
        <v>609</v>
      </c>
      <c r="M150" s="17" t="s">
        <v>610</v>
      </c>
      <c r="N150" s="17">
        <v>44</v>
      </c>
      <c r="O150" s="15" t="s">
        <v>31</v>
      </c>
    </row>
    <row r="151" spans="1:15" x14ac:dyDescent="0.2">
      <c r="A151" s="17" t="s">
        <v>611</v>
      </c>
      <c r="B151" s="17" t="s">
        <v>612</v>
      </c>
      <c r="C151" s="17">
        <v>15</v>
      </c>
      <c r="D151" s="1"/>
      <c r="E151" s="1">
        <v>1830</v>
      </c>
      <c r="F151" s="1">
        <v>2440</v>
      </c>
      <c r="G151" s="1">
        <v>41</v>
      </c>
      <c r="H151" s="1"/>
      <c r="I151" s="1"/>
      <c r="J151" s="1"/>
      <c r="K151" s="1"/>
      <c r="L151" s="17" t="s">
        <v>613</v>
      </c>
      <c r="M151" s="17" t="s">
        <v>614</v>
      </c>
      <c r="N151" s="17">
        <v>33</v>
      </c>
      <c r="O151" s="15" t="s">
        <v>31</v>
      </c>
    </row>
    <row r="152" spans="1:15" x14ac:dyDescent="0.2">
      <c r="A152" s="17" t="s">
        <v>615</v>
      </c>
      <c r="B152" s="17" t="s">
        <v>616</v>
      </c>
      <c r="C152" s="17">
        <v>18</v>
      </c>
      <c r="D152" s="1"/>
      <c r="E152" s="1">
        <v>2150</v>
      </c>
      <c r="F152" s="1">
        <v>2440</v>
      </c>
      <c r="G152" s="1">
        <v>61</v>
      </c>
      <c r="H152" s="1"/>
      <c r="I152" s="1"/>
      <c r="J152" s="1"/>
      <c r="K152" s="1"/>
      <c r="L152" s="17" t="s">
        <v>617</v>
      </c>
      <c r="M152" s="17" t="s">
        <v>618</v>
      </c>
      <c r="N152" s="17">
        <v>22</v>
      </c>
      <c r="O152" s="2"/>
    </row>
    <row r="153" spans="1:15" x14ac:dyDescent="0.2">
      <c r="A153" s="17" t="s">
        <v>619</v>
      </c>
      <c r="B153" s="17" t="s">
        <v>620</v>
      </c>
      <c r="C153" s="17">
        <v>9</v>
      </c>
      <c r="D153" s="1"/>
      <c r="E153" s="1">
        <v>2150</v>
      </c>
      <c r="F153" s="1">
        <v>2440</v>
      </c>
      <c r="G153" s="1">
        <v>33</v>
      </c>
      <c r="H153" s="1"/>
      <c r="I153" s="1"/>
      <c r="J153" s="1"/>
      <c r="K153" s="1"/>
      <c r="L153" s="17" t="s">
        <v>621</v>
      </c>
      <c r="M153" s="17" t="s">
        <v>622</v>
      </c>
      <c r="N153" s="17">
        <v>33</v>
      </c>
      <c r="O153" s="15" t="s">
        <v>31</v>
      </c>
    </row>
    <row r="154" spans="1:15" x14ac:dyDescent="0.2">
      <c r="A154" s="17" t="s">
        <v>623</v>
      </c>
      <c r="B154" s="17" t="s">
        <v>624</v>
      </c>
      <c r="C154" s="17">
        <v>15</v>
      </c>
      <c r="D154" s="1"/>
      <c r="E154" s="1">
        <v>2150</v>
      </c>
      <c r="F154" s="1">
        <v>2440</v>
      </c>
      <c r="G154" s="1">
        <v>53</v>
      </c>
      <c r="H154" s="1"/>
      <c r="I154" s="1"/>
      <c r="J154" s="1"/>
      <c r="K154" s="1"/>
      <c r="L154" s="17" t="s">
        <v>625</v>
      </c>
      <c r="M154" s="17" t="s">
        <v>626</v>
      </c>
      <c r="N154" s="17">
        <v>15</v>
      </c>
      <c r="O154" s="2" t="s">
        <v>36</v>
      </c>
    </row>
    <row r="155" spans="1:15" x14ac:dyDescent="0.2">
      <c r="A155" s="17" t="s">
        <v>627</v>
      </c>
      <c r="B155" s="17" t="s">
        <v>628</v>
      </c>
      <c r="C155" s="17" t="s">
        <v>292</v>
      </c>
      <c r="D155" s="1"/>
      <c r="E155" s="1">
        <v>2150</v>
      </c>
      <c r="F155" s="1">
        <v>2440</v>
      </c>
      <c r="G155" s="1">
        <v>117</v>
      </c>
      <c r="H155" s="1"/>
      <c r="I155" s="1"/>
      <c r="J155" s="1"/>
      <c r="K155" s="1"/>
      <c r="L155" s="17" t="s">
        <v>629</v>
      </c>
      <c r="M155" s="17" t="s">
        <v>630</v>
      </c>
      <c r="N155" s="17">
        <v>41</v>
      </c>
      <c r="O155" s="15" t="s">
        <v>22</v>
      </c>
    </row>
    <row r="156" spans="1:15" x14ac:dyDescent="0.2">
      <c r="A156" s="17" t="s">
        <v>631</v>
      </c>
      <c r="B156" s="17" t="s">
        <v>632</v>
      </c>
      <c r="C156" s="17">
        <v>6</v>
      </c>
      <c r="D156" s="1"/>
      <c r="E156" s="1">
        <v>2150</v>
      </c>
      <c r="F156" s="1">
        <v>2440</v>
      </c>
      <c r="G156" s="1">
        <v>23</v>
      </c>
      <c r="H156" s="1"/>
      <c r="I156" s="1"/>
      <c r="J156" s="1"/>
      <c r="K156" s="1"/>
      <c r="L156" s="17" t="s">
        <v>633</v>
      </c>
      <c r="M156" s="17" t="s">
        <v>634</v>
      </c>
      <c r="N156" s="17">
        <v>41</v>
      </c>
      <c r="O156" s="15" t="s">
        <v>31</v>
      </c>
    </row>
    <row r="157" spans="1:15" x14ac:dyDescent="0.2">
      <c r="A157" s="17" t="s">
        <v>635</v>
      </c>
      <c r="B157" s="17" t="s">
        <v>636</v>
      </c>
      <c r="C157" s="17">
        <v>9</v>
      </c>
      <c r="D157" s="1"/>
      <c r="E157" s="1">
        <v>2150</v>
      </c>
      <c r="F157" s="1">
        <v>2440</v>
      </c>
      <c r="G157" s="1">
        <v>33</v>
      </c>
      <c r="H157" s="1"/>
      <c r="I157" s="1"/>
      <c r="J157" s="1"/>
      <c r="K157" s="1"/>
      <c r="L157" s="17" t="s">
        <v>637</v>
      </c>
      <c r="M157" s="17" t="s">
        <v>638</v>
      </c>
      <c r="N157" s="17">
        <v>41</v>
      </c>
      <c r="O157" s="15" t="s">
        <v>22</v>
      </c>
    </row>
    <row r="158" spans="1:15" x14ac:dyDescent="0.2">
      <c r="A158" s="17" t="s">
        <v>81</v>
      </c>
      <c r="B158" s="17" t="s">
        <v>82</v>
      </c>
      <c r="C158" s="17">
        <v>25</v>
      </c>
      <c r="D158" s="1"/>
      <c r="E158" s="1">
        <v>2150</v>
      </c>
      <c r="F158" s="1">
        <v>2440</v>
      </c>
      <c r="G158" s="1">
        <v>83</v>
      </c>
      <c r="H158" s="1"/>
      <c r="I158" s="1"/>
      <c r="J158" s="1"/>
      <c r="K158" s="1"/>
      <c r="L158" s="17" t="s">
        <v>639</v>
      </c>
      <c r="M158" s="17" t="s">
        <v>640</v>
      </c>
      <c r="N158" s="17">
        <v>41</v>
      </c>
      <c r="O158" s="15" t="s">
        <v>31</v>
      </c>
    </row>
    <row r="159" spans="1:15" x14ac:dyDescent="0.2">
      <c r="A159" s="17" t="s">
        <v>641</v>
      </c>
      <c r="B159" s="17" t="s">
        <v>642</v>
      </c>
      <c r="C159" s="17">
        <v>15</v>
      </c>
      <c r="D159" s="1"/>
      <c r="E159" s="1">
        <v>1830</v>
      </c>
      <c r="F159" s="1">
        <v>2440</v>
      </c>
      <c r="G159" s="1">
        <v>41</v>
      </c>
      <c r="H159" s="1"/>
      <c r="I159" s="1"/>
      <c r="J159" s="1"/>
      <c r="K159" s="1"/>
      <c r="L159" s="17" t="s">
        <v>643</v>
      </c>
      <c r="M159" s="17" t="s">
        <v>644</v>
      </c>
      <c r="N159" s="17">
        <v>33</v>
      </c>
      <c r="O159" s="15" t="s">
        <v>31</v>
      </c>
    </row>
    <row r="160" spans="1:15" x14ac:dyDescent="0.2">
      <c r="A160" s="17" t="s">
        <v>645</v>
      </c>
      <c r="B160" s="17" t="s">
        <v>646</v>
      </c>
      <c r="C160" s="17">
        <v>15</v>
      </c>
      <c r="D160" s="1"/>
      <c r="E160" s="1">
        <v>2150</v>
      </c>
      <c r="F160" s="1">
        <v>2440</v>
      </c>
      <c r="G160" s="1">
        <v>53</v>
      </c>
      <c r="H160" s="1"/>
      <c r="I160" s="1"/>
      <c r="J160" s="1"/>
      <c r="K160" s="1"/>
      <c r="L160" s="17" t="s">
        <v>647</v>
      </c>
      <c r="M160" s="17" t="s">
        <v>648</v>
      </c>
      <c r="N160" s="17">
        <v>41</v>
      </c>
      <c r="O160" s="15" t="s">
        <v>31</v>
      </c>
    </row>
    <row r="161" spans="1:15" x14ac:dyDescent="0.2">
      <c r="A161" s="17" t="s">
        <v>649</v>
      </c>
      <c r="B161" s="17" t="s">
        <v>650</v>
      </c>
      <c r="C161" s="17">
        <v>6</v>
      </c>
      <c r="D161" s="1"/>
      <c r="E161" s="1">
        <v>2150</v>
      </c>
      <c r="F161" s="1">
        <v>2440</v>
      </c>
      <c r="G161" s="1">
        <v>23</v>
      </c>
      <c r="H161" s="1"/>
      <c r="I161" s="1"/>
      <c r="J161" s="1"/>
      <c r="K161" s="1"/>
      <c r="L161" s="17" t="s">
        <v>651</v>
      </c>
      <c r="M161" s="17" t="s">
        <v>652</v>
      </c>
      <c r="N161" s="17">
        <v>33</v>
      </c>
      <c r="O161" s="15" t="s">
        <v>31</v>
      </c>
    </row>
    <row r="162" spans="1:15" x14ac:dyDescent="0.2">
      <c r="A162" s="17" t="s">
        <v>653</v>
      </c>
      <c r="B162" s="17" t="s">
        <v>654</v>
      </c>
      <c r="C162" s="17">
        <v>15</v>
      </c>
      <c r="D162" s="1"/>
      <c r="E162" s="1">
        <v>2150</v>
      </c>
      <c r="F162" s="1">
        <v>2440</v>
      </c>
      <c r="G162" s="1">
        <v>53</v>
      </c>
      <c r="H162" s="1"/>
      <c r="I162" s="1"/>
      <c r="J162" s="1"/>
      <c r="K162" s="1"/>
      <c r="L162" s="17" t="s">
        <v>655</v>
      </c>
      <c r="M162" s="17" t="s">
        <v>656</v>
      </c>
      <c r="N162" s="17">
        <v>41</v>
      </c>
      <c r="O162" s="15" t="s">
        <v>22</v>
      </c>
    </row>
    <row r="163" spans="1:15" x14ac:dyDescent="0.2">
      <c r="A163" s="17" t="s">
        <v>657</v>
      </c>
      <c r="B163" s="17" t="s">
        <v>658</v>
      </c>
      <c r="C163" s="17" t="s">
        <v>384</v>
      </c>
      <c r="D163" s="1"/>
      <c r="E163" s="1">
        <v>2150</v>
      </c>
      <c r="F163" s="1">
        <v>2440</v>
      </c>
      <c r="G163" s="1">
        <v>117</v>
      </c>
      <c r="H163" s="1"/>
      <c r="I163" s="1"/>
      <c r="J163" s="1"/>
      <c r="K163" s="1"/>
      <c r="L163" s="17" t="s">
        <v>659</v>
      </c>
      <c r="M163" s="17" t="s">
        <v>660</v>
      </c>
      <c r="N163" s="17">
        <v>41</v>
      </c>
      <c r="O163" s="15" t="s">
        <v>31</v>
      </c>
    </row>
    <row r="164" spans="1:15" x14ac:dyDescent="0.2">
      <c r="A164" s="17" t="s">
        <v>73</v>
      </c>
      <c r="B164" s="17" t="s">
        <v>74</v>
      </c>
      <c r="C164" s="17">
        <v>15</v>
      </c>
      <c r="D164" s="1"/>
      <c r="E164" s="1">
        <v>2150</v>
      </c>
      <c r="F164" s="1">
        <v>2440</v>
      </c>
      <c r="G164" s="1">
        <v>52</v>
      </c>
      <c r="H164" s="1"/>
      <c r="I164" s="1"/>
      <c r="J164" s="1"/>
      <c r="K164" s="1"/>
      <c r="L164" s="17" t="s">
        <v>661</v>
      </c>
      <c r="M164" s="17" t="s">
        <v>662</v>
      </c>
      <c r="N164" s="17">
        <v>19</v>
      </c>
      <c r="O164" s="15" t="s">
        <v>31</v>
      </c>
    </row>
    <row r="165" spans="1:15" x14ac:dyDescent="0.2">
      <c r="A165" s="17" t="s">
        <v>663</v>
      </c>
      <c r="B165" s="17" t="s">
        <v>664</v>
      </c>
      <c r="C165" s="17">
        <v>18</v>
      </c>
      <c r="D165" s="1"/>
      <c r="E165" s="1">
        <v>2150</v>
      </c>
      <c r="F165" s="1">
        <v>2440</v>
      </c>
      <c r="G165" s="1">
        <v>61</v>
      </c>
      <c r="H165" s="1"/>
      <c r="I165" s="1"/>
      <c r="J165" s="1"/>
      <c r="K165" s="1"/>
      <c r="L165" s="17" t="s">
        <v>665</v>
      </c>
      <c r="M165" s="17" t="s">
        <v>666</v>
      </c>
      <c r="N165" s="17">
        <v>33</v>
      </c>
      <c r="O165" s="15" t="s">
        <v>22</v>
      </c>
    </row>
    <row r="166" spans="1:15" x14ac:dyDescent="0.2">
      <c r="A166" s="17" t="s">
        <v>667</v>
      </c>
      <c r="B166" s="17" t="s">
        <v>668</v>
      </c>
      <c r="C166" s="17">
        <v>36</v>
      </c>
      <c r="D166" s="1"/>
      <c r="E166" s="1">
        <v>2150</v>
      </c>
      <c r="F166" s="1">
        <v>2440</v>
      </c>
      <c r="G166" s="1">
        <v>117</v>
      </c>
      <c r="H166" s="1"/>
      <c r="I166" s="1"/>
      <c r="J166" s="1"/>
      <c r="K166" s="1"/>
      <c r="L166" s="17" t="s">
        <v>669</v>
      </c>
      <c r="M166" s="17" t="s">
        <v>670</v>
      </c>
      <c r="N166" s="17">
        <v>33</v>
      </c>
      <c r="O166" s="15" t="s">
        <v>22</v>
      </c>
    </row>
    <row r="167" spans="1:15" x14ac:dyDescent="0.2">
      <c r="A167" s="17" t="s">
        <v>671</v>
      </c>
      <c r="B167" s="17" t="s">
        <v>672</v>
      </c>
      <c r="C167" s="17">
        <v>9</v>
      </c>
      <c r="D167" s="1"/>
      <c r="E167" s="1">
        <v>2150</v>
      </c>
      <c r="F167" s="1">
        <v>2440</v>
      </c>
      <c r="G167" s="1">
        <v>33</v>
      </c>
      <c r="H167" s="1"/>
      <c r="I167" s="1"/>
      <c r="J167" s="1"/>
      <c r="K167" s="1"/>
      <c r="L167" s="17" t="s">
        <v>673</v>
      </c>
      <c r="M167" s="17" t="s">
        <v>674</v>
      </c>
      <c r="N167" s="17">
        <v>41</v>
      </c>
      <c r="O167" s="15" t="s">
        <v>22</v>
      </c>
    </row>
    <row r="168" spans="1:15" x14ac:dyDescent="0.2">
      <c r="A168" s="17" t="s">
        <v>675</v>
      </c>
      <c r="B168" s="17" t="s">
        <v>672</v>
      </c>
      <c r="C168" s="17">
        <v>9</v>
      </c>
      <c r="D168" s="1"/>
      <c r="E168" s="1">
        <v>2150</v>
      </c>
      <c r="F168" s="1">
        <v>2440</v>
      </c>
      <c r="G168" s="1">
        <v>33</v>
      </c>
      <c r="H168" s="1"/>
      <c r="I168" s="1"/>
      <c r="J168" s="1"/>
      <c r="K168" s="1"/>
      <c r="L168" s="17" t="s">
        <v>676</v>
      </c>
      <c r="M168" s="17" t="s">
        <v>677</v>
      </c>
      <c r="N168" s="17">
        <v>41</v>
      </c>
      <c r="O168" s="15" t="s">
        <v>22</v>
      </c>
    </row>
    <row r="169" spans="1:15" x14ac:dyDescent="0.2">
      <c r="A169" s="17" t="s">
        <v>678</v>
      </c>
      <c r="B169" s="17" t="s">
        <v>679</v>
      </c>
      <c r="C169" s="17">
        <v>6</v>
      </c>
      <c r="D169" s="1"/>
      <c r="E169" s="1">
        <v>2150</v>
      </c>
      <c r="F169" s="1">
        <v>2440</v>
      </c>
      <c r="G169" s="1">
        <v>23</v>
      </c>
      <c r="H169" s="1"/>
      <c r="I169" s="1"/>
      <c r="J169" s="1"/>
      <c r="K169" s="1"/>
      <c r="L169" s="17" t="s">
        <v>680</v>
      </c>
      <c r="M169" s="17" t="s">
        <v>681</v>
      </c>
      <c r="N169" s="17">
        <v>41</v>
      </c>
      <c r="O169" s="2" t="s">
        <v>682</v>
      </c>
    </row>
    <row r="170" spans="1:15" x14ac:dyDescent="0.2">
      <c r="A170" s="17" t="s">
        <v>683</v>
      </c>
      <c r="B170" s="17" t="s">
        <v>684</v>
      </c>
      <c r="C170" s="17">
        <v>15</v>
      </c>
      <c r="D170" s="1"/>
      <c r="E170" s="1">
        <v>2150</v>
      </c>
      <c r="F170" s="1">
        <v>2440</v>
      </c>
      <c r="G170" s="1">
        <v>53</v>
      </c>
      <c r="H170" s="1"/>
      <c r="I170" s="1"/>
      <c r="J170" s="1"/>
      <c r="K170" s="1"/>
      <c r="L170" s="17" t="s">
        <v>685</v>
      </c>
      <c r="M170" s="17" t="s">
        <v>686</v>
      </c>
      <c r="N170" s="17">
        <v>41</v>
      </c>
      <c r="O170" s="15" t="s">
        <v>31</v>
      </c>
    </row>
    <row r="171" spans="1:15" x14ac:dyDescent="0.2">
      <c r="A171" s="17" t="s">
        <v>687</v>
      </c>
      <c r="B171" s="17" t="s">
        <v>688</v>
      </c>
      <c r="C171" s="17">
        <v>18</v>
      </c>
      <c r="D171" s="1"/>
      <c r="E171" s="1">
        <v>2150</v>
      </c>
      <c r="F171" s="1">
        <v>2440</v>
      </c>
      <c r="G171" s="1">
        <v>61</v>
      </c>
      <c r="H171" s="1"/>
      <c r="I171" s="1"/>
      <c r="J171" s="1"/>
      <c r="K171" s="1"/>
      <c r="L171" s="17" t="s">
        <v>689</v>
      </c>
      <c r="M171" s="17" t="s">
        <v>690</v>
      </c>
      <c r="N171" s="17">
        <v>41</v>
      </c>
      <c r="O171" s="15" t="s">
        <v>22</v>
      </c>
    </row>
    <row r="172" spans="1:15" x14ac:dyDescent="0.2">
      <c r="A172" s="17" t="s">
        <v>691</v>
      </c>
      <c r="B172" s="17" t="s">
        <v>692</v>
      </c>
      <c r="C172" s="17">
        <v>18</v>
      </c>
      <c r="D172" s="1"/>
      <c r="E172" s="1">
        <v>2150</v>
      </c>
      <c r="F172" s="1">
        <v>2440</v>
      </c>
      <c r="G172" s="1">
        <v>61</v>
      </c>
      <c r="H172" s="1"/>
      <c r="I172" s="1"/>
      <c r="J172" s="1"/>
      <c r="K172" s="1"/>
      <c r="L172" s="17" t="s">
        <v>693</v>
      </c>
      <c r="M172" s="17" t="s">
        <v>694</v>
      </c>
      <c r="N172" s="17">
        <v>41</v>
      </c>
      <c r="O172" s="15" t="s">
        <v>22</v>
      </c>
    </row>
    <row r="173" spans="1:15" x14ac:dyDescent="0.2">
      <c r="A173" s="17" t="s">
        <v>695</v>
      </c>
      <c r="B173" s="17" t="s">
        <v>696</v>
      </c>
      <c r="C173" s="17">
        <v>18</v>
      </c>
      <c r="D173" s="1"/>
      <c r="E173" s="1">
        <v>1830</v>
      </c>
      <c r="F173" s="1">
        <v>2440</v>
      </c>
      <c r="G173" s="1">
        <v>50</v>
      </c>
      <c r="H173" s="1"/>
      <c r="I173" s="1"/>
      <c r="J173" s="1"/>
      <c r="K173" s="1"/>
      <c r="L173" s="17" t="s">
        <v>697</v>
      </c>
      <c r="M173" s="17" t="s">
        <v>698</v>
      </c>
      <c r="N173" s="17">
        <v>41</v>
      </c>
      <c r="O173" s="15" t="s">
        <v>22</v>
      </c>
    </row>
    <row r="174" spans="1:15" x14ac:dyDescent="0.2">
      <c r="A174" s="17" t="s">
        <v>699</v>
      </c>
      <c r="B174" s="17" t="s">
        <v>700</v>
      </c>
      <c r="C174" s="17">
        <v>3.2</v>
      </c>
      <c r="D174" s="1"/>
      <c r="E174" s="1">
        <v>2150</v>
      </c>
      <c r="F174" s="1">
        <v>2440</v>
      </c>
      <c r="G174" s="1">
        <v>64</v>
      </c>
      <c r="H174" s="1"/>
      <c r="I174" s="1"/>
      <c r="J174" s="1"/>
      <c r="K174" s="1"/>
      <c r="L174" s="17" t="s">
        <v>697</v>
      </c>
      <c r="M174" s="17" t="s">
        <v>698</v>
      </c>
      <c r="N174" s="17">
        <v>41</v>
      </c>
      <c r="O174" s="15" t="s">
        <v>22</v>
      </c>
    </row>
    <row r="175" spans="1:15" x14ac:dyDescent="0.2">
      <c r="A175" s="17" t="s">
        <v>701</v>
      </c>
      <c r="B175" s="17" t="s">
        <v>702</v>
      </c>
      <c r="C175" s="17">
        <v>18</v>
      </c>
      <c r="D175" s="1"/>
      <c r="E175" s="1">
        <v>2150</v>
      </c>
      <c r="F175" s="1">
        <v>2440</v>
      </c>
      <c r="G175" s="1">
        <v>61</v>
      </c>
      <c r="H175" s="1"/>
      <c r="I175" s="1"/>
      <c r="J175" s="1"/>
      <c r="K175" s="1"/>
      <c r="L175" s="17" t="s">
        <v>697</v>
      </c>
      <c r="M175" s="17" t="s">
        <v>698</v>
      </c>
      <c r="N175" s="17">
        <v>41</v>
      </c>
      <c r="O175" s="15" t="s">
        <v>22</v>
      </c>
    </row>
    <row r="176" spans="1:15" x14ac:dyDescent="0.2">
      <c r="A176" s="17" t="s">
        <v>703</v>
      </c>
      <c r="B176" s="17" t="s">
        <v>704</v>
      </c>
      <c r="C176" s="17" t="s">
        <v>528</v>
      </c>
      <c r="D176" s="1"/>
      <c r="E176" s="1">
        <v>2150</v>
      </c>
      <c r="F176" s="1">
        <v>2440</v>
      </c>
      <c r="G176" s="1">
        <v>117</v>
      </c>
      <c r="H176" s="1"/>
      <c r="I176" s="1"/>
      <c r="J176" s="1"/>
      <c r="K176" s="1"/>
      <c r="L176" s="17" t="s">
        <v>705</v>
      </c>
      <c r="M176" s="17" t="s">
        <v>249</v>
      </c>
      <c r="N176" s="17">
        <v>41</v>
      </c>
      <c r="O176" s="15" t="s">
        <v>31</v>
      </c>
    </row>
    <row r="177" spans="1:15" x14ac:dyDescent="0.2">
      <c r="A177" s="17" t="s">
        <v>706</v>
      </c>
      <c r="B177" s="17" t="s">
        <v>707</v>
      </c>
      <c r="C177" s="17">
        <v>15</v>
      </c>
      <c r="D177" s="1"/>
      <c r="E177" s="1">
        <v>1830</v>
      </c>
      <c r="F177" s="1">
        <v>2440</v>
      </c>
      <c r="G177" s="1">
        <v>41</v>
      </c>
      <c r="H177" s="1"/>
      <c r="I177" s="1"/>
      <c r="J177" s="1"/>
      <c r="K177" s="1"/>
      <c r="L177" s="17" t="s">
        <v>708</v>
      </c>
      <c r="M177" s="17" t="s">
        <v>709</v>
      </c>
      <c r="N177" s="17">
        <v>41</v>
      </c>
      <c r="O177" s="15" t="s">
        <v>31</v>
      </c>
    </row>
    <row r="178" spans="1:15" x14ac:dyDescent="0.2">
      <c r="A178" s="17" t="s">
        <v>710</v>
      </c>
      <c r="B178" s="17" t="s">
        <v>711</v>
      </c>
      <c r="C178" s="17">
        <v>18</v>
      </c>
      <c r="D178" s="1"/>
      <c r="E178" s="1">
        <v>2150</v>
      </c>
      <c r="F178" s="1">
        <v>2440</v>
      </c>
      <c r="G178" s="1">
        <v>61</v>
      </c>
      <c r="H178" s="1"/>
      <c r="I178" s="1"/>
      <c r="J178" s="1"/>
      <c r="K178" s="1"/>
      <c r="L178" s="17" t="s">
        <v>712</v>
      </c>
      <c r="M178" s="17" t="s">
        <v>713</v>
      </c>
      <c r="N178" s="17">
        <v>36</v>
      </c>
      <c r="O178" s="15" t="s">
        <v>22</v>
      </c>
    </row>
    <row r="179" spans="1:15" x14ac:dyDescent="0.2">
      <c r="A179" s="17" t="s">
        <v>714</v>
      </c>
      <c r="B179" s="17" t="s">
        <v>715</v>
      </c>
      <c r="C179" s="17">
        <v>36</v>
      </c>
      <c r="D179" s="1"/>
      <c r="E179" s="1">
        <v>2150</v>
      </c>
      <c r="F179" s="1">
        <v>2440</v>
      </c>
      <c r="G179" s="1">
        <v>117</v>
      </c>
      <c r="H179" s="1"/>
      <c r="I179" s="1"/>
      <c r="J179" s="1"/>
      <c r="K179" s="1"/>
      <c r="L179" s="17" t="s">
        <v>716</v>
      </c>
      <c r="M179" s="17" t="s">
        <v>717</v>
      </c>
      <c r="N179" s="17">
        <v>41</v>
      </c>
      <c r="O179" s="15" t="s">
        <v>22</v>
      </c>
    </row>
    <row r="180" spans="1:15" x14ac:dyDescent="0.2">
      <c r="A180" s="17" t="s">
        <v>718</v>
      </c>
      <c r="B180" s="17" t="s">
        <v>719</v>
      </c>
      <c r="C180" s="17">
        <v>15</v>
      </c>
      <c r="D180" s="1"/>
      <c r="E180" s="1">
        <v>2150</v>
      </c>
      <c r="F180" s="1">
        <v>2440</v>
      </c>
      <c r="G180" s="1">
        <v>117</v>
      </c>
      <c r="H180" s="1"/>
      <c r="I180" s="1"/>
      <c r="J180" s="1"/>
      <c r="K180" s="1"/>
      <c r="L180" s="17" t="s">
        <v>720</v>
      </c>
      <c r="M180" s="17" t="s">
        <v>721</v>
      </c>
      <c r="N180" s="17">
        <v>22</v>
      </c>
      <c r="O180" s="15" t="s">
        <v>31</v>
      </c>
    </row>
    <row r="181" spans="1:15" x14ac:dyDescent="0.2">
      <c r="A181" s="17" t="s">
        <v>722</v>
      </c>
      <c r="B181" s="17" t="s">
        <v>723</v>
      </c>
      <c r="C181" s="17">
        <v>18</v>
      </c>
      <c r="D181" s="1"/>
      <c r="E181" s="1">
        <v>1830</v>
      </c>
      <c r="F181" s="1">
        <v>2440</v>
      </c>
      <c r="G181" s="1">
        <v>50</v>
      </c>
      <c r="H181" s="1"/>
      <c r="I181" s="1"/>
      <c r="J181" s="1"/>
      <c r="K181" s="1"/>
      <c r="L181" s="17" t="s">
        <v>724</v>
      </c>
      <c r="M181" s="17" t="s">
        <v>725</v>
      </c>
      <c r="N181" s="17">
        <v>41</v>
      </c>
      <c r="O181" s="15" t="s">
        <v>31</v>
      </c>
    </row>
    <row r="182" spans="1:15" x14ac:dyDescent="0.2">
      <c r="A182" s="17" t="s">
        <v>726</v>
      </c>
      <c r="B182" s="17" t="s">
        <v>727</v>
      </c>
      <c r="C182" s="17">
        <v>15</v>
      </c>
      <c r="D182" s="1"/>
      <c r="E182" s="1">
        <v>2150</v>
      </c>
      <c r="F182" s="1">
        <v>2440</v>
      </c>
      <c r="G182" s="1">
        <v>53</v>
      </c>
      <c r="H182" s="1"/>
      <c r="I182" s="1"/>
      <c r="J182" s="1"/>
      <c r="K182" s="1"/>
      <c r="L182" s="17" t="s">
        <v>728</v>
      </c>
      <c r="M182" s="17" t="s">
        <v>686</v>
      </c>
      <c r="N182" s="17">
        <v>41</v>
      </c>
      <c r="O182" s="15" t="s">
        <v>31</v>
      </c>
    </row>
    <row r="183" spans="1:15" x14ac:dyDescent="0.2">
      <c r="A183" s="17" t="s">
        <v>729</v>
      </c>
      <c r="B183" s="17" t="s">
        <v>730</v>
      </c>
      <c r="C183" s="17"/>
      <c r="D183" s="1"/>
      <c r="E183" s="1">
        <v>2150</v>
      </c>
      <c r="F183" s="1">
        <v>2440</v>
      </c>
      <c r="G183" s="1">
        <v>117</v>
      </c>
      <c r="H183" s="1"/>
      <c r="I183" s="1"/>
      <c r="J183" s="1"/>
      <c r="K183" s="1"/>
      <c r="L183" s="17" t="s">
        <v>731</v>
      </c>
      <c r="M183" s="17" t="s">
        <v>732</v>
      </c>
      <c r="N183" s="17">
        <v>33</v>
      </c>
      <c r="O183" s="15" t="s">
        <v>31</v>
      </c>
    </row>
    <row r="184" spans="1:15" x14ac:dyDescent="0.2">
      <c r="A184" s="17" t="s">
        <v>733</v>
      </c>
      <c r="B184" s="17" t="s">
        <v>734</v>
      </c>
      <c r="C184" s="17">
        <v>36</v>
      </c>
      <c r="D184" s="1"/>
      <c r="E184" s="1">
        <v>2150</v>
      </c>
      <c r="F184" s="1">
        <v>2440</v>
      </c>
      <c r="G184" s="1">
        <v>117</v>
      </c>
      <c r="H184" s="1"/>
      <c r="I184" s="1"/>
      <c r="J184" s="1"/>
      <c r="K184" s="1"/>
      <c r="L184" s="17" t="s">
        <v>735</v>
      </c>
      <c r="M184" s="17" t="s">
        <v>736</v>
      </c>
      <c r="N184" s="17">
        <v>33</v>
      </c>
      <c r="O184" s="15" t="s">
        <v>22</v>
      </c>
    </row>
    <row r="185" spans="1:15" x14ac:dyDescent="0.2">
      <c r="A185" s="17" t="s">
        <v>737</v>
      </c>
      <c r="B185" s="17" t="s">
        <v>738</v>
      </c>
      <c r="C185" s="17">
        <v>15</v>
      </c>
      <c r="D185" s="1"/>
      <c r="E185" s="1">
        <v>1830</v>
      </c>
      <c r="F185" s="1">
        <v>2440</v>
      </c>
      <c r="G185" s="1">
        <v>41</v>
      </c>
      <c r="H185" s="1"/>
      <c r="I185" s="1"/>
      <c r="J185" s="1"/>
      <c r="K185" s="1"/>
      <c r="L185" s="17" t="s">
        <v>739</v>
      </c>
      <c r="M185" s="17" t="s">
        <v>740</v>
      </c>
      <c r="N185" s="17">
        <v>19</v>
      </c>
      <c r="O185" s="15" t="s">
        <v>31</v>
      </c>
    </row>
    <row r="186" spans="1:15" x14ac:dyDescent="0.2">
      <c r="A186" s="17" t="s">
        <v>741</v>
      </c>
      <c r="B186" s="17" t="s">
        <v>742</v>
      </c>
      <c r="C186" s="17">
        <v>5.5</v>
      </c>
      <c r="D186" s="1"/>
      <c r="E186" s="1">
        <v>1830</v>
      </c>
      <c r="F186" s="1">
        <v>2440</v>
      </c>
      <c r="G186" s="1">
        <v>17</v>
      </c>
      <c r="H186" s="1"/>
      <c r="I186" s="1"/>
      <c r="J186" s="1"/>
      <c r="K186" s="1"/>
      <c r="L186" s="17" t="s">
        <v>743</v>
      </c>
      <c r="M186" s="17" t="s">
        <v>744</v>
      </c>
      <c r="N186" s="17">
        <v>18</v>
      </c>
      <c r="O186" s="2" t="s">
        <v>36</v>
      </c>
    </row>
    <row r="187" spans="1:15" x14ac:dyDescent="0.2">
      <c r="A187" s="17" t="s">
        <v>745</v>
      </c>
      <c r="B187" s="17" t="s">
        <v>746</v>
      </c>
      <c r="C187" s="17">
        <v>6</v>
      </c>
      <c r="D187" s="1"/>
      <c r="E187" s="1">
        <v>2150</v>
      </c>
      <c r="F187" s="1">
        <v>2440</v>
      </c>
      <c r="G187" s="1">
        <v>23</v>
      </c>
      <c r="H187" s="1"/>
      <c r="I187" s="1"/>
      <c r="J187" s="1"/>
      <c r="K187" s="1"/>
      <c r="L187" s="17" t="s">
        <v>747</v>
      </c>
      <c r="M187" s="17" t="s">
        <v>748</v>
      </c>
      <c r="N187" s="17">
        <v>41</v>
      </c>
      <c r="O187" s="15" t="s">
        <v>31</v>
      </c>
    </row>
    <row r="188" spans="1:15" x14ac:dyDescent="0.2">
      <c r="A188" s="17" t="s">
        <v>749</v>
      </c>
      <c r="B188" s="17" t="s">
        <v>750</v>
      </c>
      <c r="C188" s="17">
        <v>12</v>
      </c>
      <c r="D188" s="1"/>
      <c r="E188" s="1">
        <v>1830</v>
      </c>
      <c r="F188" s="1">
        <v>2440</v>
      </c>
      <c r="G188" s="1">
        <v>35</v>
      </c>
      <c r="H188" s="1"/>
      <c r="I188" s="1"/>
      <c r="J188" s="1"/>
      <c r="K188" s="1"/>
      <c r="L188" s="17" t="s">
        <v>751</v>
      </c>
      <c r="M188" s="17" t="s">
        <v>752</v>
      </c>
      <c r="N188" s="17">
        <v>41</v>
      </c>
      <c r="O188" s="15" t="s">
        <v>31</v>
      </c>
    </row>
    <row r="189" spans="1:15" x14ac:dyDescent="0.2">
      <c r="A189" s="17" t="s">
        <v>753</v>
      </c>
      <c r="B189" s="17" t="s">
        <v>754</v>
      </c>
      <c r="C189" s="17">
        <v>15</v>
      </c>
      <c r="D189" s="1"/>
      <c r="E189" s="1">
        <v>2150</v>
      </c>
      <c r="F189" s="1">
        <v>2440</v>
      </c>
      <c r="G189" s="1">
        <v>53</v>
      </c>
      <c r="H189" s="1"/>
      <c r="I189" s="1"/>
      <c r="J189" s="1"/>
      <c r="K189" s="1"/>
      <c r="L189" s="17" t="s">
        <v>755</v>
      </c>
      <c r="M189" s="17" t="s">
        <v>756</v>
      </c>
      <c r="N189" s="17">
        <v>22</v>
      </c>
      <c r="O189" s="15" t="s">
        <v>22</v>
      </c>
    </row>
    <row r="190" spans="1:15" x14ac:dyDescent="0.2">
      <c r="A190" s="17" t="s">
        <v>757</v>
      </c>
      <c r="B190" s="17" t="s">
        <v>758</v>
      </c>
      <c r="C190" s="17">
        <v>36</v>
      </c>
      <c r="D190" s="1"/>
      <c r="E190" s="1">
        <v>2150</v>
      </c>
      <c r="F190" s="1">
        <v>2440</v>
      </c>
      <c r="G190" s="1">
        <v>117</v>
      </c>
      <c r="H190" s="1"/>
      <c r="I190" s="1"/>
      <c r="J190" s="1"/>
      <c r="K190" s="1"/>
      <c r="L190" s="17" t="s">
        <v>759</v>
      </c>
      <c r="M190" s="17" t="s">
        <v>760</v>
      </c>
      <c r="N190" s="17">
        <v>22</v>
      </c>
      <c r="O190" s="15" t="s">
        <v>31</v>
      </c>
    </row>
    <row r="191" spans="1:15" x14ac:dyDescent="0.2">
      <c r="A191" s="17" t="s">
        <v>761</v>
      </c>
      <c r="B191" s="17" t="s">
        <v>762</v>
      </c>
      <c r="C191" s="17">
        <v>18</v>
      </c>
      <c r="D191" s="1"/>
      <c r="E191" s="1">
        <v>2150</v>
      </c>
      <c r="F191" s="1">
        <v>2440</v>
      </c>
      <c r="G191" s="1">
        <v>61</v>
      </c>
      <c r="H191" s="1"/>
      <c r="I191" s="1"/>
      <c r="J191" s="1"/>
      <c r="K191" s="1"/>
      <c r="L191" s="17" t="s">
        <v>763</v>
      </c>
      <c r="M191" s="17" t="s">
        <v>764</v>
      </c>
      <c r="N191" s="17">
        <v>19</v>
      </c>
      <c r="O191" s="15" t="s">
        <v>31</v>
      </c>
    </row>
    <row r="192" spans="1:15" x14ac:dyDescent="0.2">
      <c r="A192" s="17" t="s">
        <v>765</v>
      </c>
      <c r="B192" s="17" t="s">
        <v>766</v>
      </c>
      <c r="C192" s="17" t="s">
        <v>384</v>
      </c>
      <c r="D192" s="1"/>
      <c r="E192" s="1">
        <v>2150</v>
      </c>
      <c r="F192" s="1">
        <v>2440</v>
      </c>
      <c r="G192" s="1">
        <v>117</v>
      </c>
      <c r="H192" s="1"/>
      <c r="I192" s="1"/>
      <c r="J192" s="1"/>
      <c r="K192" s="1"/>
      <c r="L192" s="17" t="s">
        <v>767</v>
      </c>
      <c r="M192" s="17" t="s">
        <v>768</v>
      </c>
      <c r="N192" s="17">
        <v>19</v>
      </c>
      <c r="O192" s="15" t="s">
        <v>31</v>
      </c>
    </row>
    <row r="193" spans="1:15" x14ac:dyDescent="0.2">
      <c r="A193" s="17" t="s">
        <v>769</v>
      </c>
      <c r="B193" s="17" t="s">
        <v>770</v>
      </c>
      <c r="C193" s="17">
        <v>2.7</v>
      </c>
      <c r="D193" s="1"/>
      <c r="E193" s="1">
        <v>1220</v>
      </c>
      <c r="F193" s="1">
        <v>2440</v>
      </c>
      <c r="G193" s="1">
        <v>9</v>
      </c>
      <c r="H193" s="1"/>
      <c r="I193" s="1"/>
      <c r="J193" s="1"/>
      <c r="K193" s="1"/>
      <c r="L193" s="17" t="s">
        <v>771</v>
      </c>
      <c r="M193" s="17" t="s">
        <v>772</v>
      </c>
      <c r="N193" s="17">
        <v>19</v>
      </c>
      <c r="O193" s="15" t="s">
        <v>22</v>
      </c>
    </row>
    <row r="194" spans="1:15" x14ac:dyDescent="0.2">
      <c r="A194" s="17" t="s">
        <v>773</v>
      </c>
      <c r="B194" s="17" t="s">
        <v>774</v>
      </c>
      <c r="C194" s="17">
        <v>18</v>
      </c>
      <c r="D194" s="1"/>
      <c r="E194" s="1">
        <v>2150</v>
      </c>
      <c r="F194" s="1">
        <v>2440</v>
      </c>
      <c r="G194" s="1">
        <v>61</v>
      </c>
      <c r="H194" s="1"/>
      <c r="I194" s="1"/>
      <c r="J194" s="1"/>
      <c r="K194" s="1"/>
      <c r="L194" s="17" t="s">
        <v>775</v>
      </c>
      <c r="M194" s="17" t="s">
        <v>776</v>
      </c>
      <c r="N194" s="17">
        <v>19</v>
      </c>
      <c r="O194" s="15" t="s">
        <v>31</v>
      </c>
    </row>
    <row r="195" spans="1:15" x14ac:dyDescent="0.2">
      <c r="A195" s="17" t="s">
        <v>777</v>
      </c>
      <c r="B195" s="17" t="s">
        <v>778</v>
      </c>
      <c r="C195" s="17">
        <v>6</v>
      </c>
      <c r="D195" s="1"/>
      <c r="E195" s="1">
        <v>2150</v>
      </c>
      <c r="F195" s="1">
        <v>2440</v>
      </c>
      <c r="G195" s="1">
        <v>23</v>
      </c>
      <c r="H195" s="1"/>
      <c r="I195" s="1"/>
      <c r="J195" s="1"/>
      <c r="K195" s="1"/>
      <c r="L195" s="17" t="s">
        <v>779</v>
      </c>
      <c r="M195" s="17" t="s">
        <v>780</v>
      </c>
      <c r="N195" s="17">
        <v>15</v>
      </c>
      <c r="O195" s="2" t="s">
        <v>36</v>
      </c>
    </row>
    <row r="196" spans="1:15" x14ac:dyDescent="0.2">
      <c r="A196" s="17" t="s">
        <v>781</v>
      </c>
      <c r="B196" s="17" t="s">
        <v>782</v>
      </c>
      <c r="C196" s="17">
        <v>15</v>
      </c>
      <c r="D196" s="1"/>
      <c r="E196" s="1">
        <v>2150</v>
      </c>
      <c r="F196" s="1">
        <v>2440</v>
      </c>
      <c r="G196" s="1">
        <v>53</v>
      </c>
      <c r="H196" s="1"/>
      <c r="I196" s="1"/>
      <c r="J196" s="1"/>
      <c r="K196" s="1"/>
      <c r="L196" s="17" t="s">
        <v>783</v>
      </c>
      <c r="M196" s="17" t="s">
        <v>784</v>
      </c>
      <c r="N196" s="17">
        <v>22</v>
      </c>
      <c r="O196" s="15" t="s">
        <v>31</v>
      </c>
    </row>
    <row r="197" spans="1:15" x14ac:dyDescent="0.2">
      <c r="A197" s="17" t="s">
        <v>785</v>
      </c>
      <c r="B197" s="17" t="s">
        <v>379</v>
      </c>
      <c r="C197" s="17">
        <v>18</v>
      </c>
      <c r="D197" s="1"/>
      <c r="E197" s="1">
        <v>1830</v>
      </c>
      <c r="F197" s="1">
        <v>2440</v>
      </c>
      <c r="G197" s="1">
        <v>50</v>
      </c>
      <c r="H197" s="1"/>
      <c r="I197" s="1"/>
      <c r="J197" s="1"/>
      <c r="K197" s="1"/>
      <c r="L197" s="17" t="s">
        <v>786</v>
      </c>
      <c r="M197" s="17" t="s">
        <v>787</v>
      </c>
      <c r="N197" s="17">
        <v>41</v>
      </c>
      <c r="O197" s="15" t="s">
        <v>31</v>
      </c>
    </row>
    <row r="198" spans="1:15" x14ac:dyDescent="0.2">
      <c r="A198" s="17" t="s">
        <v>788</v>
      </c>
      <c r="B198" s="17" t="s">
        <v>789</v>
      </c>
      <c r="C198" s="17">
        <v>15</v>
      </c>
      <c r="D198" s="1"/>
      <c r="E198" s="1">
        <v>1830</v>
      </c>
      <c r="F198" s="1">
        <v>2440</v>
      </c>
      <c r="G198" s="1">
        <v>41</v>
      </c>
      <c r="H198" s="1"/>
      <c r="I198" s="1"/>
      <c r="J198" s="1"/>
      <c r="K198" s="1"/>
      <c r="L198" s="17" t="s">
        <v>790</v>
      </c>
      <c r="M198" s="17" t="s">
        <v>791</v>
      </c>
      <c r="N198" s="17">
        <v>22</v>
      </c>
      <c r="O198" s="15" t="s">
        <v>31</v>
      </c>
    </row>
    <row r="199" spans="1:15" x14ac:dyDescent="0.2">
      <c r="A199" s="17" t="s">
        <v>792</v>
      </c>
      <c r="B199" s="17" t="s">
        <v>793</v>
      </c>
      <c r="C199" s="17">
        <v>15</v>
      </c>
      <c r="D199" s="1"/>
      <c r="E199" s="1">
        <v>1830</v>
      </c>
      <c r="F199" s="1">
        <v>2440</v>
      </c>
      <c r="G199" s="1">
        <v>41</v>
      </c>
      <c r="H199" s="1"/>
      <c r="I199" s="1"/>
      <c r="J199" s="1"/>
      <c r="K199" s="1"/>
      <c r="L199" s="17" t="s">
        <v>794</v>
      </c>
      <c r="M199" s="17" t="s">
        <v>795</v>
      </c>
      <c r="N199" s="17">
        <v>33</v>
      </c>
      <c r="O199" s="15" t="s">
        <v>22</v>
      </c>
    </row>
    <row r="200" spans="1:15" x14ac:dyDescent="0.2">
      <c r="A200" s="17" t="s">
        <v>796</v>
      </c>
      <c r="B200" s="17" t="s">
        <v>797</v>
      </c>
      <c r="C200" s="17">
        <v>30</v>
      </c>
      <c r="D200" s="1"/>
      <c r="E200" s="1">
        <v>2150</v>
      </c>
      <c r="F200" s="1">
        <v>2440</v>
      </c>
      <c r="G200" s="1">
        <v>97</v>
      </c>
      <c r="H200" s="1"/>
      <c r="I200" s="1"/>
      <c r="J200" s="1"/>
      <c r="K200" s="1"/>
      <c r="L200" s="17" t="s">
        <v>798</v>
      </c>
      <c r="M200" s="17" t="s">
        <v>799</v>
      </c>
      <c r="N200" s="17">
        <v>41</v>
      </c>
      <c r="O200" s="15" t="s">
        <v>31</v>
      </c>
    </row>
    <row r="201" spans="1:15" x14ac:dyDescent="0.2">
      <c r="A201" s="17" t="s">
        <v>800</v>
      </c>
      <c r="B201" s="17" t="s">
        <v>801</v>
      </c>
      <c r="C201" s="17" t="s">
        <v>292</v>
      </c>
      <c r="D201" s="1"/>
      <c r="E201" s="1">
        <v>2150</v>
      </c>
      <c r="F201" s="1">
        <v>2440</v>
      </c>
      <c r="G201" s="1">
        <v>117</v>
      </c>
      <c r="H201" s="1"/>
      <c r="I201" s="1"/>
      <c r="J201" s="1"/>
      <c r="K201" s="1"/>
      <c r="L201" s="17" t="s">
        <v>802</v>
      </c>
      <c r="M201" s="17" t="s">
        <v>803</v>
      </c>
      <c r="N201" s="17">
        <v>15</v>
      </c>
      <c r="O201" s="2" t="s">
        <v>36</v>
      </c>
    </row>
    <row r="202" spans="1:15" x14ac:dyDescent="0.2">
      <c r="A202" s="17" t="s">
        <v>804</v>
      </c>
      <c r="B202" s="17" t="s">
        <v>805</v>
      </c>
      <c r="C202" s="17">
        <v>36</v>
      </c>
      <c r="D202" s="1"/>
      <c r="E202" s="1">
        <v>1220</v>
      </c>
      <c r="F202" s="1">
        <v>2440</v>
      </c>
      <c r="G202" s="1">
        <v>66</v>
      </c>
      <c r="H202" s="1"/>
      <c r="I202" s="1"/>
      <c r="J202" s="1"/>
      <c r="K202" s="1"/>
      <c r="L202" s="17" t="s">
        <v>806</v>
      </c>
      <c r="M202" s="17" t="s">
        <v>807</v>
      </c>
      <c r="N202" s="17">
        <v>33</v>
      </c>
      <c r="O202" s="15" t="s">
        <v>31</v>
      </c>
    </row>
    <row r="203" spans="1:15" x14ac:dyDescent="0.2">
      <c r="A203" s="17" t="s">
        <v>808</v>
      </c>
      <c r="B203" s="17" t="s">
        <v>809</v>
      </c>
      <c r="C203" s="17">
        <v>18</v>
      </c>
      <c r="D203" s="1"/>
      <c r="E203" s="1">
        <v>1220</v>
      </c>
      <c r="F203" s="1">
        <v>2440</v>
      </c>
      <c r="G203" s="1">
        <v>36</v>
      </c>
      <c r="H203" s="1"/>
      <c r="I203" s="1"/>
      <c r="J203" s="1"/>
      <c r="K203" s="1"/>
      <c r="L203" s="17" t="s">
        <v>810</v>
      </c>
      <c r="M203" s="17" t="s">
        <v>811</v>
      </c>
      <c r="N203" s="17">
        <v>44</v>
      </c>
      <c r="O203" s="15" t="s">
        <v>31</v>
      </c>
    </row>
    <row r="204" spans="1:15" x14ac:dyDescent="0.2">
      <c r="A204" s="17" t="s">
        <v>812</v>
      </c>
      <c r="B204" s="17" t="s">
        <v>813</v>
      </c>
      <c r="C204" s="17">
        <v>6</v>
      </c>
      <c r="D204" s="1"/>
      <c r="E204" s="1">
        <v>2150</v>
      </c>
      <c r="F204" s="1">
        <v>2440</v>
      </c>
      <c r="G204" s="1">
        <v>23</v>
      </c>
      <c r="H204" s="1"/>
      <c r="I204" s="1"/>
      <c r="J204" s="1"/>
      <c r="K204" s="1"/>
      <c r="L204" s="17" t="s">
        <v>814</v>
      </c>
      <c r="M204" s="17" t="s">
        <v>815</v>
      </c>
      <c r="N204" s="17">
        <v>16</v>
      </c>
      <c r="O204" s="15" t="s">
        <v>31</v>
      </c>
    </row>
    <row r="205" spans="1:15" x14ac:dyDescent="0.2">
      <c r="A205" s="17" t="s">
        <v>816</v>
      </c>
      <c r="B205" s="17" t="s">
        <v>817</v>
      </c>
      <c r="C205" s="17"/>
      <c r="D205" s="1"/>
      <c r="E205" s="1">
        <v>2150</v>
      </c>
      <c r="F205" s="1">
        <v>2440</v>
      </c>
      <c r="G205" s="1">
        <v>117</v>
      </c>
      <c r="H205" s="1"/>
      <c r="I205" s="1"/>
      <c r="J205" s="1"/>
      <c r="K205" s="1"/>
      <c r="L205" s="17" t="s">
        <v>818</v>
      </c>
      <c r="M205" s="17" t="s">
        <v>819</v>
      </c>
      <c r="N205" s="17">
        <v>19</v>
      </c>
      <c r="O205" s="15" t="s">
        <v>31</v>
      </c>
    </row>
    <row r="206" spans="1:15" x14ac:dyDescent="0.2">
      <c r="A206" s="17" t="s">
        <v>820</v>
      </c>
      <c r="B206" s="17" t="s">
        <v>821</v>
      </c>
      <c r="C206" s="17">
        <v>2.7</v>
      </c>
      <c r="D206" s="1"/>
      <c r="E206" s="1">
        <v>2150</v>
      </c>
      <c r="F206" s="1">
        <v>2440</v>
      </c>
      <c r="G206" s="1">
        <v>117</v>
      </c>
      <c r="H206" s="1"/>
      <c r="I206" s="1"/>
      <c r="J206" s="1"/>
      <c r="K206" s="1"/>
      <c r="L206" s="17" t="s">
        <v>822</v>
      </c>
      <c r="M206" s="17" t="s">
        <v>823</v>
      </c>
      <c r="N206" s="17">
        <v>22</v>
      </c>
      <c r="O206" s="15" t="s">
        <v>31</v>
      </c>
    </row>
    <row r="207" spans="1:15" x14ac:dyDescent="0.2">
      <c r="A207" s="17" t="s">
        <v>824</v>
      </c>
      <c r="B207" s="17" t="s">
        <v>825</v>
      </c>
      <c r="C207" s="17">
        <v>5</v>
      </c>
      <c r="D207" s="1"/>
      <c r="E207" s="1">
        <v>2150</v>
      </c>
      <c r="F207" s="1">
        <v>2440</v>
      </c>
      <c r="G207" s="1">
        <v>117</v>
      </c>
      <c r="H207" s="1"/>
      <c r="I207" s="1"/>
      <c r="J207" s="1"/>
      <c r="K207" s="1"/>
      <c r="L207" s="17" t="s">
        <v>826</v>
      </c>
      <c r="M207" s="17" t="s">
        <v>827</v>
      </c>
      <c r="N207" s="17">
        <v>44</v>
      </c>
      <c r="O207" s="15" t="s">
        <v>31</v>
      </c>
    </row>
    <row r="208" spans="1:15" x14ac:dyDescent="0.2">
      <c r="A208" s="17" t="s">
        <v>828</v>
      </c>
      <c r="B208" s="17" t="s">
        <v>829</v>
      </c>
      <c r="C208" s="17">
        <v>9</v>
      </c>
      <c r="D208" s="1"/>
      <c r="E208" s="1">
        <v>1220</v>
      </c>
      <c r="F208" s="1">
        <v>2440</v>
      </c>
      <c r="G208" s="1">
        <v>19</v>
      </c>
      <c r="H208" s="1"/>
      <c r="I208" s="1"/>
      <c r="J208" s="1"/>
      <c r="K208" s="1"/>
      <c r="L208" s="17" t="s">
        <v>830</v>
      </c>
      <c r="M208" s="17" t="s">
        <v>831</v>
      </c>
      <c r="N208" s="17">
        <v>16</v>
      </c>
      <c r="O208" s="15" t="s">
        <v>31</v>
      </c>
    </row>
    <row r="209" spans="1:15" x14ac:dyDescent="0.2">
      <c r="A209" s="17" t="s">
        <v>832</v>
      </c>
      <c r="B209" s="17" t="s">
        <v>833</v>
      </c>
      <c r="C209" s="17"/>
      <c r="D209" s="1"/>
      <c r="E209" s="1">
        <v>2150</v>
      </c>
      <c r="F209" s="1">
        <v>2440</v>
      </c>
      <c r="G209" s="1">
        <v>117</v>
      </c>
      <c r="H209" s="1"/>
      <c r="I209" s="1"/>
      <c r="J209" s="1"/>
      <c r="K209" s="1"/>
      <c r="L209" s="17" t="s">
        <v>834</v>
      </c>
      <c r="M209" s="17" t="s">
        <v>835</v>
      </c>
      <c r="N209" s="17">
        <v>19</v>
      </c>
      <c r="O209" s="15" t="s">
        <v>31</v>
      </c>
    </row>
    <row r="210" spans="1:15" x14ac:dyDescent="0.2">
      <c r="A210" s="17" t="s">
        <v>836</v>
      </c>
      <c r="B210" s="17" t="s">
        <v>837</v>
      </c>
      <c r="C210" s="17">
        <v>3</v>
      </c>
      <c r="D210" s="1"/>
      <c r="E210" s="1">
        <v>1220</v>
      </c>
      <c r="F210" s="1">
        <v>2440</v>
      </c>
      <c r="G210" s="1">
        <v>6</v>
      </c>
      <c r="H210" s="1"/>
      <c r="I210" s="1"/>
      <c r="J210" s="1"/>
      <c r="K210" s="1"/>
      <c r="L210" s="17" t="s">
        <v>838</v>
      </c>
      <c r="M210" s="17" t="s">
        <v>839</v>
      </c>
      <c r="N210" s="17">
        <v>22</v>
      </c>
      <c r="O210" s="15" t="s">
        <v>31</v>
      </c>
    </row>
    <row r="211" spans="1:15" x14ac:dyDescent="0.2">
      <c r="A211" s="17" t="s">
        <v>840</v>
      </c>
      <c r="B211" s="17" t="s">
        <v>841</v>
      </c>
      <c r="C211" s="17"/>
      <c r="D211" s="1"/>
      <c r="E211" s="1">
        <v>2150</v>
      </c>
      <c r="F211" s="1">
        <v>2440</v>
      </c>
      <c r="G211" s="1">
        <v>117</v>
      </c>
      <c r="H211" s="1"/>
      <c r="I211" s="1"/>
      <c r="J211" s="1"/>
      <c r="K211" s="1"/>
      <c r="L211" s="17" t="s">
        <v>842</v>
      </c>
      <c r="M211" s="17" t="s">
        <v>843</v>
      </c>
      <c r="N211" s="17">
        <v>33</v>
      </c>
      <c r="O211" s="15" t="s">
        <v>31</v>
      </c>
    </row>
    <row r="212" spans="1:15" x14ac:dyDescent="0.2">
      <c r="A212" s="17" t="s">
        <v>844</v>
      </c>
      <c r="B212" s="17" t="s">
        <v>845</v>
      </c>
      <c r="C212" s="17">
        <v>6</v>
      </c>
      <c r="D212" s="1"/>
      <c r="E212" s="1">
        <v>2150</v>
      </c>
      <c r="F212" s="1">
        <v>2440</v>
      </c>
      <c r="G212" s="1">
        <v>23</v>
      </c>
      <c r="H212" s="1"/>
      <c r="I212" s="1"/>
      <c r="J212" s="1"/>
      <c r="K212" s="1"/>
      <c r="L212" s="17" t="s">
        <v>846</v>
      </c>
      <c r="M212" s="17" t="s">
        <v>847</v>
      </c>
      <c r="N212" s="17">
        <v>44</v>
      </c>
      <c r="O212" s="15" t="s">
        <v>31</v>
      </c>
    </row>
    <row r="213" spans="1:15" x14ac:dyDescent="0.2">
      <c r="A213" s="17" t="s">
        <v>848</v>
      </c>
      <c r="B213" s="17" t="s">
        <v>849</v>
      </c>
      <c r="C213" s="17">
        <v>6</v>
      </c>
      <c r="D213" s="1"/>
      <c r="E213" s="1">
        <v>2150</v>
      </c>
      <c r="F213" s="1">
        <v>2440</v>
      </c>
      <c r="G213" s="1">
        <v>23</v>
      </c>
      <c r="H213" s="1"/>
      <c r="I213" s="1"/>
      <c r="J213" s="1"/>
      <c r="K213" s="1"/>
      <c r="L213" s="17" t="s">
        <v>850</v>
      </c>
      <c r="M213" s="17" t="s">
        <v>843</v>
      </c>
      <c r="N213" s="17">
        <v>19</v>
      </c>
      <c r="O213" s="15" t="s">
        <v>31</v>
      </c>
    </row>
    <row r="214" spans="1:15" x14ac:dyDescent="0.2">
      <c r="A214" s="17" t="s">
        <v>851</v>
      </c>
      <c r="B214" s="17" t="s">
        <v>852</v>
      </c>
      <c r="C214" s="17">
        <v>6</v>
      </c>
      <c r="D214" s="1"/>
      <c r="E214" s="1">
        <v>2150</v>
      </c>
      <c r="F214" s="1">
        <v>2440</v>
      </c>
      <c r="G214" s="1">
        <v>23</v>
      </c>
      <c r="H214" s="1"/>
      <c r="I214" s="1"/>
      <c r="J214" s="1"/>
      <c r="K214" s="1"/>
      <c r="L214" s="17" t="s">
        <v>853</v>
      </c>
      <c r="M214" s="17" t="s">
        <v>854</v>
      </c>
      <c r="N214" s="17">
        <v>33</v>
      </c>
      <c r="O214" s="15" t="s">
        <v>31</v>
      </c>
    </row>
    <row r="215" spans="1:15" x14ac:dyDescent="0.2">
      <c r="A215" s="17" t="s">
        <v>855</v>
      </c>
      <c r="B215" s="17" t="s">
        <v>856</v>
      </c>
      <c r="C215" s="17">
        <v>6</v>
      </c>
      <c r="D215" s="1"/>
      <c r="E215" s="1">
        <v>2150</v>
      </c>
      <c r="F215" s="1">
        <v>2440</v>
      </c>
      <c r="G215" s="1">
        <v>23</v>
      </c>
      <c r="H215" s="1"/>
      <c r="I215" s="1"/>
      <c r="J215" s="1"/>
      <c r="K215" s="1"/>
      <c r="L215" s="17" t="s">
        <v>857</v>
      </c>
      <c r="M215" s="17" t="s">
        <v>858</v>
      </c>
      <c r="N215" s="17">
        <v>41</v>
      </c>
      <c r="O215" s="15" t="s">
        <v>31</v>
      </c>
    </row>
    <row r="216" spans="1:15" x14ac:dyDescent="0.2">
      <c r="A216" s="17" t="s">
        <v>859</v>
      </c>
      <c r="B216" s="17" t="s">
        <v>860</v>
      </c>
      <c r="C216" s="17">
        <v>6</v>
      </c>
      <c r="D216" s="1"/>
      <c r="E216" s="1">
        <v>2150</v>
      </c>
      <c r="F216" s="1">
        <v>2440</v>
      </c>
      <c r="G216" s="1">
        <v>23</v>
      </c>
      <c r="H216" s="1"/>
      <c r="I216" s="1"/>
      <c r="J216" s="1"/>
      <c r="K216" s="1"/>
      <c r="L216" s="17" t="s">
        <v>861</v>
      </c>
      <c r="M216" s="17" t="s">
        <v>862</v>
      </c>
      <c r="N216" s="17">
        <v>19</v>
      </c>
      <c r="O216" s="15" t="s">
        <v>31</v>
      </c>
    </row>
    <row r="217" spans="1:15" x14ac:dyDescent="0.2">
      <c r="A217" s="17" t="s">
        <v>863</v>
      </c>
      <c r="B217" s="17" t="s">
        <v>864</v>
      </c>
      <c r="C217" s="17">
        <v>6</v>
      </c>
      <c r="D217" s="1"/>
      <c r="E217" s="1">
        <v>2150</v>
      </c>
      <c r="F217" s="1">
        <v>2440</v>
      </c>
      <c r="G217" s="1">
        <v>23</v>
      </c>
      <c r="H217" s="1"/>
      <c r="I217" s="1"/>
      <c r="J217" s="1"/>
      <c r="K217" s="1"/>
      <c r="L217" s="17" t="s">
        <v>865</v>
      </c>
      <c r="M217" s="17" t="s">
        <v>866</v>
      </c>
      <c r="N217" s="17">
        <v>44</v>
      </c>
      <c r="O217" s="15" t="s">
        <v>31</v>
      </c>
    </row>
    <row r="218" spans="1:15" x14ac:dyDescent="0.2">
      <c r="A218" s="17" t="s">
        <v>867</v>
      </c>
      <c r="B218" s="17" t="s">
        <v>868</v>
      </c>
      <c r="C218" s="17">
        <v>15</v>
      </c>
      <c r="D218" s="1"/>
      <c r="E218" s="1">
        <v>2150</v>
      </c>
      <c r="F218" s="1">
        <v>2440</v>
      </c>
      <c r="G218" s="1">
        <v>53</v>
      </c>
      <c r="H218" s="1"/>
      <c r="I218" s="1"/>
      <c r="J218" s="1"/>
      <c r="K218" s="1"/>
      <c r="L218" s="17" t="s">
        <v>869</v>
      </c>
      <c r="M218" s="17" t="s">
        <v>870</v>
      </c>
      <c r="N218" s="17">
        <v>19</v>
      </c>
      <c r="O218" s="15" t="s">
        <v>22</v>
      </c>
    </row>
    <row r="219" spans="1:15" x14ac:dyDescent="0.2">
      <c r="A219" s="17" t="s">
        <v>871</v>
      </c>
      <c r="B219" s="17" t="s">
        <v>872</v>
      </c>
      <c r="C219" s="17">
        <v>15</v>
      </c>
      <c r="D219" s="1"/>
      <c r="E219" s="1">
        <v>2150</v>
      </c>
      <c r="F219" s="1">
        <v>2440</v>
      </c>
      <c r="G219" s="1">
        <v>53</v>
      </c>
      <c r="H219" s="1"/>
      <c r="I219" s="1"/>
      <c r="J219" s="1"/>
      <c r="K219" s="1"/>
      <c r="L219" s="17" t="s">
        <v>873</v>
      </c>
      <c r="M219" s="17" t="s">
        <v>874</v>
      </c>
      <c r="N219" s="17">
        <v>33</v>
      </c>
      <c r="O219" s="15" t="s">
        <v>31</v>
      </c>
    </row>
    <row r="220" spans="1:15" x14ac:dyDescent="0.2">
      <c r="A220" s="17" t="s">
        <v>875</v>
      </c>
      <c r="B220" s="17" t="s">
        <v>876</v>
      </c>
      <c r="C220" s="17">
        <v>18</v>
      </c>
      <c r="D220" s="1"/>
      <c r="E220" s="1">
        <v>1830</v>
      </c>
      <c r="F220" s="1">
        <v>2440</v>
      </c>
      <c r="G220" s="1">
        <v>50</v>
      </c>
      <c r="H220" s="1"/>
      <c r="I220" s="1"/>
      <c r="J220" s="1"/>
      <c r="K220" s="1"/>
      <c r="L220" s="17" t="s">
        <v>877</v>
      </c>
      <c r="M220" s="17" t="s">
        <v>878</v>
      </c>
      <c r="N220" s="17">
        <v>19</v>
      </c>
      <c r="O220" s="15" t="s">
        <v>22</v>
      </c>
    </row>
    <row r="221" spans="1:15" x14ac:dyDescent="0.2">
      <c r="A221" s="17" t="s">
        <v>879</v>
      </c>
      <c r="B221" s="17" t="s">
        <v>880</v>
      </c>
      <c r="C221" s="17">
        <v>15</v>
      </c>
      <c r="D221" s="1"/>
      <c r="E221" s="1">
        <v>2150</v>
      </c>
      <c r="F221" s="1">
        <v>2440</v>
      </c>
      <c r="G221" s="1">
        <v>53</v>
      </c>
      <c r="H221" s="1"/>
      <c r="I221" s="1"/>
      <c r="J221" s="1"/>
      <c r="K221" s="1"/>
      <c r="L221" s="17" t="s">
        <v>881</v>
      </c>
      <c r="M221" s="17" t="s">
        <v>882</v>
      </c>
      <c r="N221" s="17">
        <v>33</v>
      </c>
      <c r="O221" s="15" t="s">
        <v>22</v>
      </c>
    </row>
    <row r="222" spans="1:15" x14ac:dyDescent="0.2">
      <c r="A222" s="17" t="s">
        <v>883</v>
      </c>
      <c r="B222" s="17" t="s">
        <v>884</v>
      </c>
      <c r="C222" s="17"/>
      <c r="D222" s="1"/>
      <c r="E222" s="1">
        <v>2150</v>
      </c>
      <c r="F222" s="1">
        <v>2440</v>
      </c>
      <c r="G222" s="1">
        <v>117</v>
      </c>
      <c r="H222" s="1"/>
      <c r="I222" s="1"/>
      <c r="J222" s="1"/>
      <c r="K222" s="1"/>
      <c r="L222" s="17" t="s">
        <v>885</v>
      </c>
      <c r="M222" s="17" t="s">
        <v>886</v>
      </c>
      <c r="N222" s="17">
        <v>19</v>
      </c>
      <c r="O222" s="15" t="s">
        <v>22</v>
      </c>
    </row>
    <row r="223" spans="1:15" x14ac:dyDescent="0.2">
      <c r="A223" s="17" t="s">
        <v>887</v>
      </c>
      <c r="B223" s="17" t="s">
        <v>888</v>
      </c>
      <c r="C223" s="17">
        <v>15</v>
      </c>
      <c r="D223" s="1"/>
      <c r="E223" s="1">
        <v>2150</v>
      </c>
      <c r="F223" s="1">
        <v>2440</v>
      </c>
      <c r="G223" s="1">
        <v>53</v>
      </c>
      <c r="H223" s="1"/>
      <c r="I223" s="1"/>
      <c r="J223" s="1"/>
      <c r="K223" s="1"/>
      <c r="L223" s="17" t="s">
        <v>889</v>
      </c>
      <c r="M223" s="17" t="s">
        <v>890</v>
      </c>
      <c r="N223" s="17">
        <v>33</v>
      </c>
      <c r="O223" s="15" t="s">
        <v>31</v>
      </c>
    </row>
    <row r="224" spans="1:15" x14ac:dyDescent="0.2">
      <c r="A224" s="17" t="s">
        <v>891</v>
      </c>
      <c r="B224" s="17" t="s">
        <v>892</v>
      </c>
      <c r="C224" s="17">
        <v>18</v>
      </c>
      <c r="D224" s="1"/>
      <c r="E224" s="1">
        <v>2150</v>
      </c>
      <c r="F224" s="1">
        <v>2440</v>
      </c>
      <c r="G224" s="1">
        <v>61</v>
      </c>
      <c r="H224" s="1"/>
      <c r="I224" s="1"/>
      <c r="J224" s="1"/>
      <c r="K224" s="1"/>
      <c r="L224" s="17" t="s">
        <v>893</v>
      </c>
      <c r="M224" s="17" t="s">
        <v>894</v>
      </c>
      <c r="N224" s="17"/>
      <c r="O224" s="2" t="s">
        <v>36</v>
      </c>
    </row>
    <row r="225" spans="1:15" x14ac:dyDescent="0.2">
      <c r="A225" s="17" t="s">
        <v>895</v>
      </c>
      <c r="B225" s="17" t="s">
        <v>896</v>
      </c>
      <c r="C225" s="17">
        <v>6</v>
      </c>
      <c r="D225" s="1"/>
      <c r="E225" s="1">
        <v>2150</v>
      </c>
      <c r="F225" s="1">
        <v>2440</v>
      </c>
      <c r="G225" s="1">
        <v>23</v>
      </c>
      <c r="H225" s="1"/>
      <c r="I225" s="1"/>
      <c r="J225" s="1"/>
      <c r="K225" s="1"/>
      <c r="L225" s="17" t="s">
        <v>897</v>
      </c>
      <c r="M225" s="17" t="s">
        <v>898</v>
      </c>
      <c r="N225" s="17">
        <v>41</v>
      </c>
      <c r="O225" s="15" t="s">
        <v>22</v>
      </c>
    </row>
    <row r="226" spans="1:15" x14ac:dyDescent="0.2">
      <c r="A226" s="17" t="s">
        <v>899</v>
      </c>
      <c r="B226" s="17" t="s">
        <v>900</v>
      </c>
      <c r="C226" s="17">
        <v>6</v>
      </c>
      <c r="D226" s="1"/>
      <c r="E226" s="1">
        <v>2150</v>
      </c>
      <c r="F226" s="1">
        <v>2440</v>
      </c>
      <c r="G226" s="1">
        <v>23</v>
      </c>
      <c r="H226" s="1"/>
      <c r="I226" s="1"/>
      <c r="J226" s="1"/>
      <c r="K226" s="1"/>
      <c r="L226" s="17" t="s">
        <v>901</v>
      </c>
      <c r="M226" s="17" t="s">
        <v>902</v>
      </c>
      <c r="N226" s="17">
        <v>41</v>
      </c>
      <c r="O226" s="2" t="s">
        <v>682</v>
      </c>
    </row>
    <row r="227" spans="1:15" x14ac:dyDescent="0.2">
      <c r="A227" s="17" t="s">
        <v>903</v>
      </c>
      <c r="B227" s="17" t="s">
        <v>904</v>
      </c>
      <c r="C227" s="17">
        <v>15</v>
      </c>
      <c r="D227" s="1"/>
      <c r="E227" s="1">
        <v>2150</v>
      </c>
      <c r="F227" s="1">
        <v>2440</v>
      </c>
      <c r="G227" s="1">
        <v>53</v>
      </c>
      <c r="H227" s="1"/>
      <c r="I227" s="1"/>
      <c r="J227" s="1"/>
      <c r="K227" s="1"/>
      <c r="L227" s="17" t="s">
        <v>905</v>
      </c>
      <c r="M227" s="17" t="s">
        <v>686</v>
      </c>
      <c r="N227" s="17">
        <v>41</v>
      </c>
      <c r="O227" s="15" t="s">
        <v>31</v>
      </c>
    </row>
    <row r="228" spans="1:15" x14ac:dyDescent="0.2">
      <c r="A228" s="17" t="s">
        <v>906</v>
      </c>
      <c r="B228" s="17" t="s">
        <v>907</v>
      </c>
      <c r="C228" s="17">
        <v>15</v>
      </c>
      <c r="D228" s="1"/>
      <c r="E228" s="1">
        <v>2150</v>
      </c>
      <c r="F228" s="1">
        <v>2440</v>
      </c>
      <c r="G228" s="1">
        <v>53</v>
      </c>
      <c r="H228" s="1"/>
      <c r="I228" s="1"/>
      <c r="J228" s="1"/>
      <c r="K228" s="1"/>
      <c r="L228" s="17" t="s">
        <v>908</v>
      </c>
      <c r="M228" s="17" t="s">
        <v>909</v>
      </c>
      <c r="N228" s="17">
        <v>15</v>
      </c>
      <c r="O228" s="2" t="s">
        <v>36</v>
      </c>
    </row>
    <row r="229" spans="1:15" x14ac:dyDescent="0.2">
      <c r="A229" s="17" t="s">
        <v>910</v>
      </c>
      <c r="B229" s="17" t="s">
        <v>911</v>
      </c>
      <c r="C229" s="17">
        <v>18</v>
      </c>
      <c r="D229" s="1"/>
      <c r="E229" s="1">
        <v>2150</v>
      </c>
      <c r="F229" s="1">
        <v>2440</v>
      </c>
      <c r="G229" s="1">
        <v>61</v>
      </c>
      <c r="H229" s="1"/>
      <c r="I229" s="1"/>
      <c r="J229" s="1"/>
      <c r="K229" s="1"/>
      <c r="L229" s="17" t="s">
        <v>912</v>
      </c>
      <c r="M229" s="17" t="s">
        <v>913</v>
      </c>
      <c r="N229" s="17">
        <v>41</v>
      </c>
      <c r="O229" s="15" t="s">
        <v>31</v>
      </c>
    </row>
    <row r="230" spans="1:15" x14ac:dyDescent="0.2">
      <c r="A230" s="17" t="s">
        <v>914</v>
      </c>
      <c r="B230" s="17" t="s">
        <v>915</v>
      </c>
      <c r="C230" s="17">
        <v>36</v>
      </c>
      <c r="D230" s="1"/>
      <c r="E230" s="1">
        <v>2150</v>
      </c>
      <c r="F230" s="1">
        <v>2440</v>
      </c>
      <c r="G230" s="1">
        <v>117</v>
      </c>
      <c r="H230" s="1"/>
      <c r="I230" s="1"/>
      <c r="J230" s="1"/>
      <c r="K230" s="1"/>
      <c r="L230" s="17" t="s">
        <v>916</v>
      </c>
      <c r="M230" s="17" t="s">
        <v>648</v>
      </c>
      <c r="N230" s="17">
        <v>41</v>
      </c>
      <c r="O230" s="15" t="s">
        <v>31</v>
      </c>
    </row>
    <row r="231" spans="1:15" x14ac:dyDescent="0.2">
      <c r="A231" s="17" t="s">
        <v>917</v>
      </c>
      <c r="B231" s="17" t="s">
        <v>918</v>
      </c>
      <c r="C231" s="17">
        <v>15</v>
      </c>
      <c r="D231" s="1"/>
      <c r="E231" s="1">
        <v>2150</v>
      </c>
      <c r="F231" s="1">
        <v>2440</v>
      </c>
      <c r="G231" s="1">
        <v>53</v>
      </c>
      <c r="H231" s="1"/>
      <c r="I231" s="1"/>
      <c r="J231" s="1"/>
      <c r="K231" s="1"/>
      <c r="L231" s="17" t="s">
        <v>919</v>
      </c>
      <c r="M231" s="17" t="s">
        <v>920</v>
      </c>
      <c r="N231" s="17">
        <v>41</v>
      </c>
      <c r="O231" s="15" t="s">
        <v>31</v>
      </c>
    </row>
    <row r="232" spans="1:15" x14ac:dyDescent="0.2">
      <c r="A232" s="17" t="s">
        <v>921</v>
      </c>
      <c r="B232" s="17" t="s">
        <v>922</v>
      </c>
      <c r="C232" s="17">
        <v>15</v>
      </c>
      <c r="D232" s="1"/>
      <c r="E232" s="1">
        <v>2150</v>
      </c>
      <c r="F232" s="1">
        <v>2440</v>
      </c>
      <c r="G232" s="1">
        <v>53</v>
      </c>
      <c r="H232" s="1"/>
      <c r="I232" s="1"/>
      <c r="J232" s="1"/>
      <c r="K232" s="1"/>
      <c r="L232" s="17" t="s">
        <v>923</v>
      </c>
      <c r="M232" s="17" t="s">
        <v>924</v>
      </c>
      <c r="N232" s="17">
        <v>41</v>
      </c>
      <c r="O232" s="15" t="s">
        <v>31</v>
      </c>
    </row>
    <row r="233" spans="1:15" x14ac:dyDescent="0.2">
      <c r="A233" s="17" t="s">
        <v>925</v>
      </c>
      <c r="B233" s="17" t="s">
        <v>926</v>
      </c>
      <c r="C233" s="17">
        <v>36</v>
      </c>
      <c r="D233" s="1"/>
      <c r="E233" s="1">
        <v>2150</v>
      </c>
      <c r="F233" s="1">
        <v>2440</v>
      </c>
      <c r="G233" s="1">
        <v>117</v>
      </c>
      <c r="H233" s="1"/>
      <c r="I233" s="1"/>
      <c r="J233" s="1"/>
      <c r="K233" s="1"/>
      <c r="L233" s="17" t="s">
        <v>927</v>
      </c>
      <c r="M233" s="17" t="s">
        <v>928</v>
      </c>
      <c r="N233" s="17"/>
      <c r="O233" s="2"/>
    </row>
    <row r="234" spans="1:15" x14ac:dyDescent="0.2">
      <c r="A234" s="17" t="s">
        <v>929</v>
      </c>
      <c r="B234" s="17" t="s">
        <v>930</v>
      </c>
      <c r="C234" s="17">
        <v>15</v>
      </c>
      <c r="D234" s="1"/>
      <c r="E234" s="1">
        <v>2150</v>
      </c>
      <c r="F234" s="1">
        <v>2440</v>
      </c>
      <c r="G234" s="1">
        <v>53</v>
      </c>
      <c r="H234" s="1"/>
      <c r="I234" s="1"/>
      <c r="J234" s="1"/>
      <c r="K234" s="1"/>
      <c r="L234" s="17" t="s">
        <v>931</v>
      </c>
      <c r="M234" s="17" t="s">
        <v>932</v>
      </c>
      <c r="N234" s="17">
        <v>41</v>
      </c>
      <c r="O234" s="15" t="s">
        <v>22</v>
      </c>
    </row>
    <row r="235" spans="1:15" x14ac:dyDescent="0.2">
      <c r="A235" s="17" t="s">
        <v>933</v>
      </c>
      <c r="B235" s="17" t="s">
        <v>934</v>
      </c>
      <c r="C235" s="17">
        <v>18</v>
      </c>
      <c r="D235" s="1"/>
      <c r="E235" s="1">
        <v>1830</v>
      </c>
      <c r="F235" s="1">
        <v>2440</v>
      </c>
      <c r="G235" s="1">
        <v>50</v>
      </c>
      <c r="H235" s="1"/>
      <c r="I235" s="1"/>
      <c r="J235" s="1"/>
      <c r="K235" s="1"/>
      <c r="L235" s="17" t="s">
        <v>935</v>
      </c>
      <c r="M235" s="17" t="s">
        <v>936</v>
      </c>
      <c r="N235" s="17">
        <v>16</v>
      </c>
      <c r="O235" s="15" t="s">
        <v>31</v>
      </c>
    </row>
    <row r="236" spans="1:15" x14ac:dyDescent="0.2">
      <c r="A236" s="17" t="s">
        <v>937</v>
      </c>
      <c r="B236" s="17" t="s">
        <v>938</v>
      </c>
      <c r="C236" s="17" t="s">
        <v>292</v>
      </c>
      <c r="D236" s="1"/>
      <c r="E236" s="1">
        <v>2150</v>
      </c>
      <c r="F236" s="1">
        <v>2440</v>
      </c>
      <c r="G236" s="1">
        <v>117</v>
      </c>
      <c r="H236" s="1"/>
      <c r="I236" s="1"/>
      <c r="J236" s="1"/>
      <c r="K236" s="1"/>
      <c r="L236" s="17" t="s">
        <v>939</v>
      </c>
      <c r="M236" s="17" t="s">
        <v>940</v>
      </c>
      <c r="N236" s="17">
        <v>33</v>
      </c>
      <c r="O236" s="15" t="s">
        <v>22</v>
      </c>
    </row>
    <row r="237" spans="1:15" x14ac:dyDescent="0.2">
      <c r="A237" s="17" t="s">
        <v>941</v>
      </c>
      <c r="B237" s="17" t="s">
        <v>942</v>
      </c>
      <c r="C237" s="17">
        <v>30</v>
      </c>
      <c r="D237" s="1"/>
      <c r="E237" s="1">
        <v>1830</v>
      </c>
      <c r="F237" s="1">
        <v>2440</v>
      </c>
      <c r="G237" s="1">
        <v>80</v>
      </c>
      <c r="H237" s="1"/>
      <c r="I237" s="1"/>
      <c r="J237" s="1"/>
      <c r="K237" s="1"/>
      <c r="L237" s="17" t="s">
        <v>943</v>
      </c>
      <c r="M237" s="17" t="s">
        <v>944</v>
      </c>
      <c r="N237" s="17">
        <v>33</v>
      </c>
      <c r="O237" s="15" t="s">
        <v>22</v>
      </c>
    </row>
    <row r="238" spans="1:15" x14ac:dyDescent="0.2">
      <c r="A238" s="17" t="s">
        <v>945</v>
      </c>
      <c r="B238" s="17" t="s">
        <v>946</v>
      </c>
      <c r="C238" s="17">
        <v>25</v>
      </c>
      <c r="D238" s="1"/>
      <c r="E238" s="1">
        <v>1220</v>
      </c>
      <c r="F238" s="1">
        <v>2440</v>
      </c>
      <c r="G238" s="1">
        <v>47</v>
      </c>
      <c r="H238" s="1"/>
      <c r="I238" s="1"/>
      <c r="J238" s="1"/>
      <c r="K238" s="1"/>
      <c r="L238" s="22" t="s">
        <v>947</v>
      </c>
      <c r="M238" s="17" t="s">
        <v>948</v>
      </c>
      <c r="N238" s="17">
        <v>22</v>
      </c>
      <c r="O238" s="15" t="s">
        <v>31</v>
      </c>
    </row>
    <row r="239" spans="1:15" x14ac:dyDescent="0.2">
      <c r="A239" s="17" t="s">
        <v>949</v>
      </c>
      <c r="B239" s="17" t="s">
        <v>950</v>
      </c>
      <c r="C239" s="17" t="s">
        <v>384</v>
      </c>
      <c r="D239" s="1"/>
      <c r="E239" s="1">
        <v>2150</v>
      </c>
      <c r="F239" s="1">
        <v>2440</v>
      </c>
      <c r="G239" s="1">
        <v>117</v>
      </c>
      <c r="H239" s="1"/>
      <c r="I239" s="1"/>
      <c r="J239" s="1"/>
      <c r="K239" s="1"/>
      <c r="L239" s="22" t="s">
        <v>951</v>
      </c>
      <c r="M239" s="17" t="s">
        <v>952</v>
      </c>
      <c r="N239" s="17">
        <v>22</v>
      </c>
      <c r="O239" s="15" t="s">
        <v>22</v>
      </c>
    </row>
    <row r="240" spans="1:15" x14ac:dyDescent="0.2">
      <c r="A240" s="17" t="s">
        <v>953</v>
      </c>
      <c r="B240" s="17" t="s">
        <v>954</v>
      </c>
      <c r="C240" s="17">
        <v>25</v>
      </c>
      <c r="D240" s="1"/>
      <c r="E240" s="1">
        <v>2150</v>
      </c>
      <c r="F240" s="1">
        <v>2440</v>
      </c>
      <c r="G240" s="1">
        <v>83</v>
      </c>
      <c r="H240" s="1"/>
      <c r="I240" s="1"/>
      <c r="J240" s="1"/>
      <c r="K240" s="1"/>
      <c r="L240" s="17" t="s">
        <v>955</v>
      </c>
      <c r="M240" s="17" t="s">
        <v>956</v>
      </c>
      <c r="N240" s="17">
        <v>19</v>
      </c>
      <c r="O240" s="15" t="s">
        <v>31</v>
      </c>
    </row>
    <row r="241" spans="1:15" x14ac:dyDescent="0.2">
      <c r="A241" s="17" t="s">
        <v>957</v>
      </c>
      <c r="B241" s="17" t="s">
        <v>958</v>
      </c>
      <c r="C241" s="17">
        <v>6</v>
      </c>
      <c r="D241" s="1"/>
      <c r="E241" s="1">
        <v>2150</v>
      </c>
      <c r="F241" s="1">
        <v>2440</v>
      </c>
      <c r="G241" s="1">
        <v>23</v>
      </c>
      <c r="H241" s="1"/>
      <c r="I241" s="1"/>
      <c r="J241" s="1"/>
      <c r="K241" s="1"/>
      <c r="L241" s="17" t="s">
        <v>959</v>
      </c>
      <c r="M241" s="17" t="s">
        <v>960</v>
      </c>
      <c r="N241" s="17">
        <v>22</v>
      </c>
      <c r="O241" s="15" t="s">
        <v>31</v>
      </c>
    </row>
    <row r="242" spans="1:15" x14ac:dyDescent="0.2">
      <c r="A242" s="17" t="s">
        <v>961</v>
      </c>
      <c r="B242" s="17" t="s">
        <v>962</v>
      </c>
      <c r="C242" s="17">
        <v>6</v>
      </c>
      <c r="D242" s="1"/>
      <c r="E242" s="1">
        <v>2150</v>
      </c>
      <c r="F242" s="1">
        <v>2440</v>
      </c>
      <c r="G242" s="1">
        <v>23</v>
      </c>
      <c r="H242" s="1"/>
      <c r="I242" s="1"/>
      <c r="J242" s="1"/>
      <c r="K242" s="1"/>
      <c r="L242" s="17" t="s">
        <v>963</v>
      </c>
      <c r="M242" s="17" t="s">
        <v>964</v>
      </c>
      <c r="N242" s="17">
        <v>22</v>
      </c>
      <c r="O242" s="15" t="s">
        <v>22</v>
      </c>
    </row>
    <row r="243" spans="1:15" x14ac:dyDescent="0.2">
      <c r="A243" s="17" t="s">
        <v>965</v>
      </c>
      <c r="B243" s="17" t="s">
        <v>966</v>
      </c>
      <c r="C243" s="17">
        <v>15</v>
      </c>
      <c r="D243" s="1"/>
      <c r="E243" s="1">
        <v>2150</v>
      </c>
      <c r="F243" s="1">
        <v>2440</v>
      </c>
      <c r="G243" s="1">
        <v>53</v>
      </c>
      <c r="H243" s="1"/>
      <c r="I243" s="1"/>
      <c r="J243" s="1"/>
      <c r="K243" s="1"/>
      <c r="L243" s="17" t="s">
        <v>967</v>
      </c>
      <c r="M243" s="17" t="s">
        <v>968</v>
      </c>
      <c r="N243" s="17">
        <v>15</v>
      </c>
      <c r="O243" s="2"/>
    </row>
    <row r="244" spans="1:15" x14ac:dyDescent="0.2">
      <c r="A244" s="17" t="s">
        <v>969</v>
      </c>
      <c r="B244" s="17" t="s">
        <v>970</v>
      </c>
      <c r="C244" s="17">
        <v>18</v>
      </c>
      <c r="D244" s="1"/>
      <c r="E244" s="1">
        <v>2150</v>
      </c>
      <c r="F244" s="1">
        <v>2440</v>
      </c>
      <c r="G244" s="1">
        <v>61</v>
      </c>
      <c r="H244" s="1"/>
      <c r="I244" s="1"/>
      <c r="J244" s="1"/>
      <c r="K244" s="1"/>
      <c r="L244" s="17" t="s">
        <v>971</v>
      </c>
      <c r="M244" s="17" t="s">
        <v>956</v>
      </c>
      <c r="N244" s="17">
        <v>19</v>
      </c>
      <c r="O244" s="15" t="s">
        <v>31</v>
      </c>
    </row>
    <row r="245" spans="1:15" x14ac:dyDescent="0.2">
      <c r="A245" s="17" t="s">
        <v>972</v>
      </c>
      <c r="B245" s="17" t="s">
        <v>973</v>
      </c>
      <c r="C245" s="17">
        <v>6</v>
      </c>
      <c r="D245" s="1"/>
      <c r="E245" s="1">
        <v>2150</v>
      </c>
      <c r="F245" s="1">
        <v>2440</v>
      </c>
      <c r="G245" s="1">
        <v>23</v>
      </c>
      <c r="H245" s="1"/>
      <c r="I245" s="1"/>
      <c r="J245" s="1"/>
      <c r="K245" s="1"/>
      <c r="L245" s="17" t="s">
        <v>974</v>
      </c>
      <c r="M245" s="17" t="s">
        <v>956</v>
      </c>
      <c r="N245" s="17">
        <v>19</v>
      </c>
      <c r="O245" s="15" t="s">
        <v>31</v>
      </c>
    </row>
    <row r="246" spans="1:15" x14ac:dyDescent="0.2">
      <c r="A246" s="17" t="s">
        <v>975</v>
      </c>
      <c r="B246" s="17" t="s">
        <v>976</v>
      </c>
      <c r="C246" s="17">
        <v>15</v>
      </c>
      <c r="D246" s="1"/>
      <c r="E246" s="1">
        <v>2150</v>
      </c>
      <c r="F246" s="1">
        <v>2440</v>
      </c>
      <c r="G246" s="1">
        <v>53</v>
      </c>
      <c r="H246" s="1"/>
      <c r="I246" s="1"/>
      <c r="J246" s="1"/>
      <c r="K246" s="1"/>
      <c r="L246" s="17" t="s">
        <v>977</v>
      </c>
      <c r="M246" s="17" t="s">
        <v>978</v>
      </c>
      <c r="N246" s="17">
        <v>22</v>
      </c>
      <c r="O246" s="15" t="s">
        <v>31</v>
      </c>
    </row>
    <row r="247" spans="1:15" x14ac:dyDescent="0.2">
      <c r="A247" s="17" t="s">
        <v>979</v>
      </c>
      <c r="B247" s="17" t="s">
        <v>980</v>
      </c>
      <c r="C247" s="17">
        <v>18</v>
      </c>
      <c r="D247" s="1"/>
      <c r="E247" s="1">
        <v>2150</v>
      </c>
      <c r="F247" s="1">
        <v>2440</v>
      </c>
      <c r="G247" s="1">
        <v>61</v>
      </c>
      <c r="H247" s="1"/>
      <c r="I247" s="1"/>
      <c r="J247" s="1"/>
      <c r="K247" s="1"/>
      <c r="L247" s="17" t="s">
        <v>981</v>
      </c>
      <c r="M247" s="17" t="s">
        <v>982</v>
      </c>
      <c r="N247" s="17">
        <v>25</v>
      </c>
      <c r="O247" s="15" t="s">
        <v>31</v>
      </c>
    </row>
    <row r="248" spans="1:15" x14ac:dyDescent="0.2">
      <c r="A248" s="17" t="s">
        <v>983</v>
      </c>
      <c r="B248" s="17" t="s">
        <v>984</v>
      </c>
      <c r="C248" s="17">
        <v>36</v>
      </c>
      <c r="D248" s="1"/>
      <c r="E248" s="1">
        <v>2150</v>
      </c>
      <c r="F248" s="1">
        <v>2440</v>
      </c>
      <c r="G248" s="1">
        <v>117</v>
      </c>
      <c r="H248" s="1"/>
      <c r="I248" s="1"/>
      <c r="J248" s="1"/>
      <c r="K248" s="1"/>
      <c r="L248" s="17" t="s">
        <v>985</v>
      </c>
      <c r="M248" s="17" t="s">
        <v>986</v>
      </c>
      <c r="N248" s="17">
        <v>33</v>
      </c>
      <c r="O248" s="15" t="s">
        <v>31</v>
      </c>
    </row>
    <row r="249" spans="1:15" x14ac:dyDescent="0.2">
      <c r="A249" s="17" t="s">
        <v>987</v>
      </c>
      <c r="B249" s="17" t="s">
        <v>988</v>
      </c>
      <c r="C249" s="17">
        <v>15</v>
      </c>
      <c r="D249" s="1"/>
      <c r="E249" s="1">
        <v>2150</v>
      </c>
      <c r="F249" s="1">
        <v>2440</v>
      </c>
      <c r="G249" s="1">
        <v>53</v>
      </c>
      <c r="H249" s="1"/>
      <c r="I249" s="1"/>
      <c r="J249" s="1"/>
      <c r="K249" s="1"/>
      <c r="L249" s="17" t="s">
        <v>989</v>
      </c>
      <c r="M249" s="17" t="s">
        <v>990</v>
      </c>
      <c r="N249" s="17">
        <v>44</v>
      </c>
      <c r="O249" s="15" t="s">
        <v>31</v>
      </c>
    </row>
    <row r="250" spans="1:15" x14ac:dyDescent="0.2">
      <c r="A250" s="17" t="s">
        <v>991</v>
      </c>
      <c r="B250" s="17" t="s">
        <v>992</v>
      </c>
      <c r="C250" s="17">
        <v>18</v>
      </c>
      <c r="D250" s="1"/>
      <c r="E250" s="1">
        <v>2150</v>
      </c>
      <c r="F250" s="1">
        <v>2440</v>
      </c>
      <c r="G250" s="1">
        <v>61</v>
      </c>
      <c r="H250" s="1"/>
      <c r="I250" s="1"/>
      <c r="J250" s="1"/>
      <c r="K250" s="1"/>
      <c r="L250" s="17" t="s">
        <v>993</v>
      </c>
      <c r="M250" s="17" t="s">
        <v>994</v>
      </c>
      <c r="N250" s="17">
        <v>29</v>
      </c>
      <c r="O250" s="15" t="s">
        <v>31</v>
      </c>
    </row>
    <row r="251" spans="1:15" x14ac:dyDescent="0.2">
      <c r="A251" s="17" t="s">
        <v>995</v>
      </c>
      <c r="B251" s="17" t="s">
        <v>996</v>
      </c>
      <c r="C251" s="17">
        <v>6</v>
      </c>
      <c r="D251" s="1"/>
      <c r="E251" s="1">
        <v>2150</v>
      </c>
      <c r="F251" s="1">
        <v>2440</v>
      </c>
      <c r="G251" s="1">
        <v>23</v>
      </c>
      <c r="H251" s="1"/>
      <c r="I251" s="1"/>
      <c r="J251" s="1"/>
      <c r="K251" s="1"/>
      <c r="L251" s="17" t="s">
        <v>997</v>
      </c>
      <c r="M251" s="17" t="s">
        <v>998</v>
      </c>
      <c r="N251" s="17">
        <v>19</v>
      </c>
      <c r="O251" s="2"/>
    </row>
    <row r="252" spans="1:15" x14ac:dyDescent="0.2">
      <c r="A252" s="17" t="s">
        <v>999</v>
      </c>
      <c r="B252" s="17" t="s">
        <v>1000</v>
      </c>
      <c r="C252" s="17">
        <v>6</v>
      </c>
      <c r="D252" s="1"/>
      <c r="E252" s="1">
        <v>2150</v>
      </c>
      <c r="F252" s="1">
        <v>2440</v>
      </c>
      <c r="G252" s="1">
        <v>23</v>
      </c>
      <c r="H252" s="1"/>
      <c r="I252" s="1"/>
      <c r="J252" s="1"/>
      <c r="K252" s="1"/>
      <c r="L252" s="17" t="s">
        <v>1001</v>
      </c>
      <c r="M252" s="17" t="s">
        <v>1002</v>
      </c>
      <c r="N252" s="17">
        <v>22</v>
      </c>
      <c r="O252" s="15" t="s">
        <v>31</v>
      </c>
    </row>
    <row r="253" spans="1:15" x14ac:dyDescent="0.2">
      <c r="A253" s="17" t="s">
        <v>1003</v>
      </c>
      <c r="B253" s="17" t="s">
        <v>1004</v>
      </c>
      <c r="C253" s="17">
        <v>15</v>
      </c>
      <c r="D253" s="1"/>
      <c r="E253" s="1">
        <v>1830</v>
      </c>
      <c r="F253" s="1">
        <v>2440</v>
      </c>
      <c r="G253" s="1">
        <v>41</v>
      </c>
      <c r="H253" s="1"/>
      <c r="I253" s="1"/>
      <c r="J253" s="1"/>
      <c r="K253" s="1"/>
      <c r="L253" s="17" t="s">
        <v>1005</v>
      </c>
      <c r="M253" s="17" t="s">
        <v>1006</v>
      </c>
      <c r="N253" s="17">
        <v>19</v>
      </c>
      <c r="O253" s="15" t="s">
        <v>31</v>
      </c>
    </row>
    <row r="254" spans="1:15" x14ac:dyDescent="0.2">
      <c r="A254" s="17" t="s">
        <v>1007</v>
      </c>
      <c r="B254" s="17" t="s">
        <v>1008</v>
      </c>
      <c r="C254" s="17">
        <v>3</v>
      </c>
      <c r="D254" s="1"/>
      <c r="E254" s="1">
        <v>1220</v>
      </c>
      <c r="F254" s="1">
        <v>2440</v>
      </c>
      <c r="G254" s="1">
        <v>6</v>
      </c>
      <c r="H254" s="1"/>
      <c r="I254" s="1"/>
      <c r="J254" s="1"/>
      <c r="K254" s="1"/>
      <c r="L254" s="17" t="s">
        <v>1009</v>
      </c>
      <c r="M254" s="17" t="s">
        <v>1010</v>
      </c>
      <c r="N254" s="17">
        <v>22</v>
      </c>
      <c r="O254" s="15" t="s">
        <v>31</v>
      </c>
    </row>
    <row r="255" spans="1:15" x14ac:dyDescent="0.2">
      <c r="A255" s="17" t="s">
        <v>1011</v>
      </c>
      <c r="B255" s="17" t="s">
        <v>1012</v>
      </c>
      <c r="C255" s="17">
        <v>15</v>
      </c>
      <c r="D255" s="1"/>
      <c r="E255" s="1">
        <v>2150</v>
      </c>
      <c r="F255" s="1">
        <v>2440</v>
      </c>
      <c r="G255" s="1">
        <v>53</v>
      </c>
      <c r="H255" s="1"/>
      <c r="I255" s="1"/>
      <c r="J255" s="1"/>
      <c r="K255" s="1"/>
      <c r="L255" s="17" t="s">
        <v>1013</v>
      </c>
      <c r="M255" s="17" t="s">
        <v>1014</v>
      </c>
      <c r="N255" s="17">
        <v>16</v>
      </c>
      <c r="O255" s="15" t="s">
        <v>31</v>
      </c>
    </row>
    <row r="256" spans="1:15" x14ac:dyDescent="0.2">
      <c r="A256" s="17" t="s">
        <v>1015</v>
      </c>
      <c r="B256" s="17" t="s">
        <v>1016</v>
      </c>
      <c r="C256" s="17">
        <v>18</v>
      </c>
      <c r="D256" s="1"/>
      <c r="E256" s="1">
        <v>2150</v>
      </c>
      <c r="F256" s="1">
        <v>2440</v>
      </c>
      <c r="G256" s="1">
        <v>61</v>
      </c>
      <c r="H256" s="1"/>
      <c r="I256" s="1"/>
      <c r="J256" s="1"/>
      <c r="K256" s="1"/>
      <c r="L256" s="17" t="s">
        <v>1017</v>
      </c>
      <c r="M256" s="17" t="s">
        <v>1018</v>
      </c>
      <c r="N256" s="17">
        <v>19</v>
      </c>
      <c r="O256" s="15" t="s">
        <v>31</v>
      </c>
    </row>
    <row r="257" spans="1:15" x14ac:dyDescent="0.2">
      <c r="A257" s="17" t="s">
        <v>1019</v>
      </c>
      <c r="B257" s="17" t="s">
        <v>1020</v>
      </c>
      <c r="C257" s="17">
        <v>9</v>
      </c>
      <c r="D257" s="1"/>
      <c r="E257" s="1">
        <v>2150</v>
      </c>
      <c r="F257" s="1">
        <v>2440</v>
      </c>
      <c r="G257" s="1">
        <v>33</v>
      </c>
      <c r="H257" s="1"/>
      <c r="I257" s="1"/>
      <c r="J257" s="1"/>
      <c r="K257" s="1"/>
      <c r="L257" s="17" t="s">
        <v>1021</v>
      </c>
      <c r="M257" s="17" t="s">
        <v>1022</v>
      </c>
      <c r="N257" s="17">
        <v>33</v>
      </c>
      <c r="O257" s="15" t="s">
        <v>22</v>
      </c>
    </row>
    <row r="258" spans="1:15" x14ac:dyDescent="0.2">
      <c r="A258" s="17" t="s">
        <v>1023</v>
      </c>
      <c r="B258" s="17" t="s">
        <v>1024</v>
      </c>
      <c r="C258" s="17">
        <v>8</v>
      </c>
      <c r="D258" s="1"/>
      <c r="E258" s="1">
        <v>2150</v>
      </c>
      <c r="F258" s="1">
        <v>2440</v>
      </c>
      <c r="G258" s="1">
        <v>117</v>
      </c>
      <c r="H258" s="1"/>
      <c r="I258" s="1"/>
      <c r="J258" s="1"/>
      <c r="K258" s="1"/>
      <c r="L258" s="17" t="s">
        <v>1025</v>
      </c>
      <c r="M258" s="17" t="s">
        <v>1026</v>
      </c>
      <c r="N258" s="17">
        <v>22</v>
      </c>
      <c r="O258" s="15" t="s">
        <v>31</v>
      </c>
    </row>
    <row r="259" spans="1:15" x14ac:dyDescent="0.2">
      <c r="A259" s="17" t="s">
        <v>1027</v>
      </c>
      <c r="B259" s="17" t="s">
        <v>1028</v>
      </c>
      <c r="C259" s="17">
        <v>36</v>
      </c>
      <c r="D259" s="1"/>
      <c r="E259" s="1">
        <v>2150</v>
      </c>
      <c r="F259" s="1">
        <v>2440</v>
      </c>
      <c r="G259" s="1">
        <v>117</v>
      </c>
      <c r="H259" s="1"/>
      <c r="I259" s="1"/>
      <c r="J259" s="1"/>
      <c r="K259" s="1"/>
      <c r="L259" s="17" t="s">
        <v>1029</v>
      </c>
      <c r="M259" s="17" t="s">
        <v>1030</v>
      </c>
      <c r="N259" s="17">
        <v>22</v>
      </c>
      <c r="O259" s="2"/>
    </row>
    <row r="260" spans="1:15" x14ac:dyDescent="0.2">
      <c r="A260" s="17" t="s">
        <v>1031</v>
      </c>
      <c r="B260" s="17" t="s">
        <v>1032</v>
      </c>
      <c r="C260" s="17">
        <v>3</v>
      </c>
      <c r="D260" s="1"/>
      <c r="E260" s="1">
        <v>1220</v>
      </c>
      <c r="F260" s="1">
        <v>2440</v>
      </c>
      <c r="G260" s="1">
        <v>13</v>
      </c>
      <c r="H260" s="1"/>
      <c r="I260" s="1"/>
      <c r="J260" s="1"/>
      <c r="K260" s="1"/>
      <c r="L260" s="17" t="s">
        <v>1033</v>
      </c>
      <c r="M260" s="17" t="s">
        <v>1034</v>
      </c>
      <c r="N260" s="17">
        <v>33</v>
      </c>
      <c r="O260" s="15" t="s">
        <v>31</v>
      </c>
    </row>
    <row r="261" spans="1:15" x14ac:dyDescent="0.2">
      <c r="A261" s="17" t="s">
        <v>1035</v>
      </c>
      <c r="B261" s="17" t="s">
        <v>1036</v>
      </c>
      <c r="C261" s="17" t="s">
        <v>1037</v>
      </c>
      <c r="D261" s="1"/>
      <c r="E261" s="1">
        <v>2150</v>
      </c>
      <c r="F261" s="1">
        <v>2440</v>
      </c>
      <c r="G261" s="1">
        <v>117</v>
      </c>
      <c r="H261" s="1"/>
      <c r="I261" s="1"/>
      <c r="J261" s="1"/>
      <c r="K261" s="1"/>
      <c r="L261" s="17" t="s">
        <v>1038</v>
      </c>
      <c r="M261" s="17" t="s">
        <v>1039</v>
      </c>
      <c r="N261" s="17">
        <v>44</v>
      </c>
      <c r="O261" s="15" t="s">
        <v>31</v>
      </c>
    </row>
    <row r="262" spans="1:15" x14ac:dyDescent="0.2">
      <c r="A262" s="17" t="s">
        <v>1040</v>
      </c>
      <c r="B262" s="17" t="s">
        <v>1041</v>
      </c>
      <c r="C262" s="17">
        <v>15</v>
      </c>
      <c r="D262" s="1"/>
      <c r="E262" s="1">
        <v>1830</v>
      </c>
      <c r="F262" s="1">
        <v>2440</v>
      </c>
      <c r="G262" s="1">
        <v>41</v>
      </c>
      <c r="H262" s="1"/>
      <c r="I262" s="1"/>
      <c r="J262" s="1"/>
      <c r="K262" s="1"/>
      <c r="L262" s="17" t="s">
        <v>1042</v>
      </c>
      <c r="M262" s="17" t="s">
        <v>1043</v>
      </c>
      <c r="N262" s="17">
        <v>19</v>
      </c>
      <c r="O262" s="15" t="s">
        <v>31</v>
      </c>
    </row>
    <row r="263" spans="1:15" x14ac:dyDescent="0.2">
      <c r="A263" s="17" t="s">
        <v>1044</v>
      </c>
      <c r="B263" s="17" t="s">
        <v>1045</v>
      </c>
      <c r="C263" s="17">
        <v>19</v>
      </c>
      <c r="D263" s="1"/>
      <c r="E263" s="1">
        <v>1830</v>
      </c>
      <c r="F263" s="1">
        <v>2440</v>
      </c>
      <c r="G263" s="1">
        <v>55</v>
      </c>
      <c r="H263" s="1"/>
      <c r="I263" s="1"/>
      <c r="J263" s="1"/>
      <c r="K263" s="1"/>
      <c r="L263" s="17" t="s">
        <v>1046</v>
      </c>
      <c r="M263" s="17" t="s">
        <v>1047</v>
      </c>
      <c r="N263" s="17">
        <v>19</v>
      </c>
      <c r="O263" s="15" t="s">
        <v>31</v>
      </c>
    </row>
    <row r="264" spans="1:15" x14ac:dyDescent="0.2">
      <c r="A264" s="17" t="s">
        <v>1048</v>
      </c>
      <c r="B264" s="17" t="s">
        <v>1049</v>
      </c>
      <c r="C264" s="17">
        <v>6</v>
      </c>
      <c r="D264" s="1"/>
      <c r="E264" s="1">
        <v>2150</v>
      </c>
      <c r="F264" s="1">
        <v>2440</v>
      </c>
      <c r="G264" s="1">
        <v>23</v>
      </c>
      <c r="H264" s="1"/>
      <c r="I264" s="1"/>
      <c r="J264" s="1"/>
      <c r="K264" s="1"/>
      <c r="L264" s="17" t="s">
        <v>1050</v>
      </c>
      <c r="M264" s="17" t="s">
        <v>1051</v>
      </c>
      <c r="N264" s="17">
        <v>16</v>
      </c>
      <c r="O264" s="15" t="s">
        <v>31</v>
      </c>
    </row>
    <row r="265" spans="1:15" x14ac:dyDescent="0.2">
      <c r="A265" s="17" t="s">
        <v>1052</v>
      </c>
      <c r="B265" s="17" t="s">
        <v>1053</v>
      </c>
      <c r="C265" s="17">
        <v>4</v>
      </c>
      <c r="D265" s="1"/>
      <c r="E265" s="1">
        <v>1830</v>
      </c>
      <c r="F265" s="1">
        <v>2440</v>
      </c>
      <c r="G265" s="1">
        <v>14</v>
      </c>
      <c r="H265" s="1"/>
      <c r="I265" s="1"/>
      <c r="J265" s="1"/>
      <c r="K265" s="1"/>
      <c r="L265" s="17" t="s">
        <v>1054</v>
      </c>
      <c r="M265" s="17" t="s">
        <v>1055</v>
      </c>
      <c r="N265" s="17">
        <v>19</v>
      </c>
      <c r="O265" s="15" t="s">
        <v>31</v>
      </c>
    </row>
    <row r="266" spans="1:15" x14ac:dyDescent="0.2">
      <c r="A266" s="17" t="s">
        <v>37</v>
      </c>
      <c r="B266" s="17" t="s">
        <v>38</v>
      </c>
      <c r="C266" s="17">
        <v>30</v>
      </c>
      <c r="D266" s="1"/>
      <c r="E266" s="1">
        <v>1220</v>
      </c>
      <c r="F266" s="1">
        <v>2440</v>
      </c>
      <c r="G266" s="1">
        <v>55</v>
      </c>
      <c r="H266" s="1"/>
      <c r="I266" s="1"/>
      <c r="J266" s="1"/>
      <c r="K266" s="1"/>
      <c r="L266" s="17" t="s">
        <v>1056</v>
      </c>
      <c r="M266" s="17" t="s">
        <v>1057</v>
      </c>
      <c r="N266" s="17">
        <v>22</v>
      </c>
      <c r="O266" s="15" t="s">
        <v>31</v>
      </c>
    </row>
    <row r="267" spans="1:15" x14ac:dyDescent="0.2">
      <c r="A267" s="17" t="s">
        <v>1058</v>
      </c>
      <c r="B267" s="17" t="s">
        <v>1059</v>
      </c>
      <c r="C267" s="17">
        <v>15</v>
      </c>
      <c r="D267" s="1"/>
      <c r="E267" s="1">
        <v>2150</v>
      </c>
      <c r="F267" s="1">
        <v>2440</v>
      </c>
      <c r="G267" s="1">
        <v>53</v>
      </c>
      <c r="H267" s="1"/>
      <c r="I267" s="1"/>
      <c r="J267" s="1"/>
      <c r="K267" s="1"/>
      <c r="L267" s="17" t="s">
        <v>1060</v>
      </c>
      <c r="M267" s="17" t="s">
        <v>1061</v>
      </c>
      <c r="N267" s="17">
        <v>44</v>
      </c>
      <c r="O267" s="15" t="s">
        <v>22</v>
      </c>
    </row>
    <row r="268" spans="1:15" x14ac:dyDescent="0.2">
      <c r="A268" s="17" t="s">
        <v>1062</v>
      </c>
      <c r="B268" s="17" t="s">
        <v>1063</v>
      </c>
      <c r="C268" s="17">
        <v>30</v>
      </c>
      <c r="D268" s="1"/>
      <c r="E268" s="1">
        <v>1830</v>
      </c>
      <c r="F268" s="1">
        <v>2440</v>
      </c>
      <c r="G268" s="1">
        <v>80</v>
      </c>
      <c r="H268" s="1"/>
      <c r="I268" s="1"/>
      <c r="J268" s="1"/>
      <c r="K268" s="1"/>
      <c r="L268" s="17" t="s">
        <v>1064</v>
      </c>
      <c r="M268" s="17" t="s">
        <v>1065</v>
      </c>
      <c r="N268" s="17">
        <v>44</v>
      </c>
      <c r="O268" s="15" t="s">
        <v>22</v>
      </c>
    </row>
    <row r="269" spans="1:15" x14ac:dyDescent="0.2">
      <c r="A269" s="17" t="s">
        <v>1066</v>
      </c>
      <c r="B269" s="17" t="s">
        <v>1067</v>
      </c>
      <c r="C269" s="17" t="s">
        <v>384</v>
      </c>
      <c r="D269" s="1"/>
      <c r="E269" s="1">
        <v>2150</v>
      </c>
      <c r="F269" s="1">
        <v>2440</v>
      </c>
      <c r="G269" s="1">
        <v>117</v>
      </c>
      <c r="H269" s="1"/>
      <c r="I269" s="1"/>
      <c r="J269" s="1"/>
      <c r="K269" s="1"/>
      <c r="L269" s="17" t="s">
        <v>1068</v>
      </c>
      <c r="M269" s="17" t="s">
        <v>1069</v>
      </c>
      <c r="N269" s="17">
        <v>22</v>
      </c>
      <c r="O269" s="15" t="s">
        <v>31</v>
      </c>
    </row>
    <row r="270" spans="1:15" x14ac:dyDescent="0.2">
      <c r="A270" s="17" t="s">
        <v>1070</v>
      </c>
      <c r="B270" s="17" t="s">
        <v>1071</v>
      </c>
      <c r="C270" s="17">
        <v>36</v>
      </c>
      <c r="D270" s="1"/>
      <c r="E270" s="1">
        <v>2150</v>
      </c>
      <c r="F270" s="1">
        <v>2440</v>
      </c>
      <c r="G270" s="1">
        <v>117</v>
      </c>
      <c r="H270" s="1"/>
      <c r="I270" s="1"/>
      <c r="J270" s="1"/>
      <c r="K270" s="1"/>
      <c r="L270" s="17" t="s">
        <v>1072</v>
      </c>
      <c r="M270" s="17" t="s">
        <v>1073</v>
      </c>
      <c r="N270" s="17">
        <v>22</v>
      </c>
      <c r="O270" s="15" t="s">
        <v>22</v>
      </c>
    </row>
    <row r="271" spans="1:15" x14ac:dyDescent="0.2">
      <c r="A271" s="17" t="s">
        <v>1074</v>
      </c>
      <c r="B271" s="17" t="s">
        <v>1075</v>
      </c>
      <c r="C271" s="17">
        <v>18</v>
      </c>
      <c r="D271" s="1"/>
      <c r="E271" s="1">
        <v>1830</v>
      </c>
      <c r="F271" s="1">
        <v>2440</v>
      </c>
      <c r="G271" s="1">
        <v>50</v>
      </c>
      <c r="H271" s="1"/>
      <c r="I271" s="1"/>
      <c r="J271" s="1"/>
      <c r="K271" s="1"/>
      <c r="L271" s="17" t="s">
        <v>1076</v>
      </c>
      <c r="M271" s="17" t="s">
        <v>1077</v>
      </c>
      <c r="N271" s="17">
        <v>44</v>
      </c>
      <c r="O271" s="15" t="s">
        <v>31</v>
      </c>
    </row>
    <row r="272" spans="1:15" x14ac:dyDescent="0.2">
      <c r="A272" s="17" t="s">
        <v>1078</v>
      </c>
      <c r="B272" s="17" t="s">
        <v>1079</v>
      </c>
      <c r="C272" s="17">
        <v>55</v>
      </c>
      <c r="D272" s="1"/>
      <c r="E272" s="1">
        <v>1830</v>
      </c>
      <c r="F272" s="1">
        <v>2440</v>
      </c>
      <c r="G272" s="1">
        <v>17</v>
      </c>
      <c r="H272" s="1"/>
      <c r="I272" s="1"/>
      <c r="J272" s="1"/>
      <c r="K272" s="1"/>
      <c r="L272" s="17" t="s">
        <v>1080</v>
      </c>
      <c r="M272" s="17" t="s">
        <v>1081</v>
      </c>
      <c r="N272" s="17">
        <v>41</v>
      </c>
      <c r="O272" s="15" t="s">
        <v>22</v>
      </c>
    </row>
    <row r="273" spans="1:15" x14ac:dyDescent="0.2">
      <c r="A273" s="17" t="s">
        <v>1082</v>
      </c>
      <c r="B273" s="17" t="s">
        <v>1083</v>
      </c>
      <c r="C273" s="17">
        <v>18</v>
      </c>
      <c r="D273" s="1"/>
      <c r="E273" s="1">
        <v>1830</v>
      </c>
      <c r="F273" s="1">
        <v>2440</v>
      </c>
      <c r="G273" s="1">
        <v>50</v>
      </c>
      <c r="H273" s="1"/>
      <c r="I273" s="1"/>
      <c r="J273" s="1"/>
      <c r="K273" s="1"/>
      <c r="L273" s="17" t="s">
        <v>1084</v>
      </c>
      <c r="M273" s="17" t="s">
        <v>1085</v>
      </c>
      <c r="N273" s="17">
        <v>16</v>
      </c>
      <c r="O273" s="15" t="s">
        <v>31</v>
      </c>
    </row>
    <row r="274" spans="1:15" x14ac:dyDescent="0.2">
      <c r="A274" s="17" t="s">
        <v>1086</v>
      </c>
      <c r="B274" s="17" t="s">
        <v>1087</v>
      </c>
      <c r="C274" s="17"/>
      <c r="D274" s="1"/>
      <c r="E274" s="1">
        <v>2150</v>
      </c>
      <c r="F274" s="1">
        <v>2440</v>
      </c>
      <c r="G274" s="1">
        <v>117</v>
      </c>
      <c r="H274" s="1"/>
      <c r="I274" s="1"/>
      <c r="J274" s="1"/>
      <c r="K274" s="1"/>
      <c r="L274" s="17" t="s">
        <v>1088</v>
      </c>
      <c r="M274" s="17" t="s">
        <v>1089</v>
      </c>
      <c r="N274" s="17">
        <v>19</v>
      </c>
      <c r="O274" s="15" t="s">
        <v>31</v>
      </c>
    </row>
    <row r="275" spans="1:15" x14ac:dyDescent="0.2">
      <c r="A275" s="17" t="s">
        <v>1090</v>
      </c>
      <c r="B275" s="17" t="s">
        <v>1091</v>
      </c>
      <c r="C275" s="17"/>
      <c r="D275" s="1"/>
      <c r="E275" s="1">
        <v>2150</v>
      </c>
      <c r="F275" s="1">
        <v>2440</v>
      </c>
      <c r="G275" s="1">
        <v>117</v>
      </c>
      <c r="H275" s="1"/>
      <c r="I275" s="1"/>
      <c r="J275" s="1"/>
      <c r="K275" s="1"/>
      <c r="L275" s="17" t="s">
        <v>1092</v>
      </c>
      <c r="M275" s="17" t="s">
        <v>1093</v>
      </c>
      <c r="N275" s="17">
        <v>22</v>
      </c>
      <c r="O275" s="15" t="s">
        <v>31</v>
      </c>
    </row>
    <row r="276" spans="1:15" x14ac:dyDescent="0.2">
      <c r="A276" s="17" t="s">
        <v>1094</v>
      </c>
      <c r="B276" s="17" t="s">
        <v>1095</v>
      </c>
      <c r="C276" s="17">
        <v>1</v>
      </c>
      <c r="D276" s="1"/>
      <c r="E276" s="1">
        <v>2150</v>
      </c>
      <c r="F276" s="1">
        <v>2440</v>
      </c>
      <c r="G276" s="1">
        <v>117</v>
      </c>
      <c r="H276" s="1"/>
      <c r="I276" s="1"/>
      <c r="J276" s="1"/>
      <c r="K276" s="1"/>
      <c r="L276" s="17" t="s">
        <v>1096</v>
      </c>
      <c r="M276" s="17" t="s">
        <v>1097</v>
      </c>
      <c r="N276" s="17">
        <v>33</v>
      </c>
      <c r="O276" s="15" t="s">
        <v>31</v>
      </c>
    </row>
    <row r="277" spans="1:15" x14ac:dyDescent="0.2">
      <c r="A277" s="17" t="s">
        <v>1098</v>
      </c>
      <c r="B277" s="17" t="s">
        <v>1099</v>
      </c>
      <c r="C277" s="17">
        <v>15</v>
      </c>
      <c r="D277" s="1"/>
      <c r="E277" s="1">
        <v>1830</v>
      </c>
      <c r="F277" s="1">
        <v>2440</v>
      </c>
      <c r="G277" s="1">
        <v>41</v>
      </c>
      <c r="H277" s="1"/>
      <c r="I277" s="1"/>
      <c r="J277" s="1"/>
      <c r="K277" s="1"/>
      <c r="L277" s="17" t="s">
        <v>1100</v>
      </c>
      <c r="M277" s="17" t="s">
        <v>1101</v>
      </c>
      <c r="N277" s="17">
        <v>44</v>
      </c>
      <c r="O277" s="15" t="s">
        <v>31</v>
      </c>
    </row>
    <row r="278" spans="1:15" x14ac:dyDescent="0.2">
      <c r="A278" s="17" t="s">
        <v>1102</v>
      </c>
      <c r="B278" s="17" t="s">
        <v>1103</v>
      </c>
      <c r="C278" s="17">
        <v>18</v>
      </c>
      <c r="D278" s="1"/>
      <c r="E278" s="1">
        <v>1220</v>
      </c>
      <c r="F278" s="1">
        <v>2440</v>
      </c>
      <c r="G278" s="1">
        <v>35</v>
      </c>
      <c r="H278" s="1"/>
      <c r="I278" s="1"/>
      <c r="J278" s="1"/>
      <c r="K278" s="1"/>
      <c r="L278" s="17" t="s">
        <v>1104</v>
      </c>
      <c r="M278" s="17" t="s">
        <v>1105</v>
      </c>
      <c r="N278" s="17">
        <v>33</v>
      </c>
      <c r="O278" s="15" t="s">
        <v>22</v>
      </c>
    </row>
    <row r="279" spans="1:15" x14ac:dyDescent="0.2">
      <c r="A279" s="17" t="s">
        <v>1106</v>
      </c>
      <c r="B279" s="17" t="s">
        <v>1107</v>
      </c>
      <c r="C279" s="17"/>
      <c r="D279" s="1"/>
      <c r="E279" s="1">
        <v>2150</v>
      </c>
      <c r="F279" s="1">
        <v>2440</v>
      </c>
      <c r="G279" s="1">
        <v>117</v>
      </c>
      <c r="H279" s="1"/>
      <c r="I279" s="1"/>
      <c r="J279" s="1"/>
      <c r="K279" s="1"/>
      <c r="L279" s="17" t="s">
        <v>1108</v>
      </c>
      <c r="M279" s="17" t="s">
        <v>1109</v>
      </c>
      <c r="N279" s="17">
        <v>25</v>
      </c>
      <c r="O279" s="2"/>
    </row>
    <row r="280" spans="1:15" x14ac:dyDescent="0.2">
      <c r="A280" s="17" t="s">
        <v>1110</v>
      </c>
      <c r="B280" s="17" t="s">
        <v>1111</v>
      </c>
      <c r="C280" s="17">
        <v>15</v>
      </c>
      <c r="D280" s="1"/>
      <c r="E280" s="1">
        <v>1830</v>
      </c>
      <c r="F280" s="1">
        <v>2440</v>
      </c>
      <c r="G280" s="1">
        <v>41</v>
      </c>
      <c r="H280" s="1"/>
      <c r="I280" s="1"/>
      <c r="J280" s="1"/>
      <c r="K280" s="1"/>
      <c r="L280" s="17" t="s">
        <v>1112</v>
      </c>
      <c r="M280" s="17" t="s">
        <v>1113</v>
      </c>
      <c r="N280" s="17">
        <v>33</v>
      </c>
      <c r="O280" s="15" t="s">
        <v>22</v>
      </c>
    </row>
    <row r="281" spans="1:15" x14ac:dyDescent="0.2">
      <c r="A281" s="17" t="s">
        <v>1114</v>
      </c>
      <c r="B281" s="17" t="s">
        <v>1115</v>
      </c>
      <c r="C281" s="17">
        <v>18</v>
      </c>
      <c r="D281" s="1"/>
      <c r="E281" s="1">
        <v>2150</v>
      </c>
      <c r="F281" s="1">
        <v>2440</v>
      </c>
      <c r="G281" s="1">
        <v>117</v>
      </c>
      <c r="H281" s="1"/>
      <c r="I281" s="1"/>
      <c r="J281" s="1"/>
      <c r="K281" s="1"/>
      <c r="L281" s="17" t="s">
        <v>1116</v>
      </c>
      <c r="M281" s="17" t="s">
        <v>1117</v>
      </c>
      <c r="N281" s="17">
        <v>33</v>
      </c>
      <c r="O281" s="15" t="s">
        <v>31</v>
      </c>
    </row>
    <row r="282" spans="1:15" x14ac:dyDescent="0.2">
      <c r="A282" s="17" t="s">
        <v>1118</v>
      </c>
      <c r="B282" s="17" t="s">
        <v>1119</v>
      </c>
      <c r="C282" s="17">
        <v>18</v>
      </c>
      <c r="D282" s="1"/>
      <c r="E282" s="1">
        <v>1830</v>
      </c>
      <c r="F282" s="1">
        <v>2440</v>
      </c>
      <c r="G282" s="1">
        <v>50</v>
      </c>
      <c r="H282" s="1"/>
      <c r="I282" s="1"/>
      <c r="J282" s="1"/>
      <c r="K282" s="1"/>
      <c r="L282" s="17" t="s">
        <v>1120</v>
      </c>
      <c r="M282" s="17" t="s">
        <v>1121</v>
      </c>
      <c r="N282" s="17">
        <v>22</v>
      </c>
      <c r="O282" s="15" t="s">
        <v>22</v>
      </c>
    </row>
    <row r="283" spans="1:15" x14ac:dyDescent="0.2">
      <c r="A283" s="17" t="s">
        <v>1122</v>
      </c>
      <c r="B283" s="17" t="s">
        <v>1123</v>
      </c>
      <c r="C283" s="17">
        <v>18</v>
      </c>
      <c r="D283" s="1"/>
      <c r="E283" s="1">
        <v>1830</v>
      </c>
      <c r="F283" s="1">
        <v>2440</v>
      </c>
      <c r="G283" s="1">
        <v>50</v>
      </c>
      <c r="H283" s="1"/>
      <c r="I283" s="1"/>
      <c r="J283" s="1"/>
      <c r="K283" s="1"/>
      <c r="L283" s="17" t="s">
        <v>1124</v>
      </c>
      <c r="M283" s="17" t="s">
        <v>1125</v>
      </c>
      <c r="N283" s="17">
        <v>32</v>
      </c>
      <c r="O283" s="2"/>
    </row>
    <row r="284" spans="1:15" x14ac:dyDescent="0.2">
      <c r="A284" s="17" t="s">
        <v>1126</v>
      </c>
      <c r="B284" s="17" t="s">
        <v>1127</v>
      </c>
      <c r="C284" s="17" t="s">
        <v>384</v>
      </c>
      <c r="D284" s="1"/>
      <c r="E284" s="1">
        <v>2150</v>
      </c>
      <c r="F284" s="1">
        <v>2440</v>
      </c>
      <c r="G284" s="1">
        <v>117</v>
      </c>
      <c r="H284" s="1"/>
      <c r="I284" s="1"/>
      <c r="J284" s="1"/>
      <c r="K284" s="1"/>
      <c r="L284" s="17" t="s">
        <v>1128</v>
      </c>
      <c r="M284" s="17" t="s">
        <v>1129</v>
      </c>
      <c r="N284" s="17">
        <v>33</v>
      </c>
      <c r="O284" s="2"/>
    </row>
    <row r="285" spans="1:15" x14ac:dyDescent="0.2">
      <c r="A285" s="17" t="s">
        <v>1130</v>
      </c>
      <c r="B285" s="17" t="s">
        <v>1131</v>
      </c>
      <c r="C285" s="17">
        <v>6</v>
      </c>
      <c r="D285" s="1"/>
      <c r="E285" s="1">
        <v>2150</v>
      </c>
      <c r="F285" s="1">
        <v>2440</v>
      </c>
      <c r="G285" s="1">
        <v>23</v>
      </c>
      <c r="H285" s="1"/>
      <c r="I285" s="1"/>
      <c r="J285" s="1"/>
      <c r="K285" s="1"/>
      <c r="L285" s="17" t="s">
        <v>1132</v>
      </c>
      <c r="M285" s="17" t="s">
        <v>1133</v>
      </c>
      <c r="N285" s="17">
        <v>41</v>
      </c>
      <c r="O285" s="2"/>
    </row>
    <row r="286" spans="1:15" x14ac:dyDescent="0.2">
      <c r="A286" s="17" t="s">
        <v>1134</v>
      </c>
      <c r="B286" s="17" t="s">
        <v>1135</v>
      </c>
      <c r="C286" s="17" t="s">
        <v>528</v>
      </c>
      <c r="D286" s="1"/>
      <c r="E286" s="1">
        <v>2150</v>
      </c>
      <c r="F286" s="1">
        <v>2440</v>
      </c>
      <c r="G286" s="1">
        <v>117</v>
      </c>
      <c r="H286" s="1"/>
      <c r="I286" s="1"/>
      <c r="J286" s="1"/>
      <c r="K286" s="1"/>
      <c r="L286" s="17" t="s">
        <v>1136</v>
      </c>
      <c r="M286" s="17" t="s">
        <v>1137</v>
      </c>
      <c r="N286" s="17">
        <v>43</v>
      </c>
      <c r="O286" s="2"/>
    </row>
    <row r="287" spans="1:15" x14ac:dyDescent="0.2">
      <c r="A287" s="17" t="s">
        <v>1138</v>
      </c>
      <c r="B287" s="17" t="s">
        <v>1139</v>
      </c>
      <c r="C287" s="17">
        <v>18</v>
      </c>
      <c r="D287" s="1"/>
      <c r="E287" s="1">
        <v>2150</v>
      </c>
      <c r="F287" s="1">
        <v>2440</v>
      </c>
      <c r="G287" s="1">
        <v>61</v>
      </c>
      <c r="H287" s="1"/>
      <c r="I287" s="1"/>
      <c r="J287" s="1"/>
      <c r="K287" s="1"/>
      <c r="L287" s="17" t="s">
        <v>1140</v>
      </c>
      <c r="M287" s="17" t="s">
        <v>1141</v>
      </c>
      <c r="N287" s="17">
        <v>19</v>
      </c>
      <c r="O287" s="2"/>
    </row>
    <row r="288" spans="1:15" x14ac:dyDescent="0.2">
      <c r="A288" s="17" t="s">
        <v>1142</v>
      </c>
      <c r="B288" s="17" t="s">
        <v>1143</v>
      </c>
      <c r="C288" s="17">
        <v>12</v>
      </c>
      <c r="D288" s="1"/>
      <c r="E288" s="1">
        <v>2150</v>
      </c>
      <c r="F288" s="1">
        <v>2440</v>
      </c>
      <c r="G288" s="1">
        <v>41</v>
      </c>
      <c r="H288" s="1"/>
      <c r="I288" s="1"/>
      <c r="J288" s="1"/>
      <c r="K288" s="1"/>
      <c r="L288" s="17" t="s">
        <v>1144</v>
      </c>
      <c r="M288" s="17" t="s">
        <v>1145</v>
      </c>
      <c r="N288" s="17">
        <v>22</v>
      </c>
      <c r="O288" s="2"/>
    </row>
    <row r="289" spans="1:15" x14ac:dyDescent="0.2">
      <c r="A289" s="17" t="s">
        <v>1146</v>
      </c>
      <c r="B289" s="17" t="s">
        <v>1147</v>
      </c>
      <c r="C289" s="17">
        <v>15</v>
      </c>
      <c r="D289" s="1"/>
      <c r="E289" s="1">
        <v>2150</v>
      </c>
      <c r="F289" s="1">
        <v>2440</v>
      </c>
      <c r="G289" s="1">
        <v>53</v>
      </c>
      <c r="H289" s="1"/>
      <c r="I289" s="1"/>
      <c r="J289" s="1"/>
      <c r="K289" s="1"/>
      <c r="L289" s="17" t="s">
        <v>1148</v>
      </c>
      <c r="M289" s="17" t="s">
        <v>1149</v>
      </c>
      <c r="N289" s="17">
        <v>25</v>
      </c>
      <c r="O289" s="2"/>
    </row>
    <row r="290" spans="1:15" x14ac:dyDescent="0.2">
      <c r="A290" s="17" t="s">
        <v>1150</v>
      </c>
      <c r="B290" s="17" t="s">
        <v>1139</v>
      </c>
      <c r="C290" s="17">
        <v>18</v>
      </c>
      <c r="D290" s="1"/>
      <c r="E290" s="1">
        <v>2150</v>
      </c>
      <c r="F290" s="1">
        <v>2440</v>
      </c>
      <c r="G290" s="1">
        <v>61</v>
      </c>
      <c r="H290" s="1"/>
      <c r="I290" s="1"/>
      <c r="J290" s="1"/>
      <c r="K290" s="1"/>
      <c r="L290" s="17" t="s">
        <v>1151</v>
      </c>
      <c r="M290" s="17" t="s">
        <v>1152</v>
      </c>
      <c r="N290" s="17">
        <v>29</v>
      </c>
      <c r="O290" s="2"/>
    </row>
    <row r="291" spans="1:15" x14ac:dyDescent="0.2">
      <c r="A291" s="17" t="s">
        <v>1153</v>
      </c>
      <c r="B291" s="17" t="s">
        <v>1154</v>
      </c>
      <c r="C291" s="17">
        <v>25</v>
      </c>
      <c r="D291" s="1"/>
      <c r="E291" s="1">
        <v>2150</v>
      </c>
      <c r="F291" s="1">
        <v>2440</v>
      </c>
      <c r="G291" s="1">
        <v>83</v>
      </c>
      <c r="H291" s="1"/>
      <c r="I291" s="1"/>
      <c r="J291" s="1"/>
      <c r="K291" s="1"/>
      <c r="L291" s="17" t="s">
        <v>1155</v>
      </c>
      <c r="M291" s="17" t="s">
        <v>1156</v>
      </c>
      <c r="N291" s="17">
        <v>33</v>
      </c>
      <c r="O291" s="2"/>
    </row>
    <row r="292" spans="1:15" x14ac:dyDescent="0.2">
      <c r="A292" s="17" t="s">
        <v>1157</v>
      </c>
      <c r="B292" s="17" t="s">
        <v>1158</v>
      </c>
      <c r="C292" s="17">
        <v>36</v>
      </c>
      <c r="D292" s="1"/>
      <c r="E292" s="1">
        <v>2150</v>
      </c>
      <c r="F292" s="1">
        <v>2440</v>
      </c>
      <c r="G292" s="1">
        <v>117</v>
      </c>
      <c r="H292" s="1"/>
      <c r="I292" s="1"/>
      <c r="J292" s="1"/>
      <c r="K292" s="1"/>
      <c r="L292" s="17" t="s">
        <v>1159</v>
      </c>
      <c r="M292" s="17" t="s">
        <v>1160</v>
      </c>
      <c r="N292" s="17"/>
      <c r="O292" s="2" t="s">
        <v>36</v>
      </c>
    </row>
    <row r="293" spans="1:15" x14ac:dyDescent="0.2">
      <c r="A293" s="17" t="s">
        <v>1161</v>
      </c>
      <c r="B293" s="17" t="s">
        <v>1162</v>
      </c>
      <c r="C293" s="17">
        <v>9</v>
      </c>
      <c r="D293" s="1"/>
      <c r="E293" s="1">
        <v>2150</v>
      </c>
      <c r="F293" s="1">
        <v>2440</v>
      </c>
      <c r="G293" s="1">
        <v>33</v>
      </c>
      <c r="H293" s="1"/>
      <c r="I293" s="1"/>
      <c r="J293" s="1"/>
      <c r="K293" s="1"/>
      <c r="L293" s="17" t="s">
        <v>1163</v>
      </c>
      <c r="M293" s="17" t="s">
        <v>1164</v>
      </c>
      <c r="N293" s="17">
        <v>40</v>
      </c>
      <c r="O293" s="2"/>
    </row>
    <row r="294" spans="1:15" x14ac:dyDescent="0.2">
      <c r="A294" s="17" t="s">
        <v>1165</v>
      </c>
      <c r="B294" s="17" t="s">
        <v>1166</v>
      </c>
      <c r="C294" s="17">
        <v>15</v>
      </c>
      <c r="D294" s="1"/>
      <c r="E294" s="1">
        <v>2150</v>
      </c>
      <c r="F294" s="1">
        <v>2440</v>
      </c>
      <c r="G294" s="1">
        <v>53</v>
      </c>
      <c r="H294" s="1"/>
      <c r="I294" s="1"/>
      <c r="J294" s="1"/>
      <c r="K294" s="1"/>
      <c r="L294" s="17" t="s">
        <v>1167</v>
      </c>
      <c r="M294" s="17" t="s">
        <v>334</v>
      </c>
      <c r="N294" s="17">
        <v>19</v>
      </c>
      <c r="O294" s="15" t="s">
        <v>31</v>
      </c>
    </row>
    <row r="295" spans="1:15" x14ac:dyDescent="0.2">
      <c r="A295" s="17" t="s">
        <v>1168</v>
      </c>
      <c r="B295" s="17" t="s">
        <v>1169</v>
      </c>
      <c r="C295" s="17">
        <v>15</v>
      </c>
      <c r="D295" s="1"/>
      <c r="E295" s="1">
        <v>2150</v>
      </c>
      <c r="F295" s="1">
        <v>2440</v>
      </c>
      <c r="G295" s="1">
        <v>53</v>
      </c>
      <c r="H295" s="1"/>
      <c r="I295" s="1"/>
      <c r="J295" s="1"/>
      <c r="K295" s="1"/>
      <c r="L295" s="22" t="s">
        <v>1170</v>
      </c>
      <c r="M295" s="22" t="s">
        <v>1171</v>
      </c>
      <c r="N295" s="22">
        <v>19</v>
      </c>
      <c r="O295" s="15" t="s">
        <v>22</v>
      </c>
    </row>
    <row r="296" spans="1:15" x14ac:dyDescent="0.2">
      <c r="A296" s="17" t="s">
        <v>1172</v>
      </c>
      <c r="B296" s="17" t="s">
        <v>1147</v>
      </c>
      <c r="C296" s="17">
        <v>15</v>
      </c>
      <c r="D296" s="1"/>
      <c r="E296" s="1">
        <v>2150</v>
      </c>
      <c r="F296" s="1">
        <v>2440</v>
      </c>
      <c r="G296" s="1">
        <v>53</v>
      </c>
      <c r="H296" s="1"/>
      <c r="I296" s="1"/>
      <c r="J296" s="1"/>
      <c r="K296" s="1"/>
      <c r="L296" s="22" t="s">
        <v>1173</v>
      </c>
      <c r="M296" s="22" t="s">
        <v>1174</v>
      </c>
      <c r="N296" s="22">
        <v>33</v>
      </c>
      <c r="O296" s="15" t="s">
        <v>31</v>
      </c>
    </row>
    <row r="297" spans="1:15" x14ac:dyDescent="0.2">
      <c r="A297" s="17" t="s">
        <v>1175</v>
      </c>
      <c r="B297" s="17" t="s">
        <v>1176</v>
      </c>
      <c r="C297" s="17">
        <v>15</v>
      </c>
      <c r="D297" s="1"/>
      <c r="E297" s="1">
        <v>2150</v>
      </c>
      <c r="F297" s="1">
        <v>2440</v>
      </c>
      <c r="G297" s="1">
        <v>53</v>
      </c>
      <c r="H297" s="1"/>
      <c r="I297" s="1"/>
      <c r="J297" s="1"/>
      <c r="K297" s="1"/>
      <c r="L297" s="22" t="s">
        <v>1177</v>
      </c>
      <c r="M297" s="22" t="s">
        <v>1178</v>
      </c>
      <c r="N297" s="22">
        <v>22</v>
      </c>
      <c r="O297" s="15" t="s">
        <v>22</v>
      </c>
    </row>
    <row r="298" spans="1:15" x14ac:dyDescent="0.2">
      <c r="A298" s="17" t="s">
        <v>1179</v>
      </c>
      <c r="B298" s="17" t="s">
        <v>1180</v>
      </c>
      <c r="C298" s="17">
        <v>6</v>
      </c>
      <c r="D298" s="1"/>
      <c r="E298" s="1">
        <v>2150</v>
      </c>
      <c r="F298" s="1">
        <v>2440</v>
      </c>
      <c r="G298" s="1">
        <v>23</v>
      </c>
      <c r="H298" s="1"/>
      <c r="I298" s="1"/>
      <c r="J298" s="1"/>
      <c r="K298" s="1"/>
      <c r="L298" s="22" t="s">
        <v>1181</v>
      </c>
      <c r="M298" s="22" t="s">
        <v>1182</v>
      </c>
      <c r="N298" s="22">
        <v>22</v>
      </c>
      <c r="O298" s="15" t="s">
        <v>22</v>
      </c>
    </row>
    <row r="299" spans="1:15" x14ac:dyDescent="0.2">
      <c r="A299" s="17" t="s">
        <v>1183</v>
      </c>
      <c r="B299" s="17" t="s">
        <v>1184</v>
      </c>
      <c r="C299" s="17">
        <v>15</v>
      </c>
      <c r="D299" s="1"/>
      <c r="E299" s="1">
        <v>2150</v>
      </c>
      <c r="F299" s="1">
        <v>2440</v>
      </c>
      <c r="G299" s="1">
        <v>53</v>
      </c>
      <c r="H299" s="1"/>
      <c r="I299" s="1"/>
      <c r="J299" s="1"/>
      <c r="K299" s="1"/>
      <c r="L299" s="22" t="s">
        <v>1185</v>
      </c>
      <c r="M299" s="22" t="s">
        <v>1186</v>
      </c>
      <c r="N299" s="22">
        <v>19</v>
      </c>
      <c r="O299" s="15" t="s">
        <v>31</v>
      </c>
    </row>
    <row r="300" spans="1:15" x14ac:dyDescent="0.2">
      <c r="A300" s="17" t="s">
        <v>1187</v>
      </c>
      <c r="B300" s="17" t="s">
        <v>1188</v>
      </c>
      <c r="C300" s="17">
        <v>15</v>
      </c>
      <c r="D300" s="1"/>
      <c r="E300" s="1">
        <v>2150</v>
      </c>
      <c r="F300" s="1">
        <v>2440</v>
      </c>
      <c r="G300" s="1">
        <v>53</v>
      </c>
      <c r="H300" s="1"/>
      <c r="I300" s="1"/>
      <c r="J300" s="1"/>
      <c r="K300" s="1"/>
      <c r="L300" s="22" t="s">
        <v>1189</v>
      </c>
      <c r="M300" s="22" t="s">
        <v>1190</v>
      </c>
      <c r="N300" s="22">
        <v>22</v>
      </c>
      <c r="O300" s="15" t="s">
        <v>31</v>
      </c>
    </row>
    <row r="301" spans="1:15" x14ac:dyDescent="0.2">
      <c r="A301" s="22" t="s">
        <v>1191</v>
      </c>
      <c r="B301" s="22" t="s">
        <v>1192</v>
      </c>
      <c r="C301" s="22">
        <v>12</v>
      </c>
      <c r="D301" s="23"/>
      <c r="E301" s="1">
        <v>1830</v>
      </c>
      <c r="F301" s="1">
        <v>2440</v>
      </c>
      <c r="G301" s="1">
        <v>35</v>
      </c>
      <c r="H301" s="1"/>
      <c r="I301" s="1"/>
      <c r="J301" s="1"/>
      <c r="K301" s="1"/>
      <c r="L301" s="22" t="s">
        <v>1193</v>
      </c>
      <c r="M301" s="22" t="s">
        <v>1194</v>
      </c>
      <c r="N301" s="22">
        <v>19</v>
      </c>
      <c r="O301" s="15" t="s">
        <v>31</v>
      </c>
    </row>
    <row r="302" spans="1:15" x14ac:dyDescent="0.2">
      <c r="A302" s="22" t="s">
        <v>1195</v>
      </c>
      <c r="B302" s="22" t="s">
        <v>1196</v>
      </c>
      <c r="C302" s="22">
        <v>6</v>
      </c>
      <c r="D302" s="23"/>
      <c r="E302" s="1">
        <v>2150</v>
      </c>
      <c r="F302" s="1">
        <v>2440</v>
      </c>
      <c r="G302" s="1">
        <v>23</v>
      </c>
      <c r="H302" s="1"/>
      <c r="I302" s="1"/>
      <c r="J302" s="1"/>
      <c r="K302" s="1"/>
      <c r="L302" s="22" t="s">
        <v>1197</v>
      </c>
      <c r="M302" s="22" t="s">
        <v>1198</v>
      </c>
      <c r="N302" s="22">
        <v>22</v>
      </c>
      <c r="O302" s="15" t="s">
        <v>31</v>
      </c>
    </row>
    <row r="303" spans="1:15" x14ac:dyDescent="0.2">
      <c r="A303" s="22" t="s">
        <v>1199</v>
      </c>
      <c r="B303" s="22" t="s">
        <v>1200</v>
      </c>
      <c r="C303" s="22">
        <v>18</v>
      </c>
      <c r="D303" s="23"/>
      <c r="E303" s="1">
        <v>2150</v>
      </c>
      <c r="F303" s="1">
        <v>2440</v>
      </c>
      <c r="G303" s="1">
        <v>68</v>
      </c>
      <c r="H303" s="1"/>
      <c r="I303" s="1"/>
      <c r="J303" s="1"/>
      <c r="K303" s="1"/>
      <c r="L303" s="22" t="s">
        <v>1201</v>
      </c>
      <c r="M303" s="22" t="s">
        <v>1202</v>
      </c>
      <c r="N303" s="22">
        <v>19</v>
      </c>
      <c r="O303" s="15" t="s">
        <v>31</v>
      </c>
    </row>
    <row r="304" spans="1:15" x14ac:dyDescent="0.2">
      <c r="A304" s="22" t="s">
        <v>1203</v>
      </c>
      <c r="B304" s="22" t="s">
        <v>1204</v>
      </c>
      <c r="C304" s="22">
        <v>41</v>
      </c>
      <c r="D304" s="23"/>
      <c r="E304" s="1">
        <v>2150</v>
      </c>
      <c r="F304" s="1">
        <v>2440</v>
      </c>
      <c r="G304" s="1">
        <v>117</v>
      </c>
      <c r="H304" s="23"/>
      <c r="I304" s="23"/>
      <c r="J304" s="23"/>
      <c r="K304" s="23"/>
      <c r="L304" s="22" t="s">
        <v>1205</v>
      </c>
      <c r="M304" s="22" t="s">
        <v>1206</v>
      </c>
      <c r="N304" s="22">
        <v>19</v>
      </c>
      <c r="O304" s="15" t="s">
        <v>31</v>
      </c>
    </row>
    <row r="305" spans="1:15" x14ac:dyDescent="0.2">
      <c r="A305" s="22" t="s">
        <v>1207</v>
      </c>
      <c r="B305" s="22" t="s">
        <v>1208</v>
      </c>
      <c r="C305" s="22">
        <v>18</v>
      </c>
      <c r="D305" s="23"/>
      <c r="E305" s="1">
        <v>2150</v>
      </c>
      <c r="F305" s="1">
        <v>2440</v>
      </c>
      <c r="G305" s="1">
        <v>50</v>
      </c>
      <c r="H305" s="23"/>
      <c r="I305" s="23"/>
      <c r="J305" s="23"/>
      <c r="K305" s="23"/>
      <c r="L305" s="22" t="s">
        <v>1209</v>
      </c>
      <c r="M305" s="22" t="s">
        <v>1210</v>
      </c>
      <c r="N305" s="22">
        <v>22</v>
      </c>
      <c r="O305" s="15" t="s">
        <v>31</v>
      </c>
    </row>
    <row r="306" spans="1:15" x14ac:dyDescent="0.2">
      <c r="A306" s="22" t="s">
        <v>1211</v>
      </c>
      <c r="B306" s="22" t="s">
        <v>1212</v>
      </c>
      <c r="C306" s="22">
        <v>2</v>
      </c>
      <c r="D306" s="23"/>
      <c r="E306" s="1">
        <v>1220</v>
      </c>
      <c r="F306" s="1">
        <v>2440</v>
      </c>
      <c r="G306" s="1">
        <v>38</v>
      </c>
      <c r="H306" s="23"/>
      <c r="I306" s="23"/>
      <c r="J306" s="23"/>
      <c r="K306" s="23"/>
      <c r="L306" s="22" t="s">
        <v>1213</v>
      </c>
      <c r="M306" s="22" t="s">
        <v>1214</v>
      </c>
      <c r="N306" s="22">
        <v>19</v>
      </c>
      <c r="O306" s="15" t="s">
        <v>31</v>
      </c>
    </row>
    <row r="307" spans="1:15" x14ac:dyDescent="0.2">
      <c r="A307" s="22" t="s">
        <v>1215</v>
      </c>
      <c r="B307" s="22" t="s">
        <v>1216</v>
      </c>
      <c r="C307" s="22">
        <v>6</v>
      </c>
      <c r="D307" s="23"/>
      <c r="E307" s="1">
        <v>2150</v>
      </c>
      <c r="F307" s="1">
        <v>2440</v>
      </c>
      <c r="G307" s="1">
        <v>23</v>
      </c>
      <c r="H307" s="23"/>
      <c r="I307" s="23"/>
      <c r="J307" s="23"/>
      <c r="K307" s="23"/>
      <c r="L307" s="22" t="s">
        <v>1217</v>
      </c>
      <c r="M307" s="22" t="s">
        <v>1218</v>
      </c>
      <c r="N307" s="22">
        <v>22</v>
      </c>
      <c r="O307" s="15" t="s">
        <v>31</v>
      </c>
    </row>
    <row r="308" spans="1:15" x14ac:dyDescent="0.2">
      <c r="A308" s="22" t="s">
        <v>1219</v>
      </c>
      <c r="B308" s="22" t="s">
        <v>1220</v>
      </c>
      <c r="C308" s="22" t="s">
        <v>528</v>
      </c>
      <c r="D308" s="23"/>
      <c r="E308" s="1">
        <v>2150</v>
      </c>
      <c r="F308" s="1">
        <v>2440</v>
      </c>
      <c r="G308" s="1">
        <v>117</v>
      </c>
      <c r="H308" s="23"/>
      <c r="I308" s="23"/>
      <c r="J308" s="23"/>
      <c r="K308" s="23"/>
      <c r="L308" s="22" t="s">
        <v>1221</v>
      </c>
      <c r="M308" s="22" t="s">
        <v>1222</v>
      </c>
      <c r="N308" s="22">
        <v>44</v>
      </c>
      <c r="O308" s="15" t="s">
        <v>31</v>
      </c>
    </row>
    <row r="309" spans="1:15" x14ac:dyDescent="0.2">
      <c r="A309" s="22" t="s">
        <v>1223</v>
      </c>
      <c r="B309" s="22" t="s">
        <v>1224</v>
      </c>
      <c r="C309" s="22">
        <v>15</v>
      </c>
      <c r="D309" s="23"/>
      <c r="E309" s="1">
        <v>2150</v>
      </c>
      <c r="F309" s="1">
        <v>2440</v>
      </c>
      <c r="G309" s="1">
        <v>53</v>
      </c>
      <c r="H309" s="23"/>
      <c r="I309" s="23"/>
      <c r="J309" s="23"/>
      <c r="K309" s="23"/>
      <c r="L309" s="22" t="s">
        <v>1225</v>
      </c>
      <c r="M309" s="22" t="s">
        <v>1226</v>
      </c>
      <c r="N309" s="22">
        <v>16</v>
      </c>
      <c r="O309" s="15" t="s">
        <v>31</v>
      </c>
    </row>
    <row r="310" spans="1:15" x14ac:dyDescent="0.2">
      <c r="A310" s="22" t="s">
        <v>1227</v>
      </c>
      <c r="B310" s="22" t="s">
        <v>1228</v>
      </c>
      <c r="C310" s="22">
        <v>9</v>
      </c>
      <c r="D310" s="23"/>
      <c r="E310" s="1">
        <v>2150</v>
      </c>
      <c r="F310" s="1">
        <v>2440</v>
      </c>
      <c r="G310" s="1">
        <v>33</v>
      </c>
      <c r="H310" s="23"/>
      <c r="I310" s="23"/>
      <c r="J310" s="23"/>
      <c r="K310" s="23"/>
      <c r="L310" s="22" t="s">
        <v>1229</v>
      </c>
      <c r="M310" s="22" t="s">
        <v>1230</v>
      </c>
      <c r="N310" s="22">
        <v>19</v>
      </c>
      <c r="O310" s="15" t="s">
        <v>31</v>
      </c>
    </row>
    <row r="311" spans="1:15" x14ac:dyDescent="0.2">
      <c r="A311" s="22" t="s">
        <v>1231</v>
      </c>
      <c r="B311" s="22" t="s">
        <v>1232</v>
      </c>
      <c r="C311" s="22">
        <v>18</v>
      </c>
      <c r="D311" s="23"/>
      <c r="E311" s="1">
        <v>2150</v>
      </c>
      <c r="F311" s="1">
        <v>2440</v>
      </c>
      <c r="G311" s="1">
        <v>117</v>
      </c>
      <c r="H311" s="23"/>
      <c r="I311" s="23"/>
      <c r="J311" s="23"/>
      <c r="K311" s="23"/>
      <c r="L311" s="22" t="s">
        <v>1233</v>
      </c>
      <c r="M311" s="22" t="s">
        <v>1234</v>
      </c>
      <c r="N311" s="22">
        <v>22</v>
      </c>
      <c r="O311" s="15" t="s">
        <v>31</v>
      </c>
    </row>
    <row r="312" spans="1:15" x14ac:dyDescent="0.2">
      <c r="A312" s="22" t="s">
        <v>1235</v>
      </c>
      <c r="B312" s="22" t="s">
        <v>1236</v>
      </c>
      <c r="C312" s="22">
        <v>12</v>
      </c>
      <c r="D312" s="23"/>
      <c r="E312" s="1">
        <v>2150</v>
      </c>
      <c r="F312" s="1">
        <v>2440</v>
      </c>
      <c r="G312" s="1">
        <v>41</v>
      </c>
      <c r="H312" s="23"/>
      <c r="I312" s="23"/>
      <c r="J312" s="23"/>
      <c r="K312" s="23"/>
      <c r="L312" s="22" t="s">
        <v>1237</v>
      </c>
      <c r="M312" s="22" t="s">
        <v>1238</v>
      </c>
      <c r="N312" s="22">
        <v>33</v>
      </c>
      <c r="O312" s="15" t="s">
        <v>31</v>
      </c>
    </row>
    <row r="313" spans="1:15" x14ac:dyDescent="0.2">
      <c r="A313" s="22" t="s">
        <v>1239</v>
      </c>
      <c r="B313" s="22" t="s">
        <v>1240</v>
      </c>
      <c r="C313" s="22">
        <v>15</v>
      </c>
      <c r="D313" s="23"/>
      <c r="E313" s="1">
        <v>2150</v>
      </c>
      <c r="F313" s="1">
        <v>2440</v>
      </c>
      <c r="G313" s="1">
        <v>53</v>
      </c>
      <c r="H313" s="23"/>
      <c r="I313" s="23"/>
      <c r="J313" s="23"/>
      <c r="K313" s="23"/>
      <c r="L313" s="22" t="s">
        <v>1241</v>
      </c>
      <c r="M313" s="22" t="s">
        <v>1242</v>
      </c>
      <c r="N313" s="22">
        <v>19</v>
      </c>
      <c r="O313" s="15" t="s">
        <v>31</v>
      </c>
    </row>
    <row r="314" spans="1:15" x14ac:dyDescent="0.2">
      <c r="A314" s="22" t="s">
        <v>1243</v>
      </c>
      <c r="B314" s="22" t="s">
        <v>1244</v>
      </c>
      <c r="C314" s="22">
        <v>18</v>
      </c>
      <c r="D314" s="23"/>
      <c r="E314" s="1">
        <v>2150</v>
      </c>
      <c r="F314" s="1">
        <v>2440</v>
      </c>
      <c r="G314" s="1">
        <v>61</v>
      </c>
      <c r="H314" s="23"/>
      <c r="I314" s="23"/>
      <c r="J314" s="23"/>
      <c r="K314" s="23"/>
      <c r="L314" s="22" t="s">
        <v>1245</v>
      </c>
      <c r="M314" s="22" t="s">
        <v>1246</v>
      </c>
      <c r="N314" s="22">
        <v>44</v>
      </c>
      <c r="O314" s="15" t="s">
        <v>31</v>
      </c>
    </row>
    <row r="315" spans="1:15" x14ac:dyDescent="0.2">
      <c r="A315" s="22" t="s">
        <v>1247</v>
      </c>
      <c r="B315" s="22" t="s">
        <v>1248</v>
      </c>
      <c r="C315" s="22">
        <v>18</v>
      </c>
      <c r="D315" s="23"/>
      <c r="E315" s="1">
        <v>2150</v>
      </c>
      <c r="F315" s="1">
        <v>2440</v>
      </c>
      <c r="G315" s="1">
        <v>61</v>
      </c>
      <c r="H315" s="23"/>
      <c r="I315" s="23"/>
      <c r="J315" s="23"/>
      <c r="K315" s="23"/>
      <c r="L315" s="22" t="s">
        <v>1249</v>
      </c>
      <c r="M315" s="22" t="s">
        <v>1250</v>
      </c>
      <c r="N315" s="22">
        <v>16</v>
      </c>
      <c r="O315" s="15" t="s">
        <v>31</v>
      </c>
    </row>
    <row r="316" spans="1:15" x14ac:dyDescent="0.2">
      <c r="A316" s="22" t="s">
        <v>1251</v>
      </c>
      <c r="B316" s="22" t="s">
        <v>1252</v>
      </c>
      <c r="C316" s="22">
        <v>18</v>
      </c>
      <c r="D316" s="23"/>
      <c r="E316" s="1">
        <v>2150</v>
      </c>
      <c r="F316" s="1">
        <v>2440</v>
      </c>
      <c r="G316" s="1">
        <v>61</v>
      </c>
      <c r="H316" s="23"/>
      <c r="I316" s="23"/>
      <c r="J316" s="23"/>
      <c r="K316" s="23"/>
      <c r="L316" s="17" t="s">
        <v>1253</v>
      </c>
      <c r="M316" s="17" t="s">
        <v>1254</v>
      </c>
      <c r="N316" s="17">
        <v>19</v>
      </c>
      <c r="O316" s="15" t="s">
        <v>31</v>
      </c>
    </row>
    <row r="317" spans="1:15" x14ac:dyDescent="0.2">
      <c r="A317" s="22" t="s">
        <v>1255</v>
      </c>
      <c r="B317" s="22" t="s">
        <v>1256</v>
      </c>
      <c r="C317" s="22">
        <v>25</v>
      </c>
      <c r="D317" s="23"/>
      <c r="E317" s="1">
        <v>2150</v>
      </c>
      <c r="F317" s="1">
        <v>2440</v>
      </c>
      <c r="G317" s="1">
        <v>83</v>
      </c>
      <c r="H317" s="23"/>
      <c r="I317" s="23"/>
      <c r="J317" s="23"/>
      <c r="K317" s="23"/>
      <c r="L317" s="17" t="s">
        <v>1257</v>
      </c>
      <c r="M317" s="17" t="s">
        <v>1258</v>
      </c>
      <c r="N317" s="17">
        <v>22</v>
      </c>
      <c r="O317" s="15" t="s">
        <v>31</v>
      </c>
    </row>
    <row r="318" spans="1:15" x14ac:dyDescent="0.2">
      <c r="A318" s="22" t="s">
        <v>1259</v>
      </c>
      <c r="B318" s="22" t="s">
        <v>1260</v>
      </c>
      <c r="C318" s="22">
        <v>9</v>
      </c>
      <c r="D318" s="23"/>
      <c r="E318" s="1">
        <v>2150</v>
      </c>
      <c r="F318" s="1">
        <v>2440</v>
      </c>
      <c r="G318" s="1">
        <v>33</v>
      </c>
      <c r="H318" s="23"/>
      <c r="I318" s="23"/>
      <c r="J318" s="23"/>
      <c r="K318" s="23"/>
      <c r="L318" s="17" t="s">
        <v>1261</v>
      </c>
      <c r="M318" s="17" t="s">
        <v>1262</v>
      </c>
      <c r="N318" s="17">
        <v>19</v>
      </c>
      <c r="O318" s="15" t="s">
        <v>31</v>
      </c>
    </row>
    <row r="319" spans="1:15" x14ac:dyDescent="0.2">
      <c r="A319" s="22" t="s">
        <v>1263</v>
      </c>
      <c r="B319" s="22" t="s">
        <v>1264</v>
      </c>
      <c r="C319" s="22">
        <v>6</v>
      </c>
      <c r="E319" s="1">
        <v>2150</v>
      </c>
      <c r="F319" s="1">
        <v>2440</v>
      </c>
      <c r="G319" s="1">
        <v>23</v>
      </c>
      <c r="H319" s="23"/>
      <c r="I319" s="23"/>
      <c r="J319" s="23"/>
      <c r="K319" s="23"/>
      <c r="L319" s="17" t="s">
        <v>1265</v>
      </c>
      <c r="M319" s="17" t="s">
        <v>1266</v>
      </c>
      <c r="N319" s="17">
        <v>44</v>
      </c>
      <c r="O319" s="15" t="s">
        <v>31</v>
      </c>
    </row>
    <row r="320" spans="1:15" x14ac:dyDescent="0.2">
      <c r="A320" s="22" t="s">
        <v>1267</v>
      </c>
      <c r="B320" s="22" t="s">
        <v>1268</v>
      </c>
      <c r="C320" s="22">
        <v>18</v>
      </c>
      <c r="E320" s="1">
        <v>1220</v>
      </c>
      <c r="F320" s="1">
        <v>2440</v>
      </c>
      <c r="G320" s="1">
        <v>35</v>
      </c>
      <c r="H320" s="23"/>
      <c r="I320" s="23"/>
      <c r="J320" s="23"/>
      <c r="K320" s="23"/>
      <c r="L320" s="17" t="s">
        <v>1269</v>
      </c>
      <c r="M320" s="17" t="s">
        <v>265</v>
      </c>
      <c r="N320" s="17">
        <v>41</v>
      </c>
      <c r="O320" s="15" t="s">
        <v>22</v>
      </c>
    </row>
    <row r="321" spans="1:15" x14ac:dyDescent="0.2">
      <c r="A321" s="22" t="s">
        <v>1270</v>
      </c>
      <c r="B321" s="22" t="s">
        <v>1271</v>
      </c>
      <c r="C321" s="22"/>
      <c r="E321" s="1">
        <v>2150</v>
      </c>
      <c r="F321" s="1">
        <v>2440</v>
      </c>
      <c r="G321" s="1">
        <v>117</v>
      </c>
      <c r="H321" s="23"/>
      <c r="I321" s="23"/>
      <c r="J321" s="23"/>
      <c r="K321" s="23"/>
      <c r="L321" s="17" t="s">
        <v>1272</v>
      </c>
      <c r="M321" s="17" t="s">
        <v>1273</v>
      </c>
      <c r="N321" s="17">
        <v>41</v>
      </c>
      <c r="O321" s="15" t="s">
        <v>22</v>
      </c>
    </row>
    <row r="322" spans="1:15" x14ac:dyDescent="0.2">
      <c r="A322" s="22" t="s">
        <v>1274</v>
      </c>
      <c r="B322" s="22" t="s">
        <v>1275</v>
      </c>
      <c r="C322" s="22">
        <v>36</v>
      </c>
      <c r="E322" s="1">
        <v>2150</v>
      </c>
      <c r="F322" s="1">
        <v>2440</v>
      </c>
      <c r="G322" s="1">
        <v>117</v>
      </c>
      <c r="L322" s="17" t="s">
        <v>1276</v>
      </c>
      <c r="M322" s="17" t="s">
        <v>1277</v>
      </c>
      <c r="N322" s="17">
        <v>33</v>
      </c>
      <c r="O322" s="15" t="s">
        <v>22</v>
      </c>
    </row>
    <row r="323" spans="1:15" x14ac:dyDescent="0.2">
      <c r="A323" s="22" t="s">
        <v>1278</v>
      </c>
      <c r="B323" s="22" t="s">
        <v>236</v>
      </c>
      <c r="C323" s="22">
        <v>18</v>
      </c>
      <c r="E323" s="1">
        <v>2150</v>
      </c>
      <c r="F323" s="1">
        <v>2440</v>
      </c>
      <c r="G323" s="1">
        <v>61</v>
      </c>
      <c r="L323" s="17" t="s">
        <v>1279</v>
      </c>
      <c r="M323" s="17" t="s">
        <v>1280</v>
      </c>
      <c r="N323" s="17">
        <v>22</v>
      </c>
      <c r="O323" s="15" t="s">
        <v>31</v>
      </c>
    </row>
    <row r="324" spans="1:15" x14ac:dyDescent="0.2">
      <c r="A324" s="17" t="s">
        <v>1281</v>
      </c>
      <c r="B324" s="17" t="s">
        <v>1282</v>
      </c>
      <c r="C324" s="17">
        <v>3</v>
      </c>
      <c r="E324" s="1">
        <v>1220</v>
      </c>
      <c r="F324" s="1">
        <v>2440</v>
      </c>
      <c r="G324" s="1">
        <v>6</v>
      </c>
      <c r="L324" s="17" t="s">
        <v>1283</v>
      </c>
      <c r="M324" s="17" t="s">
        <v>1284</v>
      </c>
      <c r="N324" s="17">
        <v>22</v>
      </c>
      <c r="O324" s="15" t="s">
        <v>31</v>
      </c>
    </row>
    <row r="325" spans="1:15" x14ac:dyDescent="0.2">
      <c r="A325" s="17" t="s">
        <v>1285</v>
      </c>
      <c r="B325" s="17" t="s">
        <v>1286</v>
      </c>
      <c r="C325" s="17">
        <v>6</v>
      </c>
      <c r="E325" s="1">
        <v>2150</v>
      </c>
      <c r="F325" s="1">
        <v>2440</v>
      </c>
      <c r="G325" s="1">
        <v>23</v>
      </c>
      <c r="L325" s="17" t="s">
        <v>1287</v>
      </c>
      <c r="M325" s="17" t="s">
        <v>1288</v>
      </c>
      <c r="N325" s="17">
        <v>22</v>
      </c>
      <c r="O325" s="15" t="s">
        <v>31</v>
      </c>
    </row>
    <row r="326" spans="1:15" x14ac:dyDescent="0.2">
      <c r="A326" s="17" t="s">
        <v>1289</v>
      </c>
      <c r="B326" s="17" t="s">
        <v>1290</v>
      </c>
      <c r="C326" s="17">
        <v>9</v>
      </c>
      <c r="E326" s="1">
        <v>2150</v>
      </c>
      <c r="F326" s="1">
        <v>2440</v>
      </c>
      <c r="G326" s="1">
        <v>33</v>
      </c>
      <c r="L326" s="17" t="s">
        <v>1291</v>
      </c>
      <c r="M326" s="17" t="s">
        <v>1292</v>
      </c>
      <c r="N326" s="17">
        <v>33</v>
      </c>
      <c r="O326" s="15" t="s">
        <v>31</v>
      </c>
    </row>
    <row r="327" spans="1:15" x14ac:dyDescent="0.2">
      <c r="A327" s="17" t="s">
        <v>1293</v>
      </c>
      <c r="B327" s="17" t="s">
        <v>1294</v>
      </c>
      <c r="C327" s="17">
        <v>12</v>
      </c>
      <c r="E327" s="1">
        <v>2150</v>
      </c>
      <c r="F327" s="1">
        <v>2440</v>
      </c>
      <c r="G327" s="1">
        <v>41</v>
      </c>
      <c r="L327" s="17" t="s">
        <v>1295</v>
      </c>
      <c r="M327" s="17" t="s">
        <v>1296</v>
      </c>
      <c r="N327" s="17">
        <v>44</v>
      </c>
      <c r="O327" s="15" t="s">
        <v>31</v>
      </c>
    </row>
    <row r="328" spans="1:15" x14ac:dyDescent="0.2">
      <c r="A328" s="17" t="s">
        <v>1297</v>
      </c>
      <c r="B328" s="17" t="s">
        <v>1298</v>
      </c>
      <c r="C328" s="17">
        <v>15</v>
      </c>
      <c r="E328" s="1">
        <v>2150</v>
      </c>
      <c r="F328" s="1">
        <v>2440</v>
      </c>
      <c r="G328" s="1">
        <v>53</v>
      </c>
      <c r="L328" s="17" t="s">
        <v>1299</v>
      </c>
      <c r="M328" s="17" t="s">
        <v>1300</v>
      </c>
      <c r="N328" s="17">
        <v>19</v>
      </c>
      <c r="O328" s="15" t="s">
        <v>31</v>
      </c>
    </row>
    <row r="329" spans="1:15" x14ac:dyDescent="0.2">
      <c r="A329" s="17" t="s">
        <v>1301</v>
      </c>
      <c r="B329" s="17" t="s">
        <v>1302</v>
      </c>
      <c r="C329" s="17">
        <v>18</v>
      </c>
      <c r="E329" s="1">
        <v>2150</v>
      </c>
      <c r="F329" s="1">
        <v>2440</v>
      </c>
      <c r="G329" s="1">
        <v>61</v>
      </c>
      <c r="L329" s="17" t="s">
        <v>1303</v>
      </c>
      <c r="M329" s="17" t="s">
        <v>1304</v>
      </c>
      <c r="N329" s="17">
        <v>22</v>
      </c>
      <c r="O329" s="15" t="s">
        <v>31</v>
      </c>
    </row>
    <row r="330" spans="1:15" x14ac:dyDescent="0.2">
      <c r="A330" s="17" t="s">
        <v>1305</v>
      </c>
      <c r="B330" s="17" t="s">
        <v>1306</v>
      </c>
      <c r="C330" s="17">
        <v>25</v>
      </c>
      <c r="E330" s="1">
        <v>2150</v>
      </c>
      <c r="F330" s="1">
        <v>2440</v>
      </c>
      <c r="G330" s="1">
        <v>83</v>
      </c>
      <c r="L330" s="17" t="s">
        <v>1307</v>
      </c>
      <c r="M330" s="17" t="s">
        <v>1308</v>
      </c>
      <c r="N330" s="17">
        <v>33</v>
      </c>
      <c r="O330" s="15" t="s">
        <v>31</v>
      </c>
    </row>
    <row r="331" spans="1:15" x14ac:dyDescent="0.2">
      <c r="A331" s="17" t="s">
        <v>1309</v>
      </c>
      <c r="B331" s="17" t="s">
        <v>1310</v>
      </c>
      <c r="C331" s="17">
        <v>30</v>
      </c>
      <c r="E331" s="1">
        <v>2150</v>
      </c>
      <c r="F331" s="1">
        <v>2440</v>
      </c>
      <c r="G331" s="1">
        <v>97</v>
      </c>
      <c r="L331" s="17" t="s">
        <v>1311</v>
      </c>
      <c r="M331" s="17" t="s">
        <v>1312</v>
      </c>
      <c r="N331" s="17">
        <v>19</v>
      </c>
      <c r="O331" s="15" t="s">
        <v>31</v>
      </c>
    </row>
    <row r="332" spans="1:15" x14ac:dyDescent="0.2">
      <c r="A332" s="17" t="s">
        <v>1313</v>
      </c>
      <c r="B332" s="17" t="s">
        <v>1314</v>
      </c>
      <c r="C332" s="17">
        <v>6</v>
      </c>
      <c r="E332" s="1">
        <v>2150</v>
      </c>
      <c r="F332" s="1">
        <v>2440</v>
      </c>
      <c r="G332" s="1">
        <v>23</v>
      </c>
      <c r="L332" s="17" t="s">
        <v>1315</v>
      </c>
      <c r="M332" s="17" t="s">
        <v>1316</v>
      </c>
      <c r="N332" s="17">
        <v>22</v>
      </c>
      <c r="O332" s="15" t="s">
        <v>31</v>
      </c>
    </row>
    <row r="333" spans="1:15" x14ac:dyDescent="0.2">
      <c r="A333" s="17" t="s">
        <v>1317</v>
      </c>
      <c r="B333" s="17" t="s">
        <v>1318</v>
      </c>
      <c r="C333" s="17" t="s">
        <v>528</v>
      </c>
      <c r="E333" s="1">
        <v>2150</v>
      </c>
      <c r="F333" s="1">
        <v>2440</v>
      </c>
      <c r="G333" s="1">
        <v>117</v>
      </c>
      <c r="L333" s="17" t="s">
        <v>1319</v>
      </c>
      <c r="M333" s="17" t="s">
        <v>1320</v>
      </c>
      <c r="N333" s="17">
        <v>33</v>
      </c>
      <c r="O333" s="15" t="s">
        <v>31</v>
      </c>
    </row>
    <row r="334" spans="1:15" x14ac:dyDescent="0.2">
      <c r="A334" s="17" t="s">
        <v>1321</v>
      </c>
      <c r="B334" s="17" t="s">
        <v>1322</v>
      </c>
      <c r="C334" s="17" t="s">
        <v>384</v>
      </c>
      <c r="E334" s="1">
        <v>2150</v>
      </c>
      <c r="F334" s="1">
        <v>2440</v>
      </c>
      <c r="G334" s="1">
        <v>117</v>
      </c>
      <c r="L334" s="17" t="s">
        <v>1323</v>
      </c>
      <c r="M334" s="17" t="s">
        <v>1324</v>
      </c>
      <c r="N334" s="17">
        <v>41</v>
      </c>
      <c r="O334" s="15" t="s">
        <v>31</v>
      </c>
    </row>
    <row r="335" spans="1:15" x14ac:dyDescent="0.2">
      <c r="A335" s="17" t="s">
        <v>1325</v>
      </c>
      <c r="B335" s="17" t="s">
        <v>1326</v>
      </c>
      <c r="C335" s="17">
        <v>9</v>
      </c>
      <c r="E335" s="1">
        <v>1830</v>
      </c>
      <c r="F335" s="1">
        <v>2440</v>
      </c>
      <c r="G335" s="1">
        <v>28</v>
      </c>
      <c r="L335" s="17" t="s">
        <v>1327</v>
      </c>
      <c r="M335" s="17" t="s">
        <v>1328</v>
      </c>
      <c r="N335" s="17">
        <v>33</v>
      </c>
      <c r="O335" s="15" t="s">
        <v>31</v>
      </c>
    </row>
    <row r="336" spans="1:15" x14ac:dyDescent="0.2">
      <c r="A336" s="17" t="s">
        <v>1329</v>
      </c>
      <c r="B336" s="17" t="s">
        <v>1330</v>
      </c>
      <c r="C336" s="17" t="s">
        <v>384</v>
      </c>
      <c r="E336" s="1">
        <v>2150</v>
      </c>
      <c r="F336" s="1">
        <v>2440</v>
      </c>
      <c r="G336" s="1">
        <v>117</v>
      </c>
      <c r="L336" s="17" t="s">
        <v>1331</v>
      </c>
      <c r="M336" s="17" t="s">
        <v>1332</v>
      </c>
      <c r="N336" s="17">
        <v>19</v>
      </c>
      <c r="O336" s="15" t="s">
        <v>31</v>
      </c>
    </row>
    <row r="337" spans="1:15" x14ac:dyDescent="0.2">
      <c r="A337" s="17" t="s">
        <v>1333</v>
      </c>
      <c r="B337" s="17" t="s">
        <v>1334</v>
      </c>
      <c r="C337" s="17">
        <v>36</v>
      </c>
      <c r="E337" s="1">
        <v>2150</v>
      </c>
      <c r="F337" s="1">
        <v>2440</v>
      </c>
      <c r="G337" s="1">
        <v>117</v>
      </c>
      <c r="L337" s="17" t="s">
        <v>1335</v>
      </c>
      <c r="M337" s="17" t="s">
        <v>1336</v>
      </c>
      <c r="N337" s="17">
        <v>22</v>
      </c>
      <c r="O337" s="15" t="s">
        <v>31</v>
      </c>
    </row>
    <row r="338" spans="1:15" x14ac:dyDescent="0.2">
      <c r="A338" s="17" t="s">
        <v>1337</v>
      </c>
      <c r="B338" s="17" t="s">
        <v>1338</v>
      </c>
      <c r="C338" s="17">
        <v>18</v>
      </c>
      <c r="E338" s="1">
        <v>2150</v>
      </c>
      <c r="F338" s="1">
        <v>2440</v>
      </c>
      <c r="G338" s="1">
        <v>61</v>
      </c>
      <c r="L338" s="17" t="s">
        <v>1339</v>
      </c>
      <c r="M338" s="17" t="s">
        <v>1340</v>
      </c>
      <c r="N338" s="17">
        <v>18</v>
      </c>
      <c r="O338" s="15" t="s">
        <v>36</v>
      </c>
    </row>
    <row r="339" spans="1:15" x14ac:dyDescent="0.2">
      <c r="A339" s="17" t="s">
        <v>1341</v>
      </c>
      <c r="B339" s="17" t="s">
        <v>1342</v>
      </c>
      <c r="C339" s="17">
        <v>15</v>
      </c>
      <c r="E339" s="1">
        <v>2150</v>
      </c>
      <c r="F339" s="1">
        <v>2440</v>
      </c>
      <c r="G339" s="1">
        <v>52</v>
      </c>
      <c r="L339" s="17" t="s">
        <v>1013</v>
      </c>
      <c r="M339" s="17" t="s">
        <v>1014</v>
      </c>
      <c r="N339" s="17">
        <v>16</v>
      </c>
      <c r="O339" s="15" t="s">
        <v>31</v>
      </c>
    </row>
    <row r="340" spans="1:15" x14ac:dyDescent="0.2">
      <c r="A340" s="17" t="s">
        <v>1343</v>
      </c>
      <c r="B340" s="17" t="s">
        <v>1344</v>
      </c>
      <c r="C340" s="17">
        <v>15</v>
      </c>
      <c r="E340" s="1">
        <v>2150</v>
      </c>
      <c r="F340" s="1">
        <v>2440</v>
      </c>
      <c r="G340" s="1">
        <v>117</v>
      </c>
      <c r="L340" s="17" t="s">
        <v>1345</v>
      </c>
      <c r="M340" s="17" t="s">
        <v>1346</v>
      </c>
      <c r="N340" s="17">
        <v>19</v>
      </c>
      <c r="O340" s="15" t="s">
        <v>31</v>
      </c>
    </row>
    <row r="341" spans="1:15" x14ac:dyDescent="0.2">
      <c r="A341" s="17" t="s">
        <v>1347</v>
      </c>
      <c r="B341" s="17" t="s">
        <v>1348</v>
      </c>
      <c r="C341" s="17">
        <v>18</v>
      </c>
      <c r="E341" s="1">
        <v>2150</v>
      </c>
      <c r="F341" s="1">
        <v>2440</v>
      </c>
      <c r="G341" s="1">
        <v>61</v>
      </c>
      <c r="L341" s="17" t="s">
        <v>1349</v>
      </c>
      <c r="M341" s="17" t="s">
        <v>1350</v>
      </c>
      <c r="N341" s="17">
        <v>22</v>
      </c>
      <c r="O341" s="15" t="s">
        <v>31</v>
      </c>
    </row>
    <row r="342" spans="1:15" x14ac:dyDescent="0.2">
      <c r="A342" s="17" t="s">
        <v>1351</v>
      </c>
      <c r="B342" s="17" t="s">
        <v>1352</v>
      </c>
      <c r="C342" s="17">
        <v>15</v>
      </c>
      <c r="E342" s="1">
        <v>2150</v>
      </c>
      <c r="F342" s="1">
        <v>2440</v>
      </c>
      <c r="G342" s="1">
        <v>53</v>
      </c>
      <c r="L342" s="17" t="s">
        <v>1353</v>
      </c>
      <c r="M342" s="17" t="s">
        <v>1354</v>
      </c>
      <c r="N342" s="17">
        <v>44</v>
      </c>
      <c r="O342" s="15" t="s">
        <v>31</v>
      </c>
    </row>
    <row r="343" spans="1:15" x14ac:dyDescent="0.2">
      <c r="A343" s="17" t="s">
        <v>1355</v>
      </c>
      <c r="B343" s="17" t="s">
        <v>1356</v>
      </c>
      <c r="C343" s="17">
        <v>15</v>
      </c>
      <c r="E343" s="1">
        <v>1830</v>
      </c>
      <c r="F343" s="1">
        <v>2440</v>
      </c>
      <c r="G343" s="1">
        <v>41</v>
      </c>
      <c r="L343" s="17" t="s">
        <v>1357</v>
      </c>
      <c r="M343" s="17" t="s">
        <v>1358</v>
      </c>
      <c r="N343" s="17">
        <v>19</v>
      </c>
      <c r="O343" s="15" t="s">
        <v>31</v>
      </c>
    </row>
    <row r="344" spans="1:15" x14ac:dyDescent="0.2">
      <c r="A344" s="17" t="s">
        <v>1359</v>
      </c>
      <c r="B344" s="17" t="s">
        <v>1360</v>
      </c>
      <c r="C344" s="17">
        <v>15</v>
      </c>
      <c r="E344" s="1">
        <v>2150</v>
      </c>
      <c r="F344" s="1">
        <v>2440</v>
      </c>
      <c r="G344" s="1">
        <v>53</v>
      </c>
      <c r="L344" s="17" t="s">
        <v>1361</v>
      </c>
      <c r="M344" s="17" t="s">
        <v>1362</v>
      </c>
      <c r="N344" s="17">
        <v>22</v>
      </c>
      <c r="O344" s="15" t="s">
        <v>31</v>
      </c>
    </row>
    <row r="345" spans="1:15" x14ac:dyDescent="0.2">
      <c r="A345" s="17" t="s">
        <v>1363</v>
      </c>
      <c r="B345" s="17" t="s">
        <v>1364</v>
      </c>
      <c r="C345" s="17">
        <v>18</v>
      </c>
      <c r="D345" s="11"/>
      <c r="E345" s="1">
        <v>2150</v>
      </c>
      <c r="F345" s="1">
        <v>2440</v>
      </c>
      <c r="G345" s="1">
        <v>61</v>
      </c>
      <c r="L345" s="17" t="s">
        <v>1365</v>
      </c>
      <c r="M345" s="17" t="s">
        <v>1366</v>
      </c>
      <c r="N345" s="17">
        <v>22</v>
      </c>
      <c r="O345" s="15" t="s">
        <v>31</v>
      </c>
    </row>
    <row r="346" spans="1:15" x14ac:dyDescent="0.2">
      <c r="A346" s="17" t="s">
        <v>1367</v>
      </c>
      <c r="B346" s="17" t="s">
        <v>1368</v>
      </c>
      <c r="C346" s="17">
        <v>16</v>
      </c>
      <c r="D346" s="11"/>
      <c r="E346" s="1">
        <v>2150</v>
      </c>
      <c r="F346" s="1">
        <v>2440</v>
      </c>
      <c r="G346" s="1">
        <v>54</v>
      </c>
      <c r="L346" s="17" t="s">
        <v>1369</v>
      </c>
      <c r="M346" s="17" t="s">
        <v>1366</v>
      </c>
      <c r="N346" s="17">
        <v>22</v>
      </c>
      <c r="O346" s="15" t="s">
        <v>31</v>
      </c>
    </row>
    <row r="347" spans="1:15" x14ac:dyDescent="0.2">
      <c r="A347" s="17" t="s">
        <v>1370</v>
      </c>
      <c r="B347" s="17" t="s">
        <v>1371</v>
      </c>
      <c r="C347" s="17">
        <v>6</v>
      </c>
      <c r="D347" s="11"/>
      <c r="E347" s="1">
        <v>2150</v>
      </c>
      <c r="F347" s="1">
        <v>2440</v>
      </c>
      <c r="G347" s="1">
        <v>23</v>
      </c>
      <c r="L347" s="17" t="s">
        <v>1372</v>
      </c>
      <c r="M347" s="17" t="s">
        <v>1373</v>
      </c>
      <c r="N347" s="17">
        <v>19</v>
      </c>
      <c r="O347" s="15" t="s">
        <v>31</v>
      </c>
    </row>
    <row r="348" spans="1:15" x14ac:dyDescent="0.2">
      <c r="A348" s="17" t="s">
        <v>1374</v>
      </c>
      <c r="B348" s="17" t="s">
        <v>1375</v>
      </c>
      <c r="C348" s="17">
        <v>15</v>
      </c>
      <c r="D348" s="11"/>
      <c r="E348" s="1">
        <v>2150</v>
      </c>
      <c r="F348" s="1">
        <v>2440</v>
      </c>
      <c r="G348" s="1">
        <v>53</v>
      </c>
      <c r="H348" s="11"/>
      <c r="I348" s="11"/>
      <c r="J348" s="11"/>
      <c r="K348" s="11"/>
      <c r="L348" s="17" t="s">
        <v>1372</v>
      </c>
      <c r="M348" s="17" t="s">
        <v>1376</v>
      </c>
      <c r="N348" s="17">
        <v>19</v>
      </c>
      <c r="O348" s="15" t="s">
        <v>31</v>
      </c>
    </row>
    <row r="349" spans="1:15" x14ac:dyDescent="0.2">
      <c r="A349" s="17" t="s">
        <v>1377</v>
      </c>
      <c r="B349" s="17" t="s">
        <v>1378</v>
      </c>
      <c r="C349" s="17">
        <v>18</v>
      </c>
      <c r="D349" s="11"/>
      <c r="E349" s="1">
        <v>2150</v>
      </c>
      <c r="F349" s="1">
        <v>2440</v>
      </c>
      <c r="G349" s="1">
        <v>61</v>
      </c>
      <c r="H349" s="11"/>
      <c r="I349" s="11"/>
      <c r="J349" s="11"/>
      <c r="K349" s="11"/>
      <c r="L349" s="17" t="s">
        <v>1379</v>
      </c>
      <c r="M349" s="17" t="s">
        <v>1380</v>
      </c>
      <c r="N349" s="17">
        <v>22</v>
      </c>
      <c r="O349" s="25"/>
    </row>
    <row r="350" spans="1:15" x14ac:dyDescent="0.2">
      <c r="A350" s="17" t="s">
        <v>1381</v>
      </c>
      <c r="B350" s="17" t="s">
        <v>1382</v>
      </c>
      <c r="C350" s="17">
        <v>36</v>
      </c>
      <c r="D350" s="11"/>
      <c r="E350" s="1">
        <v>2150</v>
      </c>
      <c r="F350" s="1">
        <v>2440</v>
      </c>
      <c r="G350" s="1">
        <v>117</v>
      </c>
      <c r="H350" s="11"/>
      <c r="I350" s="11"/>
      <c r="J350" s="11"/>
      <c r="K350" s="11"/>
      <c r="L350" s="17" t="s">
        <v>1383</v>
      </c>
      <c r="M350" s="17" t="s">
        <v>1384</v>
      </c>
      <c r="N350" s="17">
        <v>29</v>
      </c>
      <c r="O350" s="25"/>
    </row>
    <row r="351" spans="1:15" x14ac:dyDescent="0.2">
      <c r="A351" s="17" t="s">
        <v>1385</v>
      </c>
      <c r="B351" s="17" t="s">
        <v>1386</v>
      </c>
      <c r="C351" s="17">
        <v>36</v>
      </c>
      <c r="D351" s="11"/>
      <c r="E351" s="1">
        <v>2150</v>
      </c>
      <c r="F351" s="1">
        <v>2440</v>
      </c>
      <c r="G351" s="1">
        <v>117</v>
      </c>
      <c r="H351" s="11"/>
      <c r="I351" s="11"/>
      <c r="J351" s="11"/>
      <c r="K351" s="11"/>
      <c r="L351" s="17" t="s">
        <v>1387</v>
      </c>
      <c r="M351" s="17" t="s">
        <v>1388</v>
      </c>
      <c r="N351" s="17">
        <v>19</v>
      </c>
      <c r="O351" s="15" t="s">
        <v>31</v>
      </c>
    </row>
    <row r="352" spans="1:15" x14ac:dyDescent="0.2">
      <c r="A352" s="17" t="s">
        <v>1389</v>
      </c>
      <c r="B352" s="17" t="s">
        <v>1390</v>
      </c>
      <c r="C352" s="17">
        <v>25</v>
      </c>
      <c r="D352" s="11"/>
      <c r="E352" s="1">
        <v>2150</v>
      </c>
      <c r="F352" s="1">
        <v>2440</v>
      </c>
      <c r="G352" s="1">
        <v>83</v>
      </c>
      <c r="H352" s="11"/>
      <c r="I352" s="11"/>
      <c r="J352" s="11"/>
      <c r="K352" s="11"/>
      <c r="L352" s="17" t="s">
        <v>1391</v>
      </c>
      <c r="M352" s="17" t="s">
        <v>1392</v>
      </c>
      <c r="N352" s="17">
        <v>22</v>
      </c>
      <c r="O352" s="15" t="s">
        <v>31</v>
      </c>
    </row>
    <row r="353" spans="1:15" x14ac:dyDescent="0.2">
      <c r="A353" s="17" t="s">
        <v>1393</v>
      </c>
      <c r="B353" s="17" t="s">
        <v>1394</v>
      </c>
      <c r="C353" s="17">
        <v>36</v>
      </c>
      <c r="D353" s="11"/>
      <c r="E353" s="1">
        <v>2150</v>
      </c>
      <c r="F353" s="1">
        <v>2440</v>
      </c>
      <c r="G353" s="1">
        <v>117</v>
      </c>
      <c r="H353" s="11"/>
      <c r="I353" s="11"/>
      <c r="J353" s="11"/>
      <c r="K353" s="11"/>
      <c r="L353" s="17" t="s">
        <v>1395</v>
      </c>
      <c r="M353" s="17" t="s">
        <v>1396</v>
      </c>
      <c r="N353" s="17">
        <v>44</v>
      </c>
      <c r="O353" s="15" t="s">
        <v>31</v>
      </c>
    </row>
    <row r="354" spans="1:15" x14ac:dyDescent="0.2">
      <c r="A354" s="17" t="s">
        <v>1397</v>
      </c>
      <c r="B354" s="17" t="s">
        <v>1398</v>
      </c>
      <c r="C354" s="17">
        <v>9</v>
      </c>
      <c r="D354" s="11"/>
      <c r="E354" s="1">
        <v>2150</v>
      </c>
      <c r="F354" s="1">
        <v>2440</v>
      </c>
      <c r="G354" s="1">
        <v>33</v>
      </c>
      <c r="H354" s="11"/>
      <c r="I354" s="11"/>
      <c r="J354" s="11"/>
      <c r="K354" s="11"/>
      <c r="L354" s="17" t="s">
        <v>1399</v>
      </c>
      <c r="M354" s="17" t="s">
        <v>1400</v>
      </c>
      <c r="N354" s="17">
        <v>33</v>
      </c>
      <c r="O354" s="15" t="s">
        <v>31</v>
      </c>
    </row>
    <row r="355" spans="1:15" x14ac:dyDescent="0.2">
      <c r="A355" s="17" t="s">
        <v>1401</v>
      </c>
      <c r="B355" s="17" t="s">
        <v>1402</v>
      </c>
      <c r="C355" s="17">
        <v>18</v>
      </c>
      <c r="D355" s="11"/>
      <c r="E355" s="1">
        <v>1830</v>
      </c>
      <c r="F355" s="1">
        <v>2440</v>
      </c>
      <c r="G355" s="1">
        <v>50</v>
      </c>
      <c r="H355" s="11"/>
      <c r="I355" s="11"/>
      <c r="J355" s="11"/>
      <c r="K355" s="11"/>
      <c r="L355" s="17" t="s">
        <v>1403</v>
      </c>
      <c r="M355" s="17" t="s">
        <v>1404</v>
      </c>
      <c r="N355" s="17">
        <v>19</v>
      </c>
      <c r="O355" s="15" t="s">
        <v>31</v>
      </c>
    </row>
    <row r="356" spans="1:15" x14ac:dyDescent="0.2">
      <c r="A356" s="17" t="s">
        <v>1405</v>
      </c>
      <c r="B356" s="17" t="s">
        <v>1406</v>
      </c>
      <c r="C356" s="17">
        <v>6</v>
      </c>
      <c r="D356" s="11"/>
      <c r="E356" s="1">
        <v>2150</v>
      </c>
      <c r="F356" s="1">
        <v>2440</v>
      </c>
      <c r="G356" s="1">
        <v>23</v>
      </c>
      <c r="H356" s="11"/>
      <c r="I356" s="11"/>
      <c r="J356" s="11"/>
      <c r="K356" s="11"/>
      <c r="L356" s="17" t="s">
        <v>1407</v>
      </c>
      <c r="M356" s="17" t="s">
        <v>1404</v>
      </c>
      <c r="N356" s="17">
        <v>43</v>
      </c>
      <c r="O356" s="15" t="s">
        <v>31</v>
      </c>
    </row>
    <row r="357" spans="1:15" x14ac:dyDescent="0.2">
      <c r="A357" s="17" t="s">
        <v>1408</v>
      </c>
      <c r="B357" s="17" t="s">
        <v>1409</v>
      </c>
      <c r="C357" s="17">
        <v>15</v>
      </c>
      <c r="D357" s="11"/>
      <c r="E357" s="1">
        <v>2150</v>
      </c>
      <c r="F357" s="1">
        <v>2440</v>
      </c>
      <c r="G357" s="1">
        <v>53</v>
      </c>
      <c r="H357" s="11"/>
      <c r="I357" s="11"/>
      <c r="J357" s="11"/>
      <c r="K357" s="11"/>
      <c r="L357" s="17" t="s">
        <v>1410</v>
      </c>
      <c r="M357" s="17" t="s">
        <v>253</v>
      </c>
      <c r="N357" s="17">
        <v>19</v>
      </c>
      <c r="O357" s="15" t="s">
        <v>31</v>
      </c>
    </row>
    <row r="358" spans="1:15" x14ac:dyDescent="0.2">
      <c r="A358" s="17" t="s">
        <v>1411</v>
      </c>
      <c r="B358" s="17" t="s">
        <v>1412</v>
      </c>
      <c r="C358" s="17">
        <v>15</v>
      </c>
      <c r="D358" s="11"/>
      <c r="E358" s="1">
        <v>2150</v>
      </c>
      <c r="F358" s="1">
        <v>2440</v>
      </c>
      <c r="G358" s="1">
        <v>53</v>
      </c>
      <c r="H358" s="11"/>
      <c r="I358" s="11"/>
      <c r="J358" s="11"/>
      <c r="K358" s="11"/>
      <c r="L358" s="17" t="s">
        <v>1413</v>
      </c>
      <c r="M358" s="17" t="s">
        <v>1414</v>
      </c>
      <c r="N358" s="17">
        <v>22</v>
      </c>
      <c r="O358" s="15" t="s">
        <v>31</v>
      </c>
    </row>
    <row r="359" spans="1:15" x14ac:dyDescent="0.2">
      <c r="A359" s="17" t="s">
        <v>1415</v>
      </c>
      <c r="B359" s="17" t="s">
        <v>1416</v>
      </c>
      <c r="C359" s="17">
        <v>15</v>
      </c>
      <c r="D359" s="11"/>
      <c r="E359" s="1">
        <v>2150</v>
      </c>
      <c r="F359" s="1">
        <v>2440</v>
      </c>
      <c r="G359" s="1">
        <v>53</v>
      </c>
      <c r="H359" s="11"/>
      <c r="I359" s="11"/>
      <c r="J359" s="11"/>
      <c r="K359" s="11"/>
      <c r="L359" s="17" t="s">
        <v>1417</v>
      </c>
      <c r="M359" s="17" t="s">
        <v>1418</v>
      </c>
      <c r="N359" s="17">
        <v>44</v>
      </c>
      <c r="O359" s="15" t="s">
        <v>31</v>
      </c>
    </row>
    <row r="360" spans="1:15" x14ac:dyDescent="0.2">
      <c r="A360" s="17" t="s">
        <v>1419</v>
      </c>
      <c r="B360" s="17" t="s">
        <v>1420</v>
      </c>
      <c r="C360" s="17">
        <v>25</v>
      </c>
      <c r="D360" s="11"/>
      <c r="E360" s="1">
        <v>2150</v>
      </c>
      <c r="F360" s="1">
        <v>2440</v>
      </c>
      <c r="G360" s="1">
        <v>83</v>
      </c>
      <c r="H360" s="11"/>
      <c r="I360" s="11"/>
      <c r="J360" s="11"/>
      <c r="K360" s="11"/>
      <c r="L360" s="17" t="s">
        <v>1421</v>
      </c>
      <c r="M360" s="17" t="s">
        <v>1422</v>
      </c>
      <c r="N360" s="17">
        <v>41</v>
      </c>
      <c r="O360" s="15" t="s">
        <v>22</v>
      </c>
    </row>
    <row r="361" spans="1:15" x14ac:dyDescent="0.2">
      <c r="A361" s="17" t="s">
        <v>1423</v>
      </c>
      <c r="B361" s="17" t="s">
        <v>1424</v>
      </c>
      <c r="C361" s="17">
        <v>6</v>
      </c>
      <c r="D361" s="11"/>
      <c r="E361" s="1">
        <v>2150</v>
      </c>
      <c r="F361" s="1">
        <v>2440</v>
      </c>
      <c r="G361" s="1">
        <v>23</v>
      </c>
      <c r="H361" s="11"/>
      <c r="I361" s="11"/>
      <c r="J361" s="11"/>
      <c r="K361" s="11"/>
      <c r="L361" s="17" t="s">
        <v>1425</v>
      </c>
      <c r="M361" s="17" t="s">
        <v>1426</v>
      </c>
      <c r="N361" s="17">
        <v>41</v>
      </c>
      <c r="O361" s="15" t="s">
        <v>22</v>
      </c>
    </row>
    <row r="362" spans="1:15" x14ac:dyDescent="0.2">
      <c r="A362" s="17" t="s">
        <v>1427</v>
      </c>
      <c r="B362" s="17" t="s">
        <v>1428</v>
      </c>
      <c r="C362" s="17">
        <v>15</v>
      </c>
      <c r="D362" s="11"/>
      <c r="E362" s="1">
        <v>2150</v>
      </c>
      <c r="F362" s="1">
        <v>2440</v>
      </c>
      <c r="G362" s="1">
        <v>53</v>
      </c>
      <c r="H362" s="11"/>
      <c r="I362" s="11"/>
      <c r="J362" s="11"/>
      <c r="K362" s="11"/>
      <c r="L362" s="17" t="s">
        <v>1429</v>
      </c>
      <c r="M362" s="17" t="s">
        <v>1430</v>
      </c>
      <c r="N362" s="17">
        <v>19</v>
      </c>
      <c r="O362" s="15" t="s">
        <v>31</v>
      </c>
    </row>
    <row r="363" spans="1:15" x14ac:dyDescent="0.2">
      <c r="A363" s="17" t="s">
        <v>1431</v>
      </c>
      <c r="B363" s="17" t="s">
        <v>1432</v>
      </c>
      <c r="C363" s="17">
        <v>18</v>
      </c>
      <c r="D363" s="11"/>
      <c r="E363" s="1">
        <v>2150</v>
      </c>
      <c r="F363" s="1">
        <v>2440</v>
      </c>
      <c r="G363" s="1">
        <v>61</v>
      </c>
      <c r="H363" s="11"/>
      <c r="I363" s="11"/>
      <c r="J363" s="11"/>
      <c r="K363" s="11"/>
      <c r="L363" s="17" t="s">
        <v>1433</v>
      </c>
      <c r="M363" s="17" t="s">
        <v>1434</v>
      </c>
      <c r="N363" s="17">
        <v>22</v>
      </c>
      <c r="O363" s="15" t="s">
        <v>31</v>
      </c>
    </row>
    <row r="364" spans="1:15" x14ac:dyDescent="0.2">
      <c r="A364" s="17" t="s">
        <v>1435</v>
      </c>
      <c r="B364" s="17" t="s">
        <v>1436</v>
      </c>
      <c r="C364" s="17">
        <v>9</v>
      </c>
      <c r="D364" s="11"/>
      <c r="E364" s="1">
        <v>2150</v>
      </c>
      <c r="F364" s="1">
        <v>2440</v>
      </c>
      <c r="G364" s="1">
        <v>117</v>
      </c>
      <c r="H364" s="11"/>
      <c r="I364" s="11"/>
      <c r="J364" s="11"/>
      <c r="K364" s="11"/>
      <c r="L364" s="17" t="s">
        <v>1437</v>
      </c>
      <c r="M364" s="17" t="s">
        <v>1438</v>
      </c>
      <c r="N364" s="17">
        <v>19</v>
      </c>
      <c r="O364" s="15" t="s">
        <v>31</v>
      </c>
    </row>
    <row r="365" spans="1:15" x14ac:dyDescent="0.2">
      <c r="A365" s="17" t="s">
        <v>1439</v>
      </c>
      <c r="B365" s="17" t="s">
        <v>1440</v>
      </c>
      <c r="C365" s="17">
        <v>12</v>
      </c>
      <c r="D365" s="11"/>
      <c r="E365" s="1">
        <v>2150</v>
      </c>
      <c r="F365" s="1">
        <v>2440</v>
      </c>
      <c r="G365" s="1">
        <v>45</v>
      </c>
      <c r="H365" s="11"/>
      <c r="I365" s="11"/>
      <c r="J365" s="11"/>
      <c r="K365" s="11"/>
      <c r="L365" s="17" t="s">
        <v>1441</v>
      </c>
      <c r="M365" s="17" t="s">
        <v>1442</v>
      </c>
      <c r="N365" s="17">
        <v>22</v>
      </c>
      <c r="O365" s="15" t="s">
        <v>31</v>
      </c>
    </row>
    <row r="366" spans="1:15" x14ac:dyDescent="0.2">
      <c r="A366" s="17" t="s">
        <v>1443</v>
      </c>
      <c r="B366" s="17" t="s">
        <v>1444</v>
      </c>
      <c r="C366" s="17">
        <v>15</v>
      </c>
      <c r="D366" s="11"/>
      <c r="E366" s="1">
        <v>2150</v>
      </c>
      <c r="F366" s="1">
        <v>2440</v>
      </c>
      <c r="G366" s="1">
        <v>53</v>
      </c>
      <c r="H366" s="11"/>
      <c r="I366" s="11"/>
      <c r="J366" s="11"/>
      <c r="K366" s="11"/>
      <c r="L366" s="17" t="s">
        <v>1445</v>
      </c>
      <c r="M366" s="17" t="s">
        <v>1446</v>
      </c>
      <c r="N366" s="17">
        <v>29</v>
      </c>
      <c r="O366" s="15" t="s">
        <v>31</v>
      </c>
    </row>
    <row r="367" spans="1:15" x14ac:dyDescent="0.2">
      <c r="A367" s="17" t="s">
        <v>1447</v>
      </c>
      <c r="B367" s="17" t="s">
        <v>1448</v>
      </c>
      <c r="C367" s="17">
        <v>6</v>
      </c>
      <c r="D367" s="11"/>
      <c r="E367" s="1">
        <v>2150</v>
      </c>
      <c r="F367" s="1">
        <v>2440</v>
      </c>
      <c r="G367" s="1">
        <v>23</v>
      </c>
      <c r="H367" s="11"/>
      <c r="I367" s="11"/>
      <c r="J367" s="11"/>
      <c r="K367" s="11"/>
      <c r="L367" s="17" t="s">
        <v>1413</v>
      </c>
      <c r="M367" s="17" t="s">
        <v>1414</v>
      </c>
      <c r="N367" s="17">
        <v>22</v>
      </c>
      <c r="O367" s="15" t="s">
        <v>31</v>
      </c>
    </row>
    <row r="368" spans="1:15" x14ac:dyDescent="0.2">
      <c r="A368" s="17" t="s">
        <v>1449</v>
      </c>
      <c r="B368" s="17" t="s">
        <v>1450</v>
      </c>
      <c r="C368" s="17">
        <v>15</v>
      </c>
      <c r="D368" s="11"/>
      <c r="E368" s="1">
        <v>2150</v>
      </c>
      <c r="F368" s="1">
        <v>2440</v>
      </c>
      <c r="G368" s="1">
        <v>53</v>
      </c>
      <c r="H368" s="11"/>
      <c r="I368" s="11"/>
      <c r="J368" s="11"/>
      <c r="K368" s="11"/>
      <c r="L368" s="17" t="s">
        <v>1417</v>
      </c>
      <c r="M368" s="17" t="s">
        <v>1418</v>
      </c>
      <c r="N368" s="17">
        <v>44</v>
      </c>
      <c r="O368" s="15" t="s">
        <v>31</v>
      </c>
    </row>
    <row r="369" spans="1:15" x14ac:dyDescent="0.2">
      <c r="A369" s="17" t="s">
        <v>1451</v>
      </c>
      <c r="B369" s="17" t="s">
        <v>1452</v>
      </c>
      <c r="C369" s="17">
        <v>18</v>
      </c>
      <c r="D369" s="11"/>
      <c r="E369" s="1">
        <v>2150</v>
      </c>
      <c r="F369" s="1">
        <v>2440</v>
      </c>
      <c r="G369" s="1">
        <v>61</v>
      </c>
      <c r="H369" s="11"/>
      <c r="I369" s="11"/>
      <c r="J369" s="11"/>
      <c r="K369" s="11"/>
      <c r="L369" s="17" t="s">
        <v>1453</v>
      </c>
      <c r="M369" s="17" t="s">
        <v>1454</v>
      </c>
      <c r="N369" s="17">
        <v>44</v>
      </c>
      <c r="O369" s="15" t="s">
        <v>22</v>
      </c>
    </row>
    <row r="370" spans="1:15" x14ac:dyDescent="0.2">
      <c r="A370" s="17" t="s">
        <v>1455</v>
      </c>
      <c r="B370" s="17" t="s">
        <v>1456</v>
      </c>
      <c r="C370" s="17">
        <v>9</v>
      </c>
      <c r="D370" s="11"/>
      <c r="E370" s="1">
        <v>2150</v>
      </c>
      <c r="F370" s="1">
        <v>2440</v>
      </c>
      <c r="G370" s="1">
        <v>33</v>
      </c>
      <c r="H370" s="11"/>
      <c r="I370" s="11"/>
      <c r="J370" s="11"/>
      <c r="K370" s="11"/>
      <c r="L370" s="17" t="s">
        <v>1457</v>
      </c>
      <c r="M370" s="17" t="s">
        <v>1458</v>
      </c>
      <c r="N370" s="17">
        <v>19</v>
      </c>
      <c r="O370" s="15" t="s">
        <v>22</v>
      </c>
    </row>
    <row r="371" spans="1:15" x14ac:dyDescent="0.2">
      <c r="A371" s="17" t="s">
        <v>1459</v>
      </c>
      <c r="B371" s="17" t="s">
        <v>1460</v>
      </c>
      <c r="C371" s="17">
        <v>15</v>
      </c>
      <c r="D371" s="11"/>
      <c r="E371" s="1">
        <v>2150</v>
      </c>
      <c r="F371" s="1">
        <v>2440</v>
      </c>
      <c r="G371" s="1">
        <v>53</v>
      </c>
      <c r="H371" s="11"/>
      <c r="I371" s="11"/>
      <c r="J371" s="11"/>
      <c r="K371" s="11"/>
      <c r="L371" s="17" t="s">
        <v>1461</v>
      </c>
      <c r="M371" s="17" t="s">
        <v>1462</v>
      </c>
      <c r="N371" s="17">
        <v>19</v>
      </c>
      <c r="O371" s="15" t="s">
        <v>31</v>
      </c>
    </row>
    <row r="372" spans="1:15" x14ac:dyDescent="0.2">
      <c r="A372" s="17" t="s">
        <v>1463</v>
      </c>
      <c r="B372" s="17" t="s">
        <v>1464</v>
      </c>
      <c r="C372" s="17">
        <v>6</v>
      </c>
      <c r="D372" s="11"/>
      <c r="E372" s="1">
        <v>2150</v>
      </c>
      <c r="F372" s="1">
        <v>2440</v>
      </c>
      <c r="G372" s="1">
        <v>23</v>
      </c>
      <c r="H372" s="11"/>
      <c r="I372" s="11"/>
      <c r="J372" s="11"/>
      <c r="K372" s="11"/>
      <c r="L372" s="17" t="s">
        <v>1429</v>
      </c>
      <c r="M372" s="17" t="s">
        <v>1430</v>
      </c>
      <c r="N372" s="17">
        <v>19</v>
      </c>
      <c r="O372" s="15" t="s">
        <v>31</v>
      </c>
    </row>
    <row r="373" spans="1:15" x14ac:dyDescent="0.2">
      <c r="A373" s="17" t="s">
        <v>1465</v>
      </c>
      <c r="B373" s="17" t="s">
        <v>1466</v>
      </c>
      <c r="C373" s="17">
        <v>15</v>
      </c>
      <c r="D373" s="11"/>
      <c r="E373" s="1">
        <v>2150</v>
      </c>
      <c r="F373" s="1">
        <v>2440</v>
      </c>
      <c r="G373" s="1">
        <v>53</v>
      </c>
      <c r="H373" s="11"/>
      <c r="I373" s="11"/>
      <c r="J373" s="11"/>
      <c r="K373" s="11"/>
      <c r="L373" s="17" t="s">
        <v>1433</v>
      </c>
      <c r="M373" s="17" t="s">
        <v>1434</v>
      </c>
      <c r="N373" s="17">
        <v>22</v>
      </c>
      <c r="O373" s="15" t="s">
        <v>31</v>
      </c>
    </row>
    <row r="374" spans="1:15" x14ac:dyDescent="0.2">
      <c r="A374" s="17" t="s">
        <v>1467</v>
      </c>
      <c r="B374" s="17" t="s">
        <v>1468</v>
      </c>
      <c r="C374" s="17">
        <v>18</v>
      </c>
      <c r="D374" s="11"/>
      <c r="E374" s="1">
        <v>2150</v>
      </c>
      <c r="F374" s="1">
        <v>2440</v>
      </c>
      <c r="G374" s="1">
        <v>61</v>
      </c>
      <c r="H374" s="11"/>
      <c r="I374" s="11"/>
      <c r="J374" s="11"/>
      <c r="K374" s="11"/>
      <c r="L374" s="17" t="s">
        <v>1437</v>
      </c>
      <c r="M374" s="17" t="s">
        <v>1438</v>
      </c>
      <c r="N374" s="17">
        <v>19</v>
      </c>
      <c r="O374" s="15" t="s">
        <v>31</v>
      </c>
    </row>
    <row r="375" spans="1:15" x14ac:dyDescent="0.2">
      <c r="A375" s="17" t="s">
        <v>1469</v>
      </c>
      <c r="B375" s="17" t="s">
        <v>1470</v>
      </c>
      <c r="C375" s="17">
        <v>18</v>
      </c>
      <c r="D375" s="11"/>
      <c r="E375" s="1">
        <v>2150</v>
      </c>
      <c r="F375" s="1">
        <v>2440</v>
      </c>
      <c r="G375" s="1">
        <v>61</v>
      </c>
      <c r="H375" s="11"/>
      <c r="I375" s="11"/>
      <c r="J375" s="11"/>
      <c r="K375" s="11"/>
      <c r="L375" s="17" t="s">
        <v>1441</v>
      </c>
      <c r="M375" s="17" t="s">
        <v>1442</v>
      </c>
      <c r="N375" s="17">
        <v>22</v>
      </c>
      <c r="O375" s="15" t="s">
        <v>31</v>
      </c>
    </row>
    <row r="376" spans="1:15" x14ac:dyDescent="0.2">
      <c r="A376" s="17" t="s">
        <v>1471</v>
      </c>
      <c r="B376" s="17" t="s">
        <v>1472</v>
      </c>
      <c r="C376" s="17">
        <v>36</v>
      </c>
      <c r="D376" s="23"/>
      <c r="E376" s="1">
        <v>2150</v>
      </c>
      <c r="F376" s="1">
        <v>2440</v>
      </c>
      <c r="G376" s="1">
        <v>117</v>
      </c>
      <c r="H376" s="11"/>
      <c r="I376" s="11"/>
      <c r="J376" s="11"/>
      <c r="K376" s="11"/>
      <c r="L376" s="17" t="s">
        <v>1445</v>
      </c>
      <c r="M376" s="17" t="s">
        <v>1446</v>
      </c>
      <c r="N376" s="17">
        <v>29</v>
      </c>
      <c r="O376" s="15" t="s">
        <v>31</v>
      </c>
    </row>
    <row r="377" spans="1:15" x14ac:dyDescent="0.2">
      <c r="A377" s="17" t="s">
        <v>1473</v>
      </c>
      <c r="B377" s="17" t="s">
        <v>1474</v>
      </c>
      <c r="C377" s="17">
        <v>6</v>
      </c>
      <c r="D377" s="23"/>
      <c r="E377" s="1">
        <v>2150</v>
      </c>
      <c r="F377" s="1">
        <v>2440</v>
      </c>
      <c r="G377" s="1">
        <v>23</v>
      </c>
      <c r="H377" s="11"/>
      <c r="I377" s="11"/>
      <c r="J377" s="11"/>
      <c r="K377" s="11"/>
      <c r="L377" s="17" t="s">
        <v>1475</v>
      </c>
      <c r="M377" s="17" t="s">
        <v>1476</v>
      </c>
      <c r="N377" s="17">
        <v>33</v>
      </c>
      <c r="O377" s="15" t="s">
        <v>31</v>
      </c>
    </row>
    <row r="378" spans="1:15" x14ac:dyDescent="0.2">
      <c r="A378" s="17" t="s">
        <v>1477</v>
      </c>
      <c r="B378" s="17" t="s">
        <v>1478</v>
      </c>
      <c r="C378" s="17">
        <v>36</v>
      </c>
      <c r="D378" s="23"/>
      <c r="E378" s="1">
        <v>2150</v>
      </c>
      <c r="F378" s="1">
        <v>2440</v>
      </c>
      <c r="G378" s="1">
        <v>117</v>
      </c>
      <c r="H378" s="11"/>
      <c r="I378" s="11"/>
      <c r="J378" s="11"/>
      <c r="K378" s="11"/>
      <c r="L378" s="17" t="s">
        <v>1479</v>
      </c>
      <c r="M378" s="17" t="s">
        <v>1480</v>
      </c>
      <c r="N378" s="17">
        <v>22</v>
      </c>
      <c r="O378" s="15" t="s">
        <v>31</v>
      </c>
    </row>
    <row r="379" spans="1:15" x14ac:dyDescent="0.2">
      <c r="A379" s="17" t="s">
        <v>1481</v>
      </c>
      <c r="B379" s="17" t="s">
        <v>1482</v>
      </c>
      <c r="C379" s="17">
        <v>15</v>
      </c>
      <c r="D379" s="1"/>
      <c r="E379" s="1">
        <v>2150</v>
      </c>
      <c r="F379" s="1">
        <v>2440</v>
      </c>
      <c r="G379" s="1">
        <v>117</v>
      </c>
      <c r="H379" s="23"/>
      <c r="I379" s="23"/>
      <c r="J379" s="23"/>
      <c r="K379" s="23"/>
      <c r="L379" s="17" t="s">
        <v>1479</v>
      </c>
      <c r="M379" s="17" t="s">
        <v>1483</v>
      </c>
      <c r="N379" s="17">
        <v>22</v>
      </c>
      <c r="O379" s="15" t="s">
        <v>31</v>
      </c>
    </row>
    <row r="380" spans="1:15" x14ac:dyDescent="0.2">
      <c r="A380" s="17" t="s">
        <v>1484</v>
      </c>
      <c r="B380" s="17" t="s">
        <v>1485</v>
      </c>
      <c r="C380" s="17">
        <v>15</v>
      </c>
      <c r="D380" s="1"/>
      <c r="E380" s="1">
        <v>2150</v>
      </c>
      <c r="F380" s="1">
        <v>2440</v>
      </c>
      <c r="G380" s="1">
        <v>53</v>
      </c>
      <c r="H380" s="23"/>
      <c r="I380" s="23"/>
      <c r="J380" s="23"/>
      <c r="K380" s="23"/>
      <c r="L380" s="17" t="s">
        <v>1486</v>
      </c>
      <c r="M380" s="17" t="s">
        <v>1487</v>
      </c>
      <c r="N380" s="17">
        <v>19</v>
      </c>
      <c r="O380" s="15" t="s">
        <v>31</v>
      </c>
    </row>
    <row r="381" spans="1:15" x14ac:dyDescent="0.2">
      <c r="A381" s="17" t="s">
        <v>1488</v>
      </c>
      <c r="B381" s="17" t="s">
        <v>1489</v>
      </c>
      <c r="C381" s="17">
        <v>18</v>
      </c>
      <c r="D381" s="1"/>
      <c r="E381" s="1">
        <v>2150</v>
      </c>
      <c r="F381" s="1">
        <v>2440</v>
      </c>
      <c r="G381" s="1">
        <v>61</v>
      </c>
      <c r="H381" s="23"/>
      <c r="I381" s="23"/>
      <c r="J381" s="23"/>
      <c r="K381" s="23"/>
      <c r="L381" s="17" t="s">
        <v>1490</v>
      </c>
      <c r="M381" s="17" t="s">
        <v>1491</v>
      </c>
      <c r="N381" s="17">
        <v>22</v>
      </c>
      <c r="O381" s="15" t="s">
        <v>31</v>
      </c>
    </row>
    <row r="382" spans="1:15" x14ac:dyDescent="0.2">
      <c r="A382" s="17" t="s">
        <v>1492</v>
      </c>
      <c r="B382" s="17" t="s">
        <v>1493</v>
      </c>
      <c r="C382" s="17">
        <v>6</v>
      </c>
      <c r="D382" s="1"/>
      <c r="E382" s="1">
        <v>2150</v>
      </c>
      <c r="F382" s="1">
        <v>2440</v>
      </c>
      <c r="G382" s="1">
        <v>23</v>
      </c>
      <c r="H382" s="1"/>
      <c r="I382" s="1"/>
      <c r="J382" s="1"/>
      <c r="K382" s="1"/>
      <c r="L382" s="17" t="s">
        <v>1494</v>
      </c>
      <c r="M382" s="17" t="s">
        <v>1495</v>
      </c>
      <c r="N382" s="17">
        <v>44</v>
      </c>
      <c r="O382" s="15" t="s">
        <v>31</v>
      </c>
    </row>
    <row r="383" spans="1:15" x14ac:dyDescent="0.2">
      <c r="A383" s="17" t="s">
        <v>1496</v>
      </c>
      <c r="B383" s="17" t="s">
        <v>1497</v>
      </c>
      <c r="C383" s="17">
        <v>15</v>
      </c>
      <c r="D383" s="1"/>
      <c r="E383" s="1">
        <v>2150</v>
      </c>
      <c r="F383" s="1">
        <v>2440</v>
      </c>
      <c r="G383" s="1">
        <v>53</v>
      </c>
      <c r="H383" s="1"/>
      <c r="I383" s="1"/>
      <c r="J383" s="1"/>
      <c r="K383" s="1"/>
      <c r="L383" s="17" t="s">
        <v>1498</v>
      </c>
      <c r="M383" s="17" t="s">
        <v>1499</v>
      </c>
      <c r="N383" s="17">
        <v>19</v>
      </c>
      <c r="O383" s="15" t="s">
        <v>31</v>
      </c>
    </row>
    <row r="384" spans="1:15" x14ac:dyDescent="0.2">
      <c r="A384" s="17" t="s">
        <v>1500</v>
      </c>
      <c r="B384" s="17" t="s">
        <v>1501</v>
      </c>
      <c r="C384" s="17">
        <v>18</v>
      </c>
      <c r="D384" s="1"/>
      <c r="E384" s="1">
        <v>2150</v>
      </c>
      <c r="F384" s="1">
        <v>2440</v>
      </c>
      <c r="G384" s="1">
        <v>61</v>
      </c>
      <c r="H384" s="1"/>
      <c r="I384" s="1"/>
      <c r="J384" s="1"/>
      <c r="K384" s="1"/>
      <c r="L384" s="17" t="s">
        <v>1498</v>
      </c>
      <c r="M384" s="17" t="s">
        <v>1502</v>
      </c>
      <c r="N384" s="17">
        <v>19</v>
      </c>
      <c r="O384" s="15" t="s">
        <v>31</v>
      </c>
    </row>
    <row r="385" spans="1:15" x14ac:dyDescent="0.2">
      <c r="A385" s="17" t="s">
        <v>1503</v>
      </c>
      <c r="B385" s="17" t="s">
        <v>1504</v>
      </c>
      <c r="C385" s="17">
        <v>36</v>
      </c>
      <c r="D385" s="1"/>
      <c r="E385" s="1">
        <v>2150</v>
      </c>
      <c r="F385" s="1">
        <v>2440</v>
      </c>
      <c r="G385" s="1">
        <v>117</v>
      </c>
      <c r="H385" s="1"/>
      <c r="I385" s="1"/>
      <c r="J385" s="1"/>
      <c r="K385" s="1"/>
      <c r="L385" s="17" t="s">
        <v>1505</v>
      </c>
      <c r="M385" s="17" t="s">
        <v>1506</v>
      </c>
      <c r="N385" s="17">
        <v>22</v>
      </c>
      <c r="O385" s="15" t="s">
        <v>31</v>
      </c>
    </row>
    <row r="386" spans="1:15" x14ac:dyDescent="0.2">
      <c r="A386" s="17" t="s">
        <v>1507</v>
      </c>
      <c r="B386" s="17" t="s">
        <v>1508</v>
      </c>
      <c r="C386" s="17">
        <v>9</v>
      </c>
      <c r="D386" s="1"/>
      <c r="E386" s="1">
        <v>2150</v>
      </c>
      <c r="F386" s="1">
        <v>2440</v>
      </c>
      <c r="G386" s="1">
        <v>33</v>
      </c>
      <c r="H386" s="1"/>
      <c r="I386" s="1"/>
      <c r="J386" s="1"/>
      <c r="K386" s="1"/>
      <c r="L386" s="17" t="s">
        <v>1509</v>
      </c>
      <c r="M386" s="17" t="s">
        <v>1510</v>
      </c>
      <c r="N386" s="17">
        <v>33</v>
      </c>
      <c r="O386" s="15" t="s">
        <v>31</v>
      </c>
    </row>
    <row r="387" spans="1:15" x14ac:dyDescent="0.2">
      <c r="A387" s="17" t="s">
        <v>1511</v>
      </c>
      <c r="B387" s="17" t="s">
        <v>1512</v>
      </c>
      <c r="C387" s="17">
        <v>15</v>
      </c>
      <c r="D387" s="1"/>
      <c r="E387" s="1">
        <v>2150</v>
      </c>
      <c r="F387" s="1">
        <v>2440</v>
      </c>
      <c r="G387" s="1">
        <v>53</v>
      </c>
      <c r="H387" s="1"/>
      <c r="I387" s="1"/>
      <c r="J387" s="1"/>
      <c r="K387" s="1"/>
      <c r="L387" s="17" t="s">
        <v>1513</v>
      </c>
      <c r="M387" s="17" t="s">
        <v>1514</v>
      </c>
      <c r="N387" s="17">
        <v>44</v>
      </c>
      <c r="O387" s="15" t="s">
        <v>31</v>
      </c>
    </row>
    <row r="388" spans="1:15" x14ac:dyDescent="0.2">
      <c r="A388" s="17" t="s">
        <v>1515</v>
      </c>
      <c r="B388" s="17" t="s">
        <v>1516</v>
      </c>
      <c r="C388" s="17">
        <v>6</v>
      </c>
      <c r="D388" s="1"/>
      <c r="E388" s="1">
        <v>2150</v>
      </c>
      <c r="F388" s="1">
        <v>2440</v>
      </c>
      <c r="G388" s="1">
        <v>23</v>
      </c>
      <c r="H388" s="1"/>
      <c r="I388" s="1"/>
      <c r="J388" s="1"/>
      <c r="K388" s="1"/>
      <c r="L388" s="17" t="s">
        <v>1517</v>
      </c>
      <c r="M388" s="17" t="s">
        <v>1518</v>
      </c>
      <c r="N388" s="17">
        <v>22</v>
      </c>
      <c r="O388" s="15" t="s">
        <v>31</v>
      </c>
    </row>
    <row r="389" spans="1:15" x14ac:dyDescent="0.2">
      <c r="A389" s="17" t="s">
        <v>1519</v>
      </c>
      <c r="B389" s="17" t="s">
        <v>1520</v>
      </c>
      <c r="C389" s="17">
        <v>9</v>
      </c>
      <c r="D389" s="1"/>
      <c r="E389" s="1">
        <v>2150</v>
      </c>
      <c r="F389" s="1">
        <v>2440</v>
      </c>
      <c r="G389" s="1">
        <v>33</v>
      </c>
      <c r="H389" s="1"/>
      <c r="I389" s="1"/>
      <c r="J389" s="1"/>
      <c r="K389" s="1"/>
      <c r="L389" s="17" t="s">
        <v>1521</v>
      </c>
      <c r="M389" s="17" t="s">
        <v>1522</v>
      </c>
      <c r="N389" s="17">
        <v>19</v>
      </c>
      <c r="O389" s="15" t="s">
        <v>31</v>
      </c>
    </row>
    <row r="390" spans="1:15" x14ac:dyDescent="0.2">
      <c r="A390" s="17" t="s">
        <v>1523</v>
      </c>
      <c r="B390" s="17" t="s">
        <v>1524</v>
      </c>
      <c r="C390" s="17">
        <v>15</v>
      </c>
      <c r="D390" s="1"/>
      <c r="E390" s="1">
        <v>2150</v>
      </c>
      <c r="F390" s="1">
        <v>2440</v>
      </c>
      <c r="G390" s="1">
        <v>53</v>
      </c>
      <c r="H390" s="1"/>
      <c r="I390" s="1"/>
      <c r="J390" s="1"/>
      <c r="K390" s="1"/>
      <c r="L390" s="17" t="s">
        <v>1525</v>
      </c>
      <c r="M390" s="17" t="s">
        <v>1526</v>
      </c>
      <c r="N390" s="17">
        <v>22</v>
      </c>
      <c r="O390" s="15" t="s">
        <v>31</v>
      </c>
    </row>
    <row r="391" spans="1:15" x14ac:dyDescent="0.2">
      <c r="A391" s="17" t="s">
        <v>1527</v>
      </c>
      <c r="B391" s="17" t="s">
        <v>1528</v>
      </c>
      <c r="C391" s="17">
        <v>18</v>
      </c>
      <c r="D391" s="1"/>
      <c r="E391" s="1">
        <v>2150</v>
      </c>
      <c r="F391" s="1">
        <v>2440</v>
      </c>
      <c r="G391" s="1">
        <v>61</v>
      </c>
      <c r="H391" s="1"/>
      <c r="I391" s="1"/>
      <c r="J391" s="1"/>
      <c r="K391" s="1"/>
      <c r="L391" s="17" t="s">
        <v>1529</v>
      </c>
      <c r="M391" s="17" t="s">
        <v>1530</v>
      </c>
      <c r="N391" s="17">
        <v>33</v>
      </c>
      <c r="O391" s="15" t="s">
        <v>31</v>
      </c>
    </row>
    <row r="392" spans="1:15" x14ac:dyDescent="0.2">
      <c r="A392" s="17" t="s">
        <v>1531</v>
      </c>
      <c r="B392" s="17" t="s">
        <v>1532</v>
      </c>
      <c r="C392" s="17">
        <v>6</v>
      </c>
      <c r="D392" s="1"/>
      <c r="E392" s="1">
        <v>2150</v>
      </c>
      <c r="F392" s="1">
        <v>2440</v>
      </c>
      <c r="G392" s="1">
        <v>23</v>
      </c>
      <c r="H392" s="1"/>
      <c r="I392" s="1"/>
      <c r="J392" s="1"/>
      <c r="K392" s="1"/>
      <c r="L392" s="17" t="s">
        <v>1533</v>
      </c>
      <c r="M392" s="17" t="s">
        <v>1534</v>
      </c>
      <c r="N392" s="17">
        <v>19</v>
      </c>
      <c r="O392" s="15" t="s">
        <v>31</v>
      </c>
    </row>
    <row r="393" spans="1:15" x14ac:dyDescent="0.2">
      <c r="A393" s="17" t="s">
        <v>1535</v>
      </c>
      <c r="B393" s="17" t="s">
        <v>1536</v>
      </c>
      <c r="C393" s="17">
        <v>12</v>
      </c>
      <c r="D393" s="1"/>
      <c r="E393" s="1">
        <v>2150</v>
      </c>
      <c r="F393" s="1">
        <v>2440</v>
      </c>
      <c r="G393" s="1">
        <v>41</v>
      </c>
      <c r="H393" s="1"/>
      <c r="I393" s="1"/>
      <c r="J393" s="1"/>
      <c r="K393" s="1"/>
      <c r="L393" s="17" t="s">
        <v>1537</v>
      </c>
      <c r="M393" s="17" t="s">
        <v>1538</v>
      </c>
      <c r="N393" s="17">
        <v>22</v>
      </c>
      <c r="O393" s="15" t="s">
        <v>31</v>
      </c>
    </row>
    <row r="394" spans="1:15" x14ac:dyDescent="0.2">
      <c r="A394" s="17" t="s">
        <v>1539</v>
      </c>
      <c r="B394" s="17" t="s">
        <v>1540</v>
      </c>
      <c r="C394" s="17">
        <v>15</v>
      </c>
      <c r="D394" s="1"/>
      <c r="E394" s="1">
        <v>2150</v>
      </c>
      <c r="F394" s="1">
        <v>2440</v>
      </c>
      <c r="G394" s="1">
        <v>53</v>
      </c>
      <c r="H394" s="1"/>
      <c r="I394" s="1"/>
      <c r="J394" s="1"/>
      <c r="K394" s="1"/>
      <c r="L394" s="17" t="s">
        <v>1541</v>
      </c>
      <c r="M394" s="17" t="s">
        <v>1542</v>
      </c>
      <c r="N394" s="17">
        <v>18</v>
      </c>
      <c r="O394" s="2" t="s">
        <v>36</v>
      </c>
    </row>
    <row r="395" spans="1:15" x14ac:dyDescent="0.2">
      <c r="A395" s="17" t="s">
        <v>1183</v>
      </c>
      <c r="B395" s="17" t="s">
        <v>1184</v>
      </c>
      <c r="C395" s="17">
        <v>15</v>
      </c>
      <c r="D395" s="1"/>
      <c r="E395" s="1">
        <v>2150</v>
      </c>
      <c r="F395" s="1">
        <v>2440</v>
      </c>
      <c r="G395" s="1">
        <v>53</v>
      </c>
      <c r="H395" s="1"/>
      <c r="I395" s="1"/>
      <c r="J395" s="1"/>
      <c r="K395" s="1"/>
      <c r="L395" s="17" t="s">
        <v>1543</v>
      </c>
      <c r="M395" s="17" t="s">
        <v>1544</v>
      </c>
      <c r="N395" s="17">
        <v>41</v>
      </c>
      <c r="O395" s="15" t="s">
        <v>22</v>
      </c>
    </row>
    <row r="396" spans="1:15" x14ac:dyDescent="0.2">
      <c r="A396" s="17" t="s">
        <v>1545</v>
      </c>
      <c r="B396" s="17" t="s">
        <v>1546</v>
      </c>
      <c r="C396" s="17">
        <v>15</v>
      </c>
      <c r="D396" s="1"/>
      <c r="E396" s="1">
        <v>2150</v>
      </c>
      <c r="F396" s="1">
        <v>2440</v>
      </c>
      <c r="G396" s="1">
        <v>53</v>
      </c>
      <c r="H396" s="1"/>
      <c r="I396" s="1"/>
      <c r="J396" s="1"/>
      <c r="K396" s="1"/>
      <c r="L396" s="17" t="s">
        <v>1547</v>
      </c>
      <c r="M396" s="17" t="s">
        <v>1548</v>
      </c>
      <c r="N396" s="17">
        <v>22</v>
      </c>
      <c r="O396" s="15" t="s">
        <v>31</v>
      </c>
    </row>
    <row r="397" spans="1:15" x14ac:dyDescent="0.2">
      <c r="A397" s="17" t="s">
        <v>1549</v>
      </c>
      <c r="B397" s="17" t="s">
        <v>1550</v>
      </c>
      <c r="C397" s="17">
        <v>15</v>
      </c>
      <c r="D397" s="1"/>
      <c r="E397" s="1">
        <v>2150</v>
      </c>
      <c r="F397" s="1">
        <v>2440</v>
      </c>
      <c r="G397" s="1">
        <v>53</v>
      </c>
      <c r="H397" s="1"/>
      <c r="I397" s="1"/>
      <c r="J397" s="1"/>
      <c r="K397" s="1"/>
      <c r="L397" s="17" t="s">
        <v>1551</v>
      </c>
      <c r="M397" s="17" t="s">
        <v>1552</v>
      </c>
      <c r="N397" s="17">
        <v>22</v>
      </c>
      <c r="O397" s="15" t="s">
        <v>22</v>
      </c>
    </row>
    <row r="398" spans="1:15" x14ac:dyDescent="0.2">
      <c r="A398" s="17" t="s">
        <v>1553</v>
      </c>
      <c r="B398" s="17" t="s">
        <v>1554</v>
      </c>
      <c r="C398" s="17">
        <v>6</v>
      </c>
      <c r="D398" s="1"/>
      <c r="E398" s="1">
        <v>2150</v>
      </c>
      <c r="F398" s="1">
        <v>2440</v>
      </c>
      <c r="G398" s="1">
        <v>23</v>
      </c>
      <c r="H398" s="1"/>
      <c r="I398" s="1"/>
      <c r="J398" s="1"/>
      <c r="K398" s="1"/>
      <c r="L398" s="17" t="s">
        <v>1555</v>
      </c>
      <c r="M398" s="17" t="s">
        <v>1556</v>
      </c>
      <c r="N398" s="17">
        <v>18</v>
      </c>
      <c r="O398" s="2" t="s">
        <v>36</v>
      </c>
    </row>
    <row r="399" spans="1:15" x14ac:dyDescent="0.2">
      <c r="A399" s="17" t="s">
        <v>1557</v>
      </c>
      <c r="B399" s="17" t="s">
        <v>1558</v>
      </c>
      <c r="C399" s="17">
        <v>12</v>
      </c>
      <c r="D399" s="1"/>
      <c r="E399" s="1">
        <v>2150</v>
      </c>
      <c r="F399" s="1">
        <v>2440</v>
      </c>
      <c r="G399" s="1">
        <v>41</v>
      </c>
      <c r="H399" s="1"/>
      <c r="I399" s="1"/>
      <c r="J399" s="1"/>
      <c r="K399" s="1"/>
      <c r="L399" s="17" t="s">
        <v>1559</v>
      </c>
      <c r="M399" s="17" t="s">
        <v>1560</v>
      </c>
      <c r="N399" s="17">
        <v>16</v>
      </c>
      <c r="O399" s="15" t="s">
        <v>31</v>
      </c>
    </row>
    <row r="400" spans="1:15" x14ac:dyDescent="0.2">
      <c r="A400" s="17" t="s">
        <v>1561</v>
      </c>
      <c r="B400" s="17" t="s">
        <v>1562</v>
      </c>
      <c r="C400" s="17">
        <v>15</v>
      </c>
      <c r="D400" s="1"/>
      <c r="E400" s="1">
        <v>2150</v>
      </c>
      <c r="F400" s="1">
        <v>2440</v>
      </c>
      <c r="G400" s="1">
        <v>53</v>
      </c>
      <c r="H400" s="1"/>
      <c r="I400" s="1"/>
      <c r="J400" s="1"/>
      <c r="K400" s="1"/>
      <c r="L400" s="17" t="s">
        <v>1563</v>
      </c>
      <c r="M400" s="17" t="s">
        <v>1564</v>
      </c>
      <c r="N400" s="17">
        <v>19</v>
      </c>
      <c r="O400" s="15" t="s">
        <v>31</v>
      </c>
    </row>
    <row r="401" spans="1:15" x14ac:dyDescent="0.2">
      <c r="A401" s="17" t="s">
        <v>1565</v>
      </c>
      <c r="B401" s="17" t="s">
        <v>1566</v>
      </c>
      <c r="C401" s="17">
        <v>9</v>
      </c>
      <c r="D401" s="1"/>
      <c r="E401" s="1">
        <v>2150</v>
      </c>
      <c r="F401" s="1">
        <v>2440</v>
      </c>
      <c r="G401" s="1">
        <v>33</v>
      </c>
      <c r="H401" s="1"/>
      <c r="I401" s="1"/>
      <c r="J401" s="1"/>
      <c r="K401" s="1"/>
      <c r="L401" s="17" t="s">
        <v>1567</v>
      </c>
      <c r="M401" s="17" t="s">
        <v>1568</v>
      </c>
      <c r="N401" s="17">
        <v>22</v>
      </c>
      <c r="O401" s="15" t="s">
        <v>31</v>
      </c>
    </row>
    <row r="402" spans="1:15" x14ac:dyDescent="0.2">
      <c r="A402" s="17" t="s">
        <v>1569</v>
      </c>
      <c r="B402" s="17" t="s">
        <v>1570</v>
      </c>
      <c r="C402" s="17">
        <v>15</v>
      </c>
      <c r="D402" s="1"/>
      <c r="E402" s="1">
        <v>2150</v>
      </c>
      <c r="F402" s="1">
        <v>2440</v>
      </c>
      <c r="G402" s="1">
        <v>53</v>
      </c>
      <c r="H402" s="1"/>
      <c r="I402" s="1"/>
      <c r="J402" s="1"/>
      <c r="K402" s="1"/>
      <c r="L402" s="17" t="s">
        <v>1571</v>
      </c>
      <c r="M402" s="17" t="s">
        <v>1572</v>
      </c>
      <c r="N402" s="17">
        <v>29</v>
      </c>
      <c r="O402" s="15" t="s">
        <v>31</v>
      </c>
    </row>
    <row r="403" spans="1:15" x14ac:dyDescent="0.2">
      <c r="A403" s="17" t="s">
        <v>1573</v>
      </c>
      <c r="B403" s="17" t="s">
        <v>1574</v>
      </c>
      <c r="C403" s="17">
        <v>18</v>
      </c>
      <c r="D403" s="1"/>
      <c r="E403" s="1">
        <v>2150</v>
      </c>
      <c r="F403" s="1">
        <v>2440</v>
      </c>
      <c r="G403" s="1">
        <v>61</v>
      </c>
      <c r="H403" s="1"/>
      <c r="I403" s="1"/>
      <c r="J403" s="1"/>
      <c r="K403" s="1"/>
      <c r="L403" s="17" t="s">
        <v>1575</v>
      </c>
      <c r="M403" s="17" t="s">
        <v>1576</v>
      </c>
      <c r="N403" s="17">
        <v>33</v>
      </c>
      <c r="O403" s="15" t="s">
        <v>31</v>
      </c>
    </row>
    <row r="404" spans="1:15" x14ac:dyDescent="0.2">
      <c r="A404" s="17" t="s">
        <v>1577</v>
      </c>
      <c r="B404" s="17" t="s">
        <v>1578</v>
      </c>
      <c r="C404" s="17">
        <v>15</v>
      </c>
      <c r="D404" s="1"/>
      <c r="E404" s="1">
        <v>2150</v>
      </c>
      <c r="F404" s="1">
        <v>2440</v>
      </c>
      <c r="G404" s="1">
        <v>53</v>
      </c>
      <c r="H404" s="1"/>
      <c r="I404" s="1"/>
      <c r="J404" s="1"/>
      <c r="K404" s="1"/>
      <c r="L404" s="17" t="s">
        <v>1579</v>
      </c>
      <c r="M404" s="17" t="s">
        <v>1580</v>
      </c>
      <c r="N404" s="17">
        <v>44</v>
      </c>
      <c r="O404" s="15" t="s">
        <v>31</v>
      </c>
    </row>
    <row r="405" spans="1:15" x14ac:dyDescent="0.2">
      <c r="A405" s="17" t="s">
        <v>1581</v>
      </c>
      <c r="B405" s="17" t="s">
        <v>1582</v>
      </c>
      <c r="C405" s="17">
        <v>6</v>
      </c>
      <c r="D405" s="1"/>
      <c r="E405" s="1">
        <v>2150</v>
      </c>
      <c r="F405" s="1">
        <v>2440</v>
      </c>
      <c r="G405" s="1">
        <v>23</v>
      </c>
      <c r="H405" s="1"/>
      <c r="I405" s="1"/>
      <c r="J405" s="1"/>
      <c r="K405" s="1"/>
      <c r="L405" s="17" t="s">
        <v>1583</v>
      </c>
      <c r="M405" s="17" t="s">
        <v>1584</v>
      </c>
      <c r="N405" s="17">
        <v>22</v>
      </c>
      <c r="O405" s="15" t="s">
        <v>22</v>
      </c>
    </row>
    <row r="406" spans="1:15" x14ac:dyDescent="0.2">
      <c r="A406" s="17" t="s">
        <v>1585</v>
      </c>
      <c r="B406" s="17" t="s">
        <v>1586</v>
      </c>
      <c r="C406" s="17">
        <v>9</v>
      </c>
      <c r="D406" s="1"/>
      <c r="E406" s="1">
        <v>2150</v>
      </c>
      <c r="F406" s="1">
        <v>2440</v>
      </c>
      <c r="G406" s="1">
        <v>33</v>
      </c>
      <c r="H406" s="1"/>
      <c r="I406" s="1"/>
      <c r="J406" s="1"/>
      <c r="K406" s="1"/>
      <c r="L406" s="17" t="s">
        <v>1587</v>
      </c>
      <c r="M406" s="17" t="s">
        <v>1588</v>
      </c>
      <c r="N406" s="17">
        <v>19</v>
      </c>
      <c r="O406" s="15" t="s">
        <v>31</v>
      </c>
    </row>
    <row r="407" spans="1:15" x14ac:dyDescent="0.2">
      <c r="A407" s="17" t="s">
        <v>1589</v>
      </c>
      <c r="B407" s="17" t="s">
        <v>1590</v>
      </c>
      <c r="C407" s="17">
        <v>15</v>
      </c>
      <c r="D407" s="1"/>
      <c r="E407" s="1">
        <v>2150</v>
      </c>
      <c r="F407" s="1">
        <v>2440</v>
      </c>
      <c r="G407" s="1">
        <v>53</v>
      </c>
      <c r="H407" s="1"/>
      <c r="I407" s="1"/>
      <c r="J407" s="1"/>
      <c r="K407" s="1"/>
      <c r="L407" s="17" t="s">
        <v>1591</v>
      </c>
      <c r="M407" s="17" t="s">
        <v>1588</v>
      </c>
      <c r="N407" s="17">
        <v>19</v>
      </c>
      <c r="O407" s="15" t="s">
        <v>31</v>
      </c>
    </row>
    <row r="408" spans="1:15" x14ac:dyDescent="0.2">
      <c r="A408" s="17" t="s">
        <v>1592</v>
      </c>
      <c r="B408" s="17" t="s">
        <v>1593</v>
      </c>
      <c r="C408" s="17">
        <v>18</v>
      </c>
      <c r="D408" s="1"/>
      <c r="E408" s="1">
        <v>2150</v>
      </c>
      <c r="F408" s="1">
        <v>2440</v>
      </c>
      <c r="G408" s="1">
        <v>61</v>
      </c>
      <c r="H408" s="1"/>
      <c r="I408" s="1"/>
      <c r="J408" s="1"/>
      <c r="K408" s="1"/>
      <c r="L408" s="17" t="s">
        <v>1594</v>
      </c>
      <c r="M408" s="17" t="s">
        <v>1588</v>
      </c>
      <c r="N408" s="17">
        <v>19</v>
      </c>
      <c r="O408" s="15" t="s">
        <v>31</v>
      </c>
    </row>
    <row r="409" spans="1:15" x14ac:dyDescent="0.2">
      <c r="A409" s="17" t="s">
        <v>1595</v>
      </c>
      <c r="B409" s="17" t="s">
        <v>1596</v>
      </c>
      <c r="C409" s="17">
        <v>36</v>
      </c>
      <c r="D409" s="1"/>
      <c r="E409" s="1">
        <v>2150</v>
      </c>
      <c r="F409" s="1">
        <v>2440</v>
      </c>
      <c r="G409" s="1">
        <v>117</v>
      </c>
      <c r="H409" s="1"/>
      <c r="I409" s="1"/>
      <c r="J409" s="1"/>
      <c r="K409" s="1"/>
      <c r="L409" s="17" t="s">
        <v>1597</v>
      </c>
      <c r="M409" s="17" t="s">
        <v>1598</v>
      </c>
      <c r="N409" s="17">
        <v>22</v>
      </c>
      <c r="O409" s="15" t="s">
        <v>31</v>
      </c>
    </row>
    <row r="410" spans="1:15" x14ac:dyDescent="0.2">
      <c r="A410" s="17" t="s">
        <v>1599</v>
      </c>
      <c r="B410" s="17" t="s">
        <v>1600</v>
      </c>
      <c r="C410" s="17">
        <v>9</v>
      </c>
      <c r="D410" s="1"/>
      <c r="E410" s="1">
        <v>2150</v>
      </c>
      <c r="F410" s="1">
        <v>2440</v>
      </c>
      <c r="G410" s="1">
        <v>33</v>
      </c>
      <c r="H410" s="1"/>
      <c r="I410" s="1"/>
      <c r="J410" s="1"/>
      <c r="K410" s="1"/>
      <c r="L410" s="17" t="s">
        <v>1601</v>
      </c>
      <c r="M410" s="17" t="s">
        <v>1602</v>
      </c>
      <c r="N410" s="17">
        <v>19</v>
      </c>
      <c r="O410" s="15" t="s">
        <v>31</v>
      </c>
    </row>
    <row r="411" spans="1:15" x14ac:dyDescent="0.2">
      <c r="A411" s="17" t="s">
        <v>1603</v>
      </c>
      <c r="B411" s="17" t="s">
        <v>1604</v>
      </c>
      <c r="C411" s="17">
        <v>15</v>
      </c>
      <c r="D411" s="1"/>
      <c r="E411" s="1">
        <v>2150</v>
      </c>
      <c r="F411" s="1">
        <v>2440</v>
      </c>
      <c r="G411" s="1">
        <v>53</v>
      </c>
      <c r="H411" s="1"/>
      <c r="I411" s="1"/>
      <c r="J411" s="1"/>
      <c r="K411" s="1"/>
      <c r="L411" s="17" t="s">
        <v>1605</v>
      </c>
      <c r="M411" s="17" t="s">
        <v>1606</v>
      </c>
      <c r="N411" s="17">
        <v>16</v>
      </c>
      <c r="O411" s="15" t="s">
        <v>31</v>
      </c>
    </row>
    <row r="412" spans="1:15" x14ac:dyDescent="0.2">
      <c r="A412" s="17" t="s">
        <v>1607</v>
      </c>
      <c r="B412" s="17" t="s">
        <v>1608</v>
      </c>
      <c r="C412" s="17">
        <v>15</v>
      </c>
      <c r="D412" s="1"/>
      <c r="E412" s="1">
        <v>1830</v>
      </c>
      <c r="F412" s="1">
        <v>2440</v>
      </c>
      <c r="G412" s="1">
        <v>41</v>
      </c>
      <c r="H412" s="1"/>
      <c r="I412" s="1"/>
      <c r="J412" s="1"/>
      <c r="K412" s="1"/>
      <c r="L412" s="17" t="s">
        <v>1609</v>
      </c>
      <c r="M412" s="17" t="s">
        <v>1610</v>
      </c>
      <c r="N412" s="17">
        <v>19</v>
      </c>
      <c r="O412" s="15" t="s">
        <v>31</v>
      </c>
    </row>
    <row r="413" spans="1:15" x14ac:dyDescent="0.2">
      <c r="A413" s="17" t="s">
        <v>1611</v>
      </c>
      <c r="B413" s="17" t="s">
        <v>1612</v>
      </c>
      <c r="C413" s="17">
        <v>15</v>
      </c>
      <c r="D413" s="1"/>
      <c r="E413" s="1">
        <v>2150</v>
      </c>
      <c r="F413" s="1">
        <v>2440</v>
      </c>
      <c r="G413" s="1">
        <v>53</v>
      </c>
      <c r="H413" s="1"/>
      <c r="I413" s="1"/>
      <c r="J413" s="1"/>
      <c r="K413" s="1"/>
      <c r="L413" s="17" t="s">
        <v>1609</v>
      </c>
      <c r="M413" s="17" t="s">
        <v>1613</v>
      </c>
      <c r="N413" s="17">
        <v>19</v>
      </c>
      <c r="O413" s="15" t="s">
        <v>31</v>
      </c>
    </row>
    <row r="414" spans="1:15" x14ac:dyDescent="0.2">
      <c r="A414" s="17" t="s">
        <v>1614</v>
      </c>
      <c r="B414" s="17" t="s">
        <v>1615</v>
      </c>
      <c r="C414" s="17">
        <v>6</v>
      </c>
      <c r="D414" s="1"/>
      <c r="E414" s="1">
        <v>2150</v>
      </c>
      <c r="F414" s="1">
        <v>2440</v>
      </c>
      <c r="G414" s="1">
        <v>23</v>
      </c>
      <c r="H414" s="1"/>
      <c r="I414" s="1"/>
      <c r="J414" s="1"/>
      <c r="K414" s="1"/>
      <c r="L414" s="17" t="s">
        <v>1616</v>
      </c>
      <c r="M414" s="17" t="s">
        <v>1617</v>
      </c>
      <c r="N414" s="17">
        <v>22</v>
      </c>
      <c r="O414" s="15" t="s">
        <v>31</v>
      </c>
    </row>
    <row r="415" spans="1:15" x14ac:dyDescent="0.2">
      <c r="A415" s="17" t="s">
        <v>1618</v>
      </c>
      <c r="B415" s="17" t="s">
        <v>1619</v>
      </c>
      <c r="C415" s="17">
        <v>18</v>
      </c>
      <c r="D415" s="1"/>
      <c r="E415" s="1">
        <v>2150</v>
      </c>
      <c r="F415" s="1">
        <v>2440</v>
      </c>
      <c r="G415" s="1">
        <v>61</v>
      </c>
      <c r="H415" s="1"/>
      <c r="I415" s="1"/>
      <c r="J415" s="1"/>
      <c r="K415" s="1"/>
      <c r="L415" s="17" t="s">
        <v>1620</v>
      </c>
      <c r="M415" s="17" t="s">
        <v>1621</v>
      </c>
      <c r="N415" s="17">
        <v>29</v>
      </c>
      <c r="O415" s="15" t="s">
        <v>31</v>
      </c>
    </row>
    <row r="416" spans="1:15" x14ac:dyDescent="0.2">
      <c r="A416" s="17" t="s">
        <v>1622</v>
      </c>
      <c r="B416" s="17" t="s">
        <v>1623</v>
      </c>
      <c r="C416" s="17">
        <v>18</v>
      </c>
      <c r="D416" s="1"/>
      <c r="E416" s="1">
        <v>2150</v>
      </c>
      <c r="F416" s="1">
        <v>2440</v>
      </c>
      <c r="G416" s="1">
        <v>61</v>
      </c>
      <c r="H416" s="1"/>
      <c r="I416" s="1"/>
      <c r="J416" s="1"/>
      <c r="K416" s="1"/>
      <c r="L416" s="17" t="s">
        <v>1624</v>
      </c>
      <c r="M416" s="17" t="s">
        <v>1625</v>
      </c>
      <c r="N416" s="17">
        <v>33</v>
      </c>
      <c r="O416" s="15" t="s">
        <v>31</v>
      </c>
    </row>
    <row r="417" spans="1:15" x14ac:dyDescent="0.2">
      <c r="A417" s="17" t="s">
        <v>1626</v>
      </c>
      <c r="B417" s="17" t="s">
        <v>1627</v>
      </c>
      <c r="C417" s="17">
        <v>6</v>
      </c>
      <c r="D417" s="1"/>
      <c r="E417" s="1">
        <v>2150</v>
      </c>
      <c r="F417" s="1">
        <v>2440</v>
      </c>
      <c r="G417" s="1">
        <v>23</v>
      </c>
      <c r="H417" s="1"/>
      <c r="I417" s="1"/>
      <c r="J417" s="1"/>
      <c r="K417" s="1"/>
      <c r="L417" s="17" t="s">
        <v>1628</v>
      </c>
      <c r="M417" s="17" t="s">
        <v>1629</v>
      </c>
      <c r="N417" s="17">
        <v>44</v>
      </c>
      <c r="O417" s="15" t="s">
        <v>31</v>
      </c>
    </row>
    <row r="418" spans="1:15" x14ac:dyDescent="0.2">
      <c r="A418" s="17" t="s">
        <v>1630</v>
      </c>
      <c r="B418" s="17" t="s">
        <v>1631</v>
      </c>
      <c r="C418" s="17" t="s">
        <v>292</v>
      </c>
      <c r="D418" s="1"/>
      <c r="E418" s="1">
        <v>2150</v>
      </c>
      <c r="F418" s="1">
        <v>2440</v>
      </c>
      <c r="G418" s="1">
        <v>117</v>
      </c>
      <c r="H418" s="1"/>
      <c r="I418" s="1"/>
      <c r="J418" s="1"/>
      <c r="K418" s="1"/>
      <c r="L418" s="17" t="s">
        <v>1632</v>
      </c>
      <c r="M418" s="17" t="s">
        <v>1633</v>
      </c>
      <c r="N418" s="17">
        <v>22</v>
      </c>
      <c r="O418" s="15" t="s">
        <v>31</v>
      </c>
    </row>
    <row r="419" spans="1:15" x14ac:dyDescent="0.2">
      <c r="A419" s="17" t="s">
        <v>1634</v>
      </c>
      <c r="B419" s="17" t="s">
        <v>1635</v>
      </c>
      <c r="C419" s="17">
        <v>18</v>
      </c>
      <c r="D419" s="1"/>
      <c r="E419" s="1">
        <v>2150</v>
      </c>
      <c r="F419" s="1">
        <v>2440</v>
      </c>
      <c r="G419" s="1">
        <v>61</v>
      </c>
      <c r="H419" s="1"/>
      <c r="I419" s="1"/>
      <c r="J419" s="1"/>
      <c r="K419" s="1"/>
      <c r="L419" s="17" t="s">
        <v>1636</v>
      </c>
      <c r="M419" s="17" t="s">
        <v>1637</v>
      </c>
      <c r="N419" s="17">
        <v>16</v>
      </c>
      <c r="O419" s="15" t="s">
        <v>31</v>
      </c>
    </row>
    <row r="420" spans="1:15" x14ac:dyDescent="0.2">
      <c r="A420" s="17" t="s">
        <v>1638</v>
      </c>
      <c r="B420" s="17" t="s">
        <v>1639</v>
      </c>
      <c r="C420" s="17">
        <v>15</v>
      </c>
      <c r="D420" s="1"/>
      <c r="E420" s="1">
        <v>2150</v>
      </c>
      <c r="F420" s="1">
        <v>2440</v>
      </c>
      <c r="G420" s="1">
        <v>53</v>
      </c>
      <c r="H420" s="1"/>
      <c r="I420" s="1"/>
      <c r="J420" s="1"/>
      <c r="K420" s="1"/>
      <c r="L420" s="17" t="s">
        <v>1640</v>
      </c>
      <c r="M420" s="17" t="s">
        <v>1641</v>
      </c>
      <c r="N420" s="17">
        <v>19</v>
      </c>
      <c r="O420" s="15" t="s">
        <v>31</v>
      </c>
    </row>
    <row r="421" spans="1:15" x14ac:dyDescent="0.2">
      <c r="A421" s="17" t="s">
        <v>1642</v>
      </c>
      <c r="B421" s="17" t="s">
        <v>1643</v>
      </c>
      <c r="C421" s="17">
        <v>6</v>
      </c>
      <c r="D421" s="1"/>
      <c r="E421" s="1">
        <v>2150</v>
      </c>
      <c r="F421" s="1">
        <v>2440</v>
      </c>
      <c r="G421" s="1">
        <v>23</v>
      </c>
      <c r="H421" s="1"/>
      <c r="I421" s="1"/>
      <c r="J421" s="1"/>
      <c r="K421" s="1"/>
      <c r="L421" s="17" t="s">
        <v>1644</v>
      </c>
      <c r="M421" s="17" t="s">
        <v>1645</v>
      </c>
      <c r="N421" s="17">
        <v>22</v>
      </c>
      <c r="O421" s="15" t="s">
        <v>31</v>
      </c>
    </row>
    <row r="422" spans="1:15" x14ac:dyDescent="0.2">
      <c r="A422" s="17" t="s">
        <v>1646</v>
      </c>
      <c r="B422" s="17" t="s">
        <v>1647</v>
      </c>
      <c r="C422" s="17">
        <v>6</v>
      </c>
      <c r="D422" s="1"/>
      <c r="E422" s="1">
        <v>2150</v>
      </c>
      <c r="F422" s="1">
        <v>2440</v>
      </c>
      <c r="G422" s="1">
        <v>23</v>
      </c>
      <c r="H422" s="1"/>
      <c r="I422" s="1"/>
      <c r="J422" s="1"/>
      <c r="K422" s="1"/>
      <c r="L422" s="17" t="s">
        <v>1648</v>
      </c>
      <c r="M422" s="17" t="s">
        <v>1649</v>
      </c>
      <c r="N422" s="17">
        <v>33</v>
      </c>
      <c r="O422" s="15" t="s">
        <v>31</v>
      </c>
    </row>
    <row r="423" spans="1:15" x14ac:dyDescent="0.2">
      <c r="A423" s="17" t="s">
        <v>1650</v>
      </c>
      <c r="B423" s="17" t="s">
        <v>1651</v>
      </c>
      <c r="C423" s="17">
        <v>8</v>
      </c>
      <c r="D423" s="1"/>
      <c r="E423" s="1">
        <v>2150</v>
      </c>
      <c r="F423" s="1">
        <v>2440</v>
      </c>
      <c r="G423" s="1">
        <v>117</v>
      </c>
      <c r="H423" s="1"/>
      <c r="I423" s="1"/>
      <c r="J423" s="1"/>
      <c r="K423" s="1"/>
      <c r="L423" s="17" t="s">
        <v>1652</v>
      </c>
      <c r="M423" s="17" t="s">
        <v>1653</v>
      </c>
      <c r="N423" s="17">
        <v>44</v>
      </c>
      <c r="O423" s="15" t="s">
        <v>31</v>
      </c>
    </row>
    <row r="424" spans="1:15" x14ac:dyDescent="0.2">
      <c r="A424" s="17" t="s">
        <v>1654</v>
      </c>
      <c r="B424" s="17" t="s">
        <v>1655</v>
      </c>
      <c r="C424" s="17">
        <v>12</v>
      </c>
      <c r="D424" s="1"/>
      <c r="E424" s="1">
        <v>2150</v>
      </c>
      <c r="F424" s="1">
        <v>2440</v>
      </c>
      <c r="G424" s="1">
        <v>41</v>
      </c>
      <c r="H424" s="1"/>
      <c r="I424" s="1"/>
      <c r="J424" s="1"/>
      <c r="K424" s="1"/>
      <c r="L424" s="17" t="s">
        <v>1656</v>
      </c>
      <c r="M424" s="17" t="s">
        <v>1657</v>
      </c>
      <c r="N424" s="17">
        <v>19</v>
      </c>
      <c r="O424" s="15" t="s">
        <v>31</v>
      </c>
    </row>
    <row r="425" spans="1:15" x14ac:dyDescent="0.2">
      <c r="A425" s="17" t="s">
        <v>1658</v>
      </c>
      <c r="B425" s="17" t="s">
        <v>1659</v>
      </c>
      <c r="C425" s="17">
        <v>15</v>
      </c>
      <c r="D425" s="1"/>
      <c r="E425" s="1">
        <v>2150</v>
      </c>
      <c r="F425" s="1">
        <v>2440</v>
      </c>
      <c r="G425" s="1">
        <v>53</v>
      </c>
      <c r="H425" s="1"/>
      <c r="I425" s="1"/>
      <c r="J425" s="1"/>
      <c r="K425" s="1"/>
      <c r="L425" s="17" t="s">
        <v>1660</v>
      </c>
      <c r="M425" s="17" t="s">
        <v>1661</v>
      </c>
      <c r="N425" s="17">
        <v>22</v>
      </c>
      <c r="O425" s="15" t="s">
        <v>31</v>
      </c>
    </row>
    <row r="426" spans="1:15" x14ac:dyDescent="0.2">
      <c r="A426" s="17" t="s">
        <v>1662</v>
      </c>
      <c r="B426" s="17" t="s">
        <v>1663</v>
      </c>
      <c r="C426" s="17">
        <v>18</v>
      </c>
      <c r="D426" s="1"/>
      <c r="E426" s="1">
        <v>2150</v>
      </c>
      <c r="F426" s="1">
        <v>2440</v>
      </c>
      <c r="G426" s="1">
        <v>61</v>
      </c>
      <c r="H426" s="1"/>
      <c r="I426" s="1"/>
      <c r="J426" s="1"/>
      <c r="K426" s="1"/>
      <c r="L426" s="17" t="s">
        <v>1664</v>
      </c>
      <c r="M426" s="17" t="s">
        <v>1665</v>
      </c>
      <c r="N426" s="17">
        <v>19</v>
      </c>
      <c r="O426" s="15" t="s">
        <v>31</v>
      </c>
    </row>
    <row r="427" spans="1:15" x14ac:dyDescent="0.2">
      <c r="A427" s="17" t="s">
        <v>1666</v>
      </c>
      <c r="B427" s="17" t="s">
        <v>1667</v>
      </c>
      <c r="C427" s="17">
        <v>25</v>
      </c>
      <c r="D427" s="1"/>
      <c r="E427" s="1">
        <v>2150</v>
      </c>
      <c r="F427" s="1">
        <v>2440</v>
      </c>
      <c r="G427" s="1">
        <v>83</v>
      </c>
      <c r="H427" s="1"/>
      <c r="I427" s="1"/>
      <c r="J427" s="1"/>
      <c r="K427" s="1"/>
      <c r="L427" s="17" t="s">
        <v>1668</v>
      </c>
      <c r="M427" s="17" t="s">
        <v>1669</v>
      </c>
      <c r="N427" s="17">
        <v>22</v>
      </c>
      <c r="O427" s="15" t="s">
        <v>31</v>
      </c>
    </row>
    <row r="428" spans="1:15" x14ac:dyDescent="0.2">
      <c r="A428" s="17" t="s">
        <v>1670</v>
      </c>
      <c r="B428" s="17" t="s">
        <v>1671</v>
      </c>
      <c r="C428" s="17">
        <v>9</v>
      </c>
      <c r="D428" s="1"/>
      <c r="E428" s="1">
        <v>2150</v>
      </c>
      <c r="F428" s="1">
        <v>2440</v>
      </c>
      <c r="G428" s="1">
        <v>33</v>
      </c>
      <c r="H428" s="1"/>
      <c r="I428" s="1"/>
      <c r="J428" s="1"/>
      <c r="K428" s="1"/>
      <c r="L428" s="17" t="s">
        <v>1672</v>
      </c>
      <c r="M428" s="17" t="s">
        <v>1673</v>
      </c>
      <c r="N428" s="17">
        <v>16</v>
      </c>
      <c r="O428" s="15" t="s">
        <v>31</v>
      </c>
    </row>
    <row r="429" spans="1:15" x14ac:dyDescent="0.2">
      <c r="A429" s="17" t="s">
        <v>1674</v>
      </c>
      <c r="B429" s="17" t="s">
        <v>1675</v>
      </c>
      <c r="C429" s="17">
        <v>12</v>
      </c>
      <c r="D429" s="1"/>
      <c r="E429" s="1">
        <v>2150</v>
      </c>
      <c r="F429" s="1">
        <v>2440</v>
      </c>
      <c r="G429" s="1">
        <v>41</v>
      </c>
      <c r="H429" s="1"/>
      <c r="I429" s="1"/>
      <c r="J429" s="1"/>
      <c r="K429" s="1"/>
      <c r="L429" s="17" t="s">
        <v>1676</v>
      </c>
      <c r="M429" s="17" t="s">
        <v>1677</v>
      </c>
      <c r="N429" s="17">
        <v>19</v>
      </c>
      <c r="O429" s="15" t="s">
        <v>31</v>
      </c>
    </row>
    <row r="430" spans="1:15" x14ac:dyDescent="0.2">
      <c r="A430" s="17" t="s">
        <v>1646</v>
      </c>
      <c r="B430" s="17" t="s">
        <v>1647</v>
      </c>
      <c r="C430" s="17">
        <v>6</v>
      </c>
      <c r="D430" s="1"/>
      <c r="E430" s="1">
        <v>2150</v>
      </c>
      <c r="F430" s="1">
        <v>2440</v>
      </c>
      <c r="G430" s="1">
        <v>23</v>
      </c>
      <c r="H430" s="1"/>
      <c r="I430" s="1"/>
      <c r="J430" s="1"/>
      <c r="K430" s="1"/>
      <c r="L430" s="17" t="s">
        <v>1676</v>
      </c>
      <c r="M430" s="17" t="s">
        <v>1678</v>
      </c>
      <c r="N430" s="17">
        <v>19</v>
      </c>
      <c r="O430" s="15" t="s">
        <v>31</v>
      </c>
    </row>
    <row r="431" spans="1:15" x14ac:dyDescent="0.2">
      <c r="A431" s="17" t="s">
        <v>1654</v>
      </c>
      <c r="B431" s="17" t="s">
        <v>1655</v>
      </c>
      <c r="C431" s="17">
        <v>12</v>
      </c>
      <c r="D431" s="1"/>
      <c r="E431" s="1">
        <v>2150</v>
      </c>
      <c r="F431" s="1">
        <v>2440</v>
      </c>
      <c r="G431" s="1">
        <v>41</v>
      </c>
      <c r="H431" s="1"/>
      <c r="I431" s="1"/>
      <c r="J431" s="1"/>
      <c r="K431" s="1"/>
      <c r="L431" s="17" t="s">
        <v>1679</v>
      </c>
      <c r="M431" s="17" t="s">
        <v>1680</v>
      </c>
      <c r="N431" s="17">
        <v>22</v>
      </c>
      <c r="O431" s="2"/>
    </row>
    <row r="432" spans="1:15" x14ac:dyDescent="0.2">
      <c r="A432" s="17" t="s">
        <v>1681</v>
      </c>
      <c r="B432" s="17" t="s">
        <v>1682</v>
      </c>
      <c r="C432" s="17">
        <v>6</v>
      </c>
      <c r="D432" s="1"/>
      <c r="E432" s="1">
        <v>2150</v>
      </c>
      <c r="F432" s="1">
        <v>2440</v>
      </c>
      <c r="G432" s="1">
        <v>23</v>
      </c>
      <c r="H432" s="1"/>
      <c r="I432" s="1"/>
      <c r="J432" s="1"/>
      <c r="K432" s="1"/>
      <c r="L432" s="17" t="s">
        <v>1679</v>
      </c>
      <c r="M432" s="17" t="s">
        <v>1683</v>
      </c>
      <c r="N432" s="17">
        <v>22</v>
      </c>
      <c r="O432" s="15" t="s">
        <v>31</v>
      </c>
    </row>
    <row r="433" spans="1:15" x14ac:dyDescent="0.2">
      <c r="A433" s="17" t="s">
        <v>1684</v>
      </c>
      <c r="B433" s="17" t="s">
        <v>1685</v>
      </c>
      <c r="C433" s="17">
        <v>6</v>
      </c>
      <c r="D433" s="1"/>
      <c r="E433" s="1">
        <v>2150</v>
      </c>
      <c r="F433" s="1">
        <v>2440</v>
      </c>
      <c r="G433" s="1">
        <v>23</v>
      </c>
      <c r="H433" s="1"/>
      <c r="I433" s="1"/>
      <c r="J433" s="1"/>
      <c r="K433" s="1"/>
      <c r="L433" s="17" t="s">
        <v>1686</v>
      </c>
      <c r="M433" s="17" t="s">
        <v>1687</v>
      </c>
      <c r="N433" s="17">
        <v>29</v>
      </c>
      <c r="O433" s="15" t="s">
        <v>31</v>
      </c>
    </row>
    <row r="434" spans="1:15" x14ac:dyDescent="0.2">
      <c r="A434" s="17" t="s">
        <v>1688</v>
      </c>
      <c r="B434" s="17" t="s">
        <v>1689</v>
      </c>
      <c r="C434" s="17">
        <v>6</v>
      </c>
      <c r="D434" s="1"/>
      <c r="E434" s="1">
        <v>2150</v>
      </c>
      <c r="F434" s="1">
        <v>2440</v>
      </c>
      <c r="G434" s="1">
        <v>23</v>
      </c>
      <c r="H434" s="1"/>
      <c r="I434" s="1"/>
      <c r="J434" s="1"/>
      <c r="K434" s="1"/>
      <c r="L434" s="17" t="s">
        <v>1690</v>
      </c>
      <c r="M434" s="17" t="s">
        <v>1691</v>
      </c>
      <c r="N434" s="17">
        <v>33</v>
      </c>
      <c r="O434" s="15" t="s">
        <v>31</v>
      </c>
    </row>
    <row r="435" spans="1:15" x14ac:dyDescent="0.2">
      <c r="A435" s="17" t="s">
        <v>1658</v>
      </c>
      <c r="B435" s="17" t="s">
        <v>1659</v>
      </c>
      <c r="C435" s="17">
        <v>15</v>
      </c>
      <c r="D435" s="1"/>
      <c r="E435" s="1">
        <v>2150</v>
      </c>
      <c r="F435" s="1">
        <v>2440</v>
      </c>
      <c r="G435" s="1">
        <v>53</v>
      </c>
      <c r="H435" s="1"/>
      <c r="I435" s="1"/>
      <c r="J435" s="1"/>
      <c r="K435" s="1"/>
      <c r="L435" s="17" t="s">
        <v>1692</v>
      </c>
      <c r="M435" s="17" t="s">
        <v>1693</v>
      </c>
      <c r="N435" s="17">
        <v>44</v>
      </c>
      <c r="O435" s="15" t="s">
        <v>31</v>
      </c>
    </row>
    <row r="436" spans="1:15" x14ac:dyDescent="0.2">
      <c r="A436" s="17" t="s">
        <v>1662</v>
      </c>
      <c r="B436" s="17" t="s">
        <v>1663</v>
      </c>
      <c r="C436" s="17">
        <v>18</v>
      </c>
      <c r="D436" s="1"/>
      <c r="E436" s="1">
        <v>2150</v>
      </c>
      <c r="F436" s="1">
        <v>2440</v>
      </c>
      <c r="G436" s="1">
        <v>61</v>
      </c>
      <c r="H436" s="1"/>
      <c r="I436" s="1"/>
      <c r="J436" s="1"/>
      <c r="K436" s="1"/>
      <c r="L436" s="17" t="s">
        <v>1694</v>
      </c>
      <c r="M436" s="17" t="s">
        <v>1695</v>
      </c>
      <c r="N436" s="17">
        <v>22</v>
      </c>
      <c r="O436" s="15" t="s">
        <v>31</v>
      </c>
    </row>
    <row r="437" spans="1:15" x14ac:dyDescent="0.2">
      <c r="A437" s="17" t="s">
        <v>1666</v>
      </c>
      <c r="B437" s="17" t="s">
        <v>1667</v>
      </c>
      <c r="C437" s="17">
        <v>25</v>
      </c>
      <c r="D437" s="1"/>
      <c r="E437" s="1">
        <v>2150</v>
      </c>
      <c r="F437" s="1">
        <v>2440</v>
      </c>
      <c r="G437" s="1">
        <v>83</v>
      </c>
      <c r="H437" s="1"/>
      <c r="I437" s="1"/>
      <c r="J437" s="1"/>
      <c r="K437" s="1"/>
      <c r="L437" s="17" t="s">
        <v>1694</v>
      </c>
      <c r="M437" s="17" t="s">
        <v>1696</v>
      </c>
      <c r="N437" s="17">
        <v>22</v>
      </c>
      <c r="O437" s="15" t="s">
        <v>31</v>
      </c>
    </row>
    <row r="438" spans="1:15" x14ac:dyDescent="0.2">
      <c r="A438" s="17" t="s">
        <v>1670</v>
      </c>
      <c r="B438" s="17" t="s">
        <v>1671</v>
      </c>
      <c r="C438" s="17">
        <v>9</v>
      </c>
      <c r="D438" s="1"/>
      <c r="E438" s="1">
        <v>2150</v>
      </c>
      <c r="F438" s="1">
        <v>2440</v>
      </c>
      <c r="G438" s="1">
        <v>33</v>
      </c>
      <c r="H438" s="1"/>
      <c r="I438" s="1"/>
      <c r="J438" s="1"/>
      <c r="K438" s="1"/>
      <c r="L438" s="17" t="s">
        <v>1697</v>
      </c>
      <c r="M438" s="17" t="s">
        <v>1698</v>
      </c>
      <c r="N438" s="17">
        <v>19</v>
      </c>
      <c r="O438" s="15" t="s">
        <v>31</v>
      </c>
    </row>
    <row r="439" spans="1:15" x14ac:dyDescent="0.2">
      <c r="A439" s="17" t="s">
        <v>1674</v>
      </c>
      <c r="B439" s="17" t="s">
        <v>1675</v>
      </c>
      <c r="C439" s="17">
        <v>12</v>
      </c>
      <c r="D439" s="1"/>
      <c r="E439" s="1">
        <v>2150</v>
      </c>
      <c r="F439" s="1">
        <v>2440</v>
      </c>
      <c r="G439" s="1">
        <v>41</v>
      </c>
      <c r="H439" s="1"/>
      <c r="I439" s="1"/>
      <c r="J439" s="1"/>
      <c r="K439" s="1"/>
      <c r="L439" s="17" t="s">
        <v>1697</v>
      </c>
      <c r="M439" s="17" t="s">
        <v>1699</v>
      </c>
      <c r="N439" s="17">
        <v>19</v>
      </c>
      <c r="O439" s="15" t="s">
        <v>31</v>
      </c>
    </row>
    <row r="440" spans="1:15" x14ac:dyDescent="0.2">
      <c r="A440" s="17" t="s">
        <v>1700</v>
      </c>
      <c r="B440" s="17" t="s">
        <v>1701</v>
      </c>
      <c r="C440" s="17">
        <v>15</v>
      </c>
      <c r="D440" s="1"/>
      <c r="E440" s="1">
        <v>2150</v>
      </c>
      <c r="F440" s="1">
        <v>2440</v>
      </c>
      <c r="G440" s="1">
        <v>53</v>
      </c>
      <c r="H440" s="1"/>
      <c r="I440" s="1"/>
      <c r="J440" s="1"/>
      <c r="K440" s="1"/>
      <c r="L440" s="17" t="s">
        <v>1702</v>
      </c>
      <c r="M440" s="17" t="s">
        <v>1703</v>
      </c>
      <c r="N440" s="17">
        <v>22</v>
      </c>
      <c r="O440" s="15" t="s">
        <v>31</v>
      </c>
    </row>
    <row r="441" spans="1:15" x14ac:dyDescent="0.2">
      <c r="A441" s="17" t="s">
        <v>1704</v>
      </c>
      <c r="B441" s="17" t="s">
        <v>1705</v>
      </c>
      <c r="C441" s="17">
        <v>18</v>
      </c>
      <c r="D441" s="1"/>
      <c r="E441" s="1">
        <v>2150</v>
      </c>
      <c r="F441" s="1">
        <v>2440</v>
      </c>
      <c r="G441" s="1">
        <v>61</v>
      </c>
      <c r="H441" s="1"/>
      <c r="I441" s="1"/>
      <c r="J441" s="1"/>
      <c r="K441" s="1"/>
      <c r="L441" s="17" t="s">
        <v>1706</v>
      </c>
      <c r="M441" s="17" t="s">
        <v>1707</v>
      </c>
      <c r="N441" s="17">
        <v>29</v>
      </c>
      <c r="O441" s="15" t="s">
        <v>31</v>
      </c>
    </row>
    <row r="442" spans="1:15" x14ac:dyDescent="0.2">
      <c r="A442" s="17" t="s">
        <v>1708</v>
      </c>
      <c r="B442" s="17" t="s">
        <v>1709</v>
      </c>
      <c r="C442" s="17">
        <v>25</v>
      </c>
      <c r="D442" s="1"/>
      <c r="E442" s="1">
        <v>2150</v>
      </c>
      <c r="F442" s="1">
        <v>2440</v>
      </c>
      <c r="G442" s="1">
        <v>83</v>
      </c>
      <c r="H442" s="1"/>
      <c r="I442" s="1"/>
      <c r="J442" s="1"/>
      <c r="K442" s="1"/>
      <c r="L442" s="17" t="s">
        <v>1710</v>
      </c>
      <c r="M442" s="17" t="s">
        <v>1711</v>
      </c>
      <c r="N442" s="17">
        <v>19</v>
      </c>
      <c r="O442" s="15" t="s">
        <v>31</v>
      </c>
    </row>
    <row r="443" spans="1:15" x14ac:dyDescent="0.2">
      <c r="A443" s="17" t="s">
        <v>1712</v>
      </c>
      <c r="B443" s="17" t="s">
        <v>1713</v>
      </c>
      <c r="C443" s="17">
        <v>15</v>
      </c>
      <c r="D443" s="1"/>
      <c r="E443" s="1">
        <v>2150</v>
      </c>
      <c r="F443" s="1">
        <v>2440</v>
      </c>
      <c r="G443" s="1">
        <v>53</v>
      </c>
      <c r="H443" s="1"/>
      <c r="I443" s="1"/>
      <c r="J443" s="1"/>
      <c r="K443" s="1"/>
      <c r="L443" s="17" t="s">
        <v>1714</v>
      </c>
      <c r="M443" s="17" t="s">
        <v>1715</v>
      </c>
      <c r="N443" s="17">
        <v>22</v>
      </c>
      <c r="O443" s="15" t="s">
        <v>31</v>
      </c>
    </row>
    <row r="444" spans="1:15" x14ac:dyDescent="0.2">
      <c r="A444" s="17" t="s">
        <v>1716</v>
      </c>
      <c r="B444" s="17" t="s">
        <v>1717</v>
      </c>
      <c r="C444" s="17">
        <v>16</v>
      </c>
      <c r="D444" s="1"/>
      <c r="E444" s="1">
        <v>2150</v>
      </c>
      <c r="F444" s="1">
        <v>2440</v>
      </c>
      <c r="G444" s="1">
        <v>54</v>
      </c>
      <c r="H444" s="1"/>
      <c r="I444" s="1"/>
      <c r="J444" s="1"/>
      <c r="K444" s="1"/>
      <c r="L444" s="17" t="s">
        <v>1718</v>
      </c>
      <c r="M444" s="17" t="s">
        <v>1719</v>
      </c>
      <c r="N444" s="17">
        <v>33</v>
      </c>
      <c r="O444" s="15" t="s">
        <v>31</v>
      </c>
    </row>
    <row r="445" spans="1:15" x14ac:dyDescent="0.2">
      <c r="A445" s="17" t="s">
        <v>1720</v>
      </c>
      <c r="B445" s="17" t="s">
        <v>1721</v>
      </c>
      <c r="C445" s="17">
        <v>6</v>
      </c>
      <c r="D445" s="1"/>
      <c r="E445" s="1">
        <v>2150</v>
      </c>
      <c r="F445" s="1">
        <v>2440</v>
      </c>
      <c r="G445" s="1">
        <v>23</v>
      </c>
      <c r="H445" s="1"/>
      <c r="I445" s="1"/>
      <c r="J445" s="1"/>
      <c r="K445" s="1"/>
      <c r="L445" s="17" t="s">
        <v>1722</v>
      </c>
      <c r="M445" s="17" t="s">
        <v>1723</v>
      </c>
      <c r="N445" s="17">
        <v>44</v>
      </c>
      <c r="O445" s="15" t="s">
        <v>31</v>
      </c>
    </row>
    <row r="446" spans="1:15" x14ac:dyDescent="0.2">
      <c r="A446" s="17" t="s">
        <v>1724</v>
      </c>
      <c r="B446" s="17" t="s">
        <v>1725</v>
      </c>
      <c r="C446" s="17">
        <v>6</v>
      </c>
      <c r="D446" s="1"/>
      <c r="E446" s="1">
        <v>2150</v>
      </c>
      <c r="F446" s="1">
        <v>2440</v>
      </c>
      <c r="G446" s="1">
        <v>23</v>
      </c>
      <c r="H446" s="1"/>
      <c r="I446" s="1"/>
      <c r="J446" s="1"/>
      <c r="K446" s="1"/>
      <c r="L446" s="17" t="s">
        <v>1726</v>
      </c>
      <c r="M446" s="17" t="s">
        <v>1727</v>
      </c>
      <c r="N446" s="17">
        <v>19</v>
      </c>
      <c r="O446" s="15" t="s">
        <v>31</v>
      </c>
    </row>
    <row r="447" spans="1:15" x14ac:dyDescent="0.2">
      <c r="A447" s="17" t="s">
        <v>1728</v>
      </c>
      <c r="B447" s="17" t="s">
        <v>1729</v>
      </c>
      <c r="C447" s="17">
        <v>15</v>
      </c>
      <c r="D447" s="1"/>
      <c r="E447" s="1">
        <v>2150</v>
      </c>
      <c r="F447" s="1">
        <v>2440</v>
      </c>
      <c r="G447" s="1">
        <v>53</v>
      </c>
      <c r="H447" s="1"/>
      <c r="I447" s="1"/>
      <c r="J447" s="1"/>
      <c r="K447" s="1"/>
      <c r="L447" s="17" t="s">
        <v>1726</v>
      </c>
      <c r="M447" s="17" t="s">
        <v>1730</v>
      </c>
      <c r="N447" s="17">
        <v>19</v>
      </c>
      <c r="O447" s="15" t="s">
        <v>31</v>
      </c>
    </row>
    <row r="448" spans="1:15" x14ac:dyDescent="0.2">
      <c r="A448" s="17" t="s">
        <v>1731</v>
      </c>
      <c r="B448" s="17" t="s">
        <v>1732</v>
      </c>
      <c r="C448" s="17">
        <v>6</v>
      </c>
      <c r="D448" s="1"/>
      <c r="E448" s="1">
        <v>2150</v>
      </c>
      <c r="F448" s="1">
        <v>2440</v>
      </c>
      <c r="G448" s="1">
        <v>23</v>
      </c>
      <c r="H448" s="1"/>
      <c r="I448" s="1"/>
      <c r="J448" s="1"/>
      <c r="K448" s="1"/>
      <c r="L448" s="17" t="s">
        <v>1733</v>
      </c>
      <c r="M448" s="17" t="s">
        <v>1734</v>
      </c>
      <c r="N448" s="17">
        <v>22</v>
      </c>
      <c r="O448" s="15" t="s">
        <v>31</v>
      </c>
    </row>
    <row r="449" spans="1:15" x14ac:dyDescent="0.2">
      <c r="A449" s="17" t="s">
        <v>1735</v>
      </c>
      <c r="B449" s="17" t="s">
        <v>1736</v>
      </c>
      <c r="C449" s="17">
        <v>7</v>
      </c>
      <c r="D449" s="1"/>
      <c r="E449" s="1">
        <v>2150</v>
      </c>
      <c r="F449" s="1">
        <v>2440</v>
      </c>
      <c r="G449" s="1">
        <v>25</v>
      </c>
      <c r="H449" s="1"/>
      <c r="I449" s="1"/>
      <c r="J449" s="1"/>
      <c r="K449" s="1"/>
      <c r="L449" s="17" t="s">
        <v>1737</v>
      </c>
      <c r="M449" s="17" t="s">
        <v>1738</v>
      </c>
      <c r="N449" s="17">
        <v>19</v>
      </c>
      <c r="O449" s="15" t="s">
        <v>31</v>
      </c>
    </row>
    <row r="450" spans="1:15" x14ac:dyDescent="0.2">
      <c r="A450" s="17" t="s">
        <v>1739</v>
      </c>
      <c r="B450" s="17" t="s">
        <v>1740</v>
      </c>
      <c r="C450" s="17">
        <v>9</v>
      </c>
      <c r="D450" s="1"/>
      <c r="E450" s="1">
        <v>2150</v>
      </c>
      <c r="F450" s="1">
        <v>2440</v>
      </c>
      <c r="G450" s="1">
        <v>33</v>
      </c>
      <c r="H450" s="1"/>
      <c r="I450" s="1"/>
      <c r="J450" s="1"/>
      <c r="K450" s="1"/>
      <c r="L450" s="17" t="s">
        <v>1741</v>
      </c>
      <c r="M450" s="17" t="s">
        <v>1742</v>
      </c>
      <c r="N450" s="17">
        <v>19</v>
      </c>
      <c r="O450" s="15" t="s">
        <v>31</v>
      </c>
    </row>
    <row r="451" spans="1:15" x14ac:dyDescent="0.2">
      <c r="A451" s="17" t="s">
        <v>1743</v>
      </c>
      <c r="B451" s="17" t="s">
        <v>1744</v>
      </c>
      <c r="C451" s="17">
        <v>6</v>
      </c>
      <c r="D451" s="1"/>
      <c r="E451" s="1">
        <v>2150</v>
      </c>
      <c r="F451" s="1">
        <v>2440</v>
      </c>
      <c r="G451" s="1">
        <v>23</v>
      </c>
      <c r="H451" s="1"/>
      <c r="I451" s="1"/>
      <c r="J451" s="1"/>
      <c r="K451" s="1"/>
      <c r="L451" s="17" t="s">
        <v>1745</v>
      </c>
      <c r="M451" s="17" t="s">
        <v>1746</v>
      </c>
      <c r="N451" s="17">
        <v>22</v>
      </c>
      <c r="O451" s="15" t="s">
        <v>31</v>
      </c>
    </row>
    <row r="452" spans="1:15" x14ac:dyDescent="0.2">
      <c r="A452" s="17" t="s">
        <v>1747</v>
      </c>
      <c r="B452" s="17" t="s">
        <v>1748</v>
      </c>
      <c r="C452" s="17">
        <v>12</v>
      </c>
      <c r="D452" s="1"/>
      <c r="E452" s="1">
        <v>2150</v>
      </c>
      <c r="F452" s="1">
        <v>2440</v>
      </c>
      <c r="G452" s="1">
        <v>41</v>
      </c>
      <c r="H452" s="1"/>
      <c r="I452" s="1"/>
      <c r="J452" s="1"/>
      <c r="K452" s="1"/>
      <c r="L452" s="17" t="s">
        <v>1749</v>
      </c>
      <c r="M452" s="17" t="s">
        <v>1750</v>
      </c>
      <c r="N452" s="17">
        <v>33</v>
      </c>
      <c r="O452" s="15" t="s">
        <v>31</v>
      </c>
    </row>
    <row r="453" spans="1:15" x14ac:dyDescent="0.2">
      <c r="A453" s="17" t="s">
        <v>1751</v>
      </c>
      <c r="B453" s="17" t="s">
        <v>1752</v>
      </c>
      <c r="C453" s="17">
        <v>15</v>
      </c>
      <c r="D453" s="1"/>
      <c r="E453" s="1">
        <v>2150</v>
      </c>
      <c r="F453" s="1">
        <v>2440</v>
      </c>
      <c r="G453" s="1">
        <v>53</v>
      </c>
      <c r="H453" s="1"/>
      <c r="I453" s="1"/>
      <c r="J453" s="1"/>
      <c r="K453" s="1"/>
      <c r="L453" s="17" t="s">
        <v>1753</v>
      </c>
      <c r="M453" s="17" t="s">
        <v>1754</v>
      </c>
      <c r="N453" s="17">
        <v>19</v>
      </c>
      <c r="O453" s="15" t="s">
        <v>31</v>
      </c>
    </row>
    <row r="454" spans="1:15" x14ac:dyDescent="0.2">
      <c r="A454" s="17" t="s">
        <v>1755</v>
      </c>
      <c r="B454" s="17" t="s">
        <v>1756</v>
      </c>
      <c r="C454" s="17">
        <v>18</v>
      </c>
      <c r="D454" s="1"/>
      <c r="E454" s="1">
        <v>2150</v>
      </c>
      <c r="F454" s="1">
        <v>2440</v>
      </c>
      <c r="G454" s="1">
        <v>61</v>
      </c>
      <c r="H454" s="1"/>
      <c r="I454" s="1"/>
      <c r="J454" s="1"/>
      <c r="K454" s="1"/>
      <c r="L454" s="17" t="s">
        <v>1757</v>
      </c>
      <c r="M454" s="17" t="s">
        <v>1758</v>
      </c>
      <c r="N454" s="17">
        <v>22</v>
      </c>
      <c r="O454" s="15" t="s">
        <v>31</v>
      </c>
    </row>
    <row r="455" spans="1:15" x14ac:dyDescent="0.2">
      <c r="A455" s="17" t="s">
        <v>1759</v>
      </c>
      <c r="B455" s="17" t="s">
        <v>1760</v>
      </c>
      <c r="C455" s="17">
        <v>36</v>
      </c>
      <c r="D455" s="1"/>
      <c r="E455" s="1">
        <v>2150</v>
      </c>
      <c r="F455" s="1">
        <v>2440</v>
      </c>
      <c r="G455" s="1">
        <v>117</v>
      </c>
      <c r="H455" s="1"/>
      <c r="I455" s="1"/>
      <c r="J455" s="1"/>
      <c r="K455" s="1"/>
      <c r="L455" s="17" t="s">
        <v>1761</v>
      </c>
      <c r="M455" s="17" t="s">
        <v>1762</v>
      </c>
      <c r="N455" s="17">
        <v>44</v>
      </c>
      <c r="O455" s="15" t="s">
        <v>31</v>
      </c>
    </row>
    <row r="456" spans="1:15" x14ac:dyDescent="0.2">
      <c r="A456" s="17" t="s">
        <v>1763</v>
      </c>
      <c r="B456" s="17" t="s">
        <v>1764</v>
      </c>
      <c r="C456" s="17">
        <v>9</v>
      </c>
      <c r="D456" s="1"/>
      <c r="E456" s="1">
        <v>2150</v>
      </c>
      <c r="F456" s="1">
        <v>2440</v>
      </c>
      <c r="G456" s="1">
        <v>33</v>
      </c>
      <c r="H456" s="1"/>
      <c r="I456" s="1"/>
      <c r="J456" s="1"/>
      <c r="K456" s="1"/>
      <c r="L456" s="17" t="s">
        <v>1765</v>
      </c>
      <c r="M456" s="17" t="s">
        <v>1766</v>
      </c>
      <c r="N456" s="17">
        <v>19</v>
      </c>
      <c r="O456" s="15" t="s">
        <v>31</v>
      </c>
    </row>
    <row r="457" spans="1:15" x14ac:dyDescent="0.2">
      <c r="A457" s="17" t="s">
        <v>1767</v>
      </c>
      <c r="B457" s="17" t="s">
        <v>1768</v>
      </c>
      <c r="C457" s="17">
        <v>15</v>
      </c>
      <c r="D457" s="1"/>
      <c r="E457" s="1">
        <v>2150</v>
      </c>
      <c r="F457" s="1">
        <v>2440</v>
      </c>
      <c r="G457" s="1">
        <v>53</v>
      </c>
      <c r="H457" s="1"/>
      <c r="I457" s="1"/>
      <c r="J457" s="1"/>
      <c r="K457" s="1"/>
      <c r="L457" s="17" t="s">
        <v>1769</v>
      </c>
      <c r="M457" s="17" t="s">
        <v>1770</v>
      </c>
      <c r="N457" s="17">
        <v>33</v>
      </c>
      <c r="O457" s="15" t="s">
        <v>22</v>
      </c>
    </row>
    <row r="458" spans="1:15" x14ac:dyDescent="0.2">
      <c r="A458" s="17" t="s">
        <v>1771</v>
      </c>
      <c r="B458" s="17" t="s">
        <v>1772</v>
      </c>
      <c r="C458" s="17">
        <v>6</v>
      </c>
      <c r="D458" s="1"/>
      <c r="E458" s="1">
        <v>2150</v>
      </c>
      <c r="F458" s="1">
        <v>2440</v>
      </c>
      <c r="G458" s="1">
        <v>23</v>
      </c>
      <c r="H458" s="1"/>
      <c r="I458" s="1"/>
      <c r="J458" s="1"/>
      <c r="K458" s="1"/>
      <c r="L458" s="17" t="s">
        <v>1773</v>
      </c>
      <c r="M458" s="17" t="s">
        <v>1774</v>
      </c>
      <c r="N458" s="17">
        <v>19</v>
      </c>
      <c r="O458" s="15" t="s">
        <v>31</v>
      </c>
    </row>
    <row r="459" spans="1:15" x14ac:dyDescent="0.2">
      <c r="A459" s="17" t="s">
        <v>1775</v>
      </c>
      <c r="B459" s="17" t="s">
        <v>1776</v>
      </c>
      <c r="C459" s="17">
        <v>15</v>
      </c>
      <c r="D459" s="1"/>
      <c r="E459" s="1">
        <v>2150</v>
      </c>
      <c r="F459" s="1">
        <v>2440</v>
      </c>
      <c r="G459" s="1">
        <v>53</v>
      </c>
      <c r="H459" s="1"/>
      <c r="I459" s="1"/>
      <c r="J459" s="1"/>
      <c r="K459" s="1"/>
      <c r="L459" s="17" t="s">
        <v>1777</v>
      </c>
      <c r="M459" s="17" t="s">
        <v>1778</v>
      </c>
      <c r="N459" s="17">
        <v>22</v>
      </c>
      <c r="O459" s="15" t="s">
        <v>31</v>
      </c>
    </row>
    <row r="460" spans="1:15" x14ac:dyDescent="0.2">
      <c r="A460" s="17" t="s">
        <v>1779</v>
      </c>
      <c r="B460" s="17" t="s">
        <v>1780</v>
      </c>
      <c r="C460" s="17">
        <v>18</v>
      </c>
      <c r="D460" s="1"/>
      <c r="E460" s="1">
        <v>2150</v>
      </c>
      <c r="F460" s="1">
        <v>2440</v>
      </c>
      <c r="G460" s="1">
        <v>61</v>
      </c>
      <c r="H460" s="1"/>
      <c r="I460" s="1"/>
      <c r="J460" s="1"/>
      <c r="K460" s="1"/>
      <c r="L460" s="17" t="s">
        <v>1781</v>
      </c>
      <c r="M460" s="17" t="s">
        <v>1782</v>
      </c>
      <c r="N460" s="17">
        <v>33</v>
      </c>
      <c r="O460" s="15" t="s">
        <v>31</v>
      </c>
    </row>
    <row r="461" spans="1:15" x14ac:dyDescent="0.2">
      <c r="A461" s="17" t="s">
        <v>1783</v>
      </c>
      <c r="B461" s="17" t="s">
        <v>1784</v>
      </c>
      <c r="C461" s="17">
        <v>25</v>
      </c>
      <c r="D461" s="1"/>
      <c r="E461" s="1">
        <v>2150</v>
      </c>
      <c r="F461" s="1">
        <v>2440</v>
      </c>
      <c r="G461" s="1">
        <v>83</v>
      </c>
      <c r="H461" s="1"/>
      <c r="I461" s="1"/>
      <c r="J461" s="1"/>
      <c r="K461" s="1"/>
      <c r="L461" s="17" t="s">
        <v>1785</v>
      </c>
      <c r="M461" s="17" t="s">
        <v>1786</v>
      </c>
      <c r="N461" s="17">
        <v>44</v>
      </c>
      <c r="O461" s="15" t="s">
        <v>31</v>
      </c>
    </row>
    <row r="462" spans="1:15" x14ac:dyDescent="0.2">
      <c r="A462" s="17" t="s">
        <v>1787</v>
      </c>
      <c r="B462" s="17" t="s">
        <v>1788</v>
      </c>
      <c r="C462" s="17">
        <v>9</v>
      </c>
      <c r="D462" s="1"/>
      <c r="E462" s="1">
        <v>2150</v>
      </c>
      <c r="F462" s="1">
        <v>2440</v>
      </c>
      <c r="G462" s="1">
        <v>33</v>
      </c>
      <c r="H462" s="1"/>
      <c r="I462" s="1"/>
      <c r="J462" s="1"/>
      <c r="K462" s="1"/>
      <c r="L462" s="17" t="s">
        <v>1789</v>
      </c>
      <c r="M462" s="17" t="s">
        <v>1790</v>
      </c>
      <c r="N462" s="17">
        <v>19</v>
      </c>
      <c r="O462" s="15" t="s">
        <v>31</v>
      </c>
    </row>
    <row r="463" spans="1:15" x14ac:dyDescent="0.2">
      <c r="A463" s="17" t="s">
        <v>1791</v>
      </c>
      <c r="B463" s="17" t="s">
        <v>1792</v>
      </c>
      <c r="C463" s="17">
        <v>15</v>
      </c>
      <c r="D463" s="1"/>
      <c r="E463" s="1">
        <v>2150</v>
      </c>
      <c r="F463" s="1">
        <v>2440</v>
      </c>
      <c r="G463" s="1">
        <v>53</v>
      </c>
      <c r="H463" s="1"/>
      <c r="I463" s="1"/>
      <c r="J463" s="1"/>
      <c r="K463" s="1"/>
      <c r="L463" s="17" t="s">
        <v>1789</v>
      </c>
      <c r="M463" s="17" t="s">
        <v>1793</v>
      </c>
      <c r="N463" s="17">
        <v>19</v>
      </c>
      <c r="O463" s="15" t="s">
        <v>31</v>
      </c>
    </row>
    <row r="464" spans="1:15" x14ac:dyDescent="0.2">
      <c r="A464" s="17" t="s">
        <v>1794</v>
      </c>
      <c r="B464" s="17" t="s">
        <v>1795</v>
      </c>
      <c r="C464" s="17">
        <v>9</v>
      </c>
      <c r="D464" s="1"/>
      <c r="E464" s="1">
        <v>2150</v>
      </c>
      <c r="F464" s="1">
        <v>2440</v>
      </c>
      <c r="G464" s="1">
        <v>33</v>
      </c>
      <c r="H464" s="1"/>
      <c r="I464" s="1"/>
      <c r="J464" s="1"/>
      <c r="K464" s="1"/>
      <c r="L464" s="17" t="s">
        <v>1796</v>
      </c>
      <c r="M464" s="17" t="s">
        <v>1790</v>
      </c>
      <c r="N464" s="17">
        <v>19</v>
      </c>
      <c r="O464" s="15" t="s">
        <v>31</v>
      </c>
    </row>
    <row r="465" spans="1:15" x14ac:dyDescent="0.2">
      <c r="A465" s="17" t="s">
        <v>1797</v>
      </c>
      <c r="B465" s="17" t="s">
        <v>1798</v>
      </c>
      <c r="C465" s="17">
        <v>15</v>
      </c>
      <c r="D465" s="1"/>
      <c r="E465" s="1">
        <v>2150</v>
      </c>
      <c r="F465" s="1">
        <v>2440</v>
      </c>
      <c r="G465" s="1">
        <v>53</v>
      </c>
      <c r="H465" s="1"/>
      <c r="I465" s="1"/>
      <c r="J465" s="1"/>
      <c r="K465" s="1"/>
      <c r="L465" s="17" t="s">
        <v>1796</v>
      </c>
      <c r="M465" s="17" t="s">
        <v>1799</v>
      </c>
      <c r="N465" s="17">
        <v>22</v>
      </c>
      <c r="O465" s="15" t="s">
        <v>31</v>
      </c>
    </row>
    <row r="466" spans="1:15" x14ac:dyDescent="0.2">
      <c r="A466" s="17" t="s">
        <v>1800</v>
      </c>
      <c r="B466" s="17" t="s">
        <v>1801</v>
      </c>
      <c r="C466" s="17">
        <v>6</v>
      </c>
      <c r="D466" s="1"/>
      <c r="E466" s="1">
        <v>2150</v>
      </c>
      <c r="F466" s="1">
        <v>2440</v>
      </c>
      <c r="G466" s="1">
        <v>23</v>
      </c>
      <c r="H466" s="1"/>
      <c r="I466" s="1"/>
      <c r="J466" s="1"/>
      <c r="K466" s="1"/>
      <c r="L466" s="17" t="s">
        <v>1796</v>
      </c>
      <c r="M466" s="17" t="s">
        <v>1802</v>
      </c>
      <c r="N466" s="17">
        <v>22</v>
      </c>
      <c r="O466" s="15" t="s">
        <v>31</v>
      </c>
    </row>
    <row r="467" spans="1:15" x14ac:dyDescent="0.2">
      <c r="A467" s="17" t="s">
        <v>1803</v>
      </c>
      <c r="B467" s="17" t="s">
        <v>1804</v>
      </c>
      <c r="C467" s="17">
        <v>15</v>
      </c>
      <c r="D467" s="1"/>
      <c r="E467" s="1">
        <v>2150</v>
      </c>
      <c r="F467" s="1">
        <v>2440</v>
      </c>
      <c r="G467" s="1">
        <v>53</v>
      </c>
      <c r="H467" s="1"/>
      <c r="I467" s="1"/>
      <c r="J467" s="1"/>
      <c r="K467" s="1"/>
      <c r="L467" s="17" t="s">
        <v>1805</v>
      </c>
      <c r="M467" s="17" t="s">
        <v>1806</v>
      </c>
      <c r="N467" s="17">
        <v>33</v>
      </c>
      <c r="O467" s="15" t="s">
        <v>31</v>
      </c>
    </row>
    <row r="468" spans="1:15" x14ac:dyDescent="0.2">
      <c r="A468" s="17" t="s">
        <v>1807</v>
      </c>
      <c r="B468" s="17" t="s">
        <v>1808</v>
      </c>
      <c r="C468" s="17">
        <v>18</v>
      </c>
      <c r="D468" s="1"/>
      <c r="E468" s="1">
        <v>2150</v>
      </c>
      <c r="F468" s="1">
        <v>2440</v>
      </c>
      <c r="G468" s="1">
        <v>61</v>
      </c>
      <c r="H468" s="1"/>
      <c r="I468" s="1"/>
      <c r="J468" s="1"/>
      <c r="K468" s="1"/>
      <c r="L468" s="17" t="s">
        <v>1809</v>
      </c>
      <c r="M468" s="17" t="s">
        <v>1810</v>
      </c>
      <c r="N468" s="17">
        <v>19</v>
      </c>
      <c r="O468" s="15" t="s">
        <v>31</v>
      </c>
    </row>
    <row r="469" spans="1:15" x14ac:dyDescent="0.2">
      <c r="A469" s="17" t="s">
        <v>1811</v>
      </c>
      <c r="B469" s="17" t="s">
        <v>1812</v>
      </c>
      <c r="C469" s="17">
        <v>25</v>
      </c>
      <c r="D469" s="1"/>
      <c r="E469" s="1">
        <v>2150</v>
      </c>
      <c r="F469" s="1">
        <v>2440</v>
      </c>
      <c r="G469" s="1">
        <v>83</v>
      </c>
      <c r="H469" s="1"/>
      <c r="I469" s="1"/>
      <c r="J469" s="1"/>
      <c r="K469" s="1"/>
      <c r="L469" s="17" t="s">
        <v>1813</v>
      </c>
      <c r="M469" s="17" t="s">
        <v>1814</v>
      </c>
      <c r="N469" s="17">
        <v>22</v>
      </c>
      <c r="O469" s="15" t="s">
        <v>31</v>
      </c>
    </row>
    <row r="470" spans="1:15" x14ac:dyDescent="0.2">
      <c r="A470" s="17" t="s">
        <v>1815</v>
      </c>
      <c r="B470" s="17" t="s">
        <v>1816</v>
      </c>
      <c r="C470" s="17">
        <v>36</v>
      </c>
      <c r="D470" s="1"/>
      <c r="E470" s="1">
        <v>2150</v>
      </c>
      <c r="F470" s="1">
        <v>2440</v>
      </c>
      <c r="G470" s="1">
        <v>117</v>
      </c>
      <c r="H470" s="1"/>
      <c r="I470" s="1"/>
      <c r="J470" s="1"/>
      <c r="K470" s="1"/>
      <c r="L470" s="17" t="s">
        <v>1817</v>
      </c>
      <c r="M470" s="17" t="s">
        <v>1818</v>
      </c>
      <c r="N470" s="17">
        <v>19</v>
      </c>
      <c r="O470" s="15" t="s">
        <v>31</v>
      </c>
    </row>
    <row r="471" spans="1:15" x14ac:dyDescent="0.2">
      <c r="A471" s="17" t="s">
        <v>1819</v>
      </c>
      <c r="B471" s="17" t="s">
        <v>1820</v>
      </c>
      <c r="C471" s="17">
        <v>9</v>
      </c>
      <c r="D471" s="1"/>
      <c r="E471" s="1">
        <v>2150</v>
      </c>
      <c r="F471" s="1">
        <v>2440</v>
      </c>
      <c r="G471" s="1">
        <v>33</v>
      </c>
      <c r="H471" s="1"/>
      <c r="I471" s="1"/>
      <c r="J471" s="1"/>
      <c r="K471" s="1"/>
      <c r="L471" s="17" t="s">
        <v>1821</v>
      </c>
      <c r="M471" s="17" t="s">
        <v>1822</v>
      </c>
      <c r="N471" s="17">
        <v>22</v>
      </c>
      <c r="O471" s="15" t="s">
        <v>31</v>
      </c>
    </row>
    <row r="472" spans="1:15" x14ac:dyDescent="0.2">
      <c r="A472" s="17" t="s">
        <v>1823</v>
      </c>
      <c r="B472" s="17" t="s">
        <v>1824</v>
      </c>
      <c r="C472" s="17">
        <v>15</v>
      </c>
      <c r="D472" s="1"/>
      <c r="E472" s="1">
        <v>2150</v>
      </c>
      <c r="F472" s="1">
        <v>2440</v>
      </c>
      <c r="G472" s="1">
        <v>53</v>
      </c>
      <c r="H472" s="1"/>
      <c r="I472" s="1"/>
      <c r="J472" s="1"/>
      <c r="K472" s="1"/>
      <c r="L472" s="17" t="s">
        <v>1825</v>
      </c>
      <c r="M472" s="17" t="s">
        <v>1826</v>
      </c>
      <c r="N472" s="17">
        <v>44</v>
      </c>
      <c r="O472" s="15" t="s">
        <v>31</v>
      </c>
    </row>
    <row r="473" spans="1:15" x14ac:dyDescent="0.2">
      <c r="A473" s="17" t="s">
        <v>1827</v>
      </c>
      <c r="B473" s="17" t="s">
        <v>1828</v>
      </c>
      <c r="C473" s="17">
        <v>15</v>
      </c>
      <c r="D473" s="1"/>
      <c r="E473" s="1">
        <v>2150</v>
      </c>
      <c r="F473" s="1">
        <v>2440</v>
      </c>
      <c r="G473" s="1">
        <v>53</v>
      </c>
      <c r="H473" s="1"/>
      <c r="I473" s="1"/>
      <c r="J473" s="1"/>
      <c r="K473" s="1"/>
      <c r="L473" s="17" t="s">
        <v>1829</v>
      </c>
      <c r="M473" s="17" t="s">
        <v>1830</v>
      </c>
      <c r="N473" s="17">
        <v>22</v>
      </c>
      <c r="O473" s="15" t="s">
        <v>31</v>
      </c>
    </row>
    <row r="474" spans="1:15" x14ac:dyDescent="0.2">
      <c r="A474" s="17" t="s">
        <v>1831</v>
      </c>
      <c r="B474" s="17" t="s">
        <v>1832</v>
      </c>
      <c r="C474" s="17">
        <v>15</v>
      </c>
      <c r="D474" s="1"/>
      <c r="E474" s="1">
        <v>2150</v>
      </c>
      <c r="F474" s="1">
        <v>2440</v>
      </c>
      <c r="G474" s="1">
        <v>53</v>
      </c>
      <c r="H474" s="1"/>
      <c r="I474" s="1"/>
      <c r="J474" s="1"/>
      <c r="K474" s="1"/>
      <c r="L474" s="17" t="s">
        <v>1833</v>
      </c>
      <c r="M474" s="17" t="s">
        <v>1834</v>
      </c>
      <c r="N474" s="17">
        <v>44</v>
      </c>
      <c r="O474" s="15" t="s">
        <v>31</v>
      </c>
    </row>
    <row r="475" spans="1:15" x14ac:dyDescent="0.2">
      <c r="A475" s="17" t="s">
        <v>1835</v>
      </c>
      <c r="B475" s="17" t="s">
        <v>1836</v>
      </c>
      <c r="C475" s="17">
        <v>6</v>
      </c>
      <c r="D475" s="1"/>
      <c r="E475" s="1">
        <v>2150</v>
      </c>
      <c r="F475" s="1">
        <v>2440</v>
      </c>
      <c r="G475" s="1">
        <v>23</v>
      </c>
      <c r="H475" s="1"/>
      <c r="I475" s="1"/>
      <c r="J475" s="1"/>
      <c r="K475" s="1"/>
      <c r="L475" s="17" t="s">
        <v>1837</v>
      </c>
      <c r="M475" s="17" t="s">
        <v>1838</v>
      </c>
      <c r="N475" s="17">
        <v>19</v>
      </c>
      <c r="O475" s="15" t="s">
        <v>31</v>
      </c>
    </row>
    <row r="476" spans="1:15" x14ac:dyDescent="0.2">
      <c r="A476" s="17" t="s">
        <v>1839</v>
      </c>
      <c r="B476" s="17" t="s">
        <v>1840</v>
      </c>
      <c r="C476" s="17">
        <v>15</v>
      </c>
      <c r="D476" s="1"/>
      <c r="E476" s="1">
        <v>2150</v>
      </c>
      <c r="F476" s="1">
        <v>2440</v>
      </c>
      <c r="G476" s="1">
        <v>53</v>
      </c>
      <c r="H476" s="1"/>
      <c r="I476" s="1"/>
      <c r="J476" s="1"/>
      <c r="K476" s="1"/>
      <c r="L476" s="17" t="s">
        <v>1841</v>
      </c>
      <c r="M476" s="17" t="s">
        <v>1842</v>
      </c>
      <c r="N476" s="17">
        <v>22</v>
      </c>
      <c r="O476" s="15" t="s">
        <v>31</v>
      </c>
    </row>
    <row r="477" spans="1:15" x14ac:dyDescent="0.2">
      <c r="A477" s="17" t="s">
        <v>1843</v>
      </c>
      <c r="B477" s="17" t="s">
        <v>1844</v>
      </c>
      <c r="C477" s="17">
        <v>18</v>
      </c>
      <c r="D477" s="1"/>
      <c r="E477" s="1">
        <v>2150</v>
      </c>
      <c r="F477" s="1">
        <v>2440</v>
      </c>
      <c r="G477" s="1">
        <v>61</v>
      </c>
      <c r="H477" s="1"/>
      <c r="I477" s="1"/>
      <c r="J477" s="1"/>
      <c r="K477" s="1"/>
      <c r="L477" s="17" t="s">
        <v>1845</v>
      </c>
      <c r="M477" s="17" t="s">
        <v>1846</v>
      </c>
      <c r="N477" s="17">
        <v>16</v>
      </c>
      <c r="O477" s="15" t="s">
        <v>31</v>
      </c>
    </row>
    <row r="478" spans="1:15" x14ac:dyDescent="0.2">
      <c r="A478" s="17" t="s">
        <v>1847</v>
      </c>
      <c r="B478" s="17" t="s">
        <v>1848</v>
      </c>
      <c r="C478" s="17">
        <v>9</v>
      </c>
      <c r="D478" s="1"/>
      <c r="E478" s="1">
        <v>2150</v>
      </c>
      <c r="F478" s="1">
        <v>2440</v>
      </c>
      <c r="G478" s="1">
        <v>33</v>
      </c>
      <c r="H478" s="1"/>
      <c r="I478" s="1"/>
      <c r="J478" s="1"/>
      <c r="K478" s="1"/>
      <c r="L478" s="17" t="s">
        <v>1849</v>
      </c>
      <c r="M478" s="17" t="s">
        <v>1850</v>
      </c>
      <c r="N478" s="17">
        <v>19</v>
      </c>
      <c r="O478" s="15" t="s">
        <v>31</v>
      </c>
    </row>
    <row r="479" spans="1:15" x14ac:dyDescent="0.2">
      <c r="A479" s="17" t="s">
        <v>1851</v>
      </c>
      <c r="B479" s="17" t="s">
        <v>1852</v>
      </c>
      <c r="C479" s="17">
        <v>6</v>
      </c>
      <c r="D479" s="1"/>
      <c r="E479" s="1">
        <v>2150</v>
      </c>
      <c r="F479" s="1">
        <v>2440</v>
      </c>
      <c r="G479" s="1">
        <v>23</v>
      </c>
      <c r="H479" s="1"/>
      <c r="I479" s="1"/>
      <c r="J479" s="1"/>
      <c r="K479" s="1"/>
      <c r="L479" s="17" t="s">
        <v>1853</v>
      </c>
      <c r="M479" s="17" t="s">
        <v>1854</v>
      </c>
      <c r="N479" s="17">
        <v>22</v>
      </c>
      <c r="O479" s="15" t="s">
        <v>31</v>
      </c>
    </row>
    <row r="480" spans="1:15" x14ac:dyDescent="0.2">
      <c r="A480" s="17" t="s">
        <v>1855</v>
      </c>
      <c r="B480" s="17" t="s">
        <v>1856</v>
      </c>
      <c r="C480" s="17">
        <v>15</v>
      </c>
      <c r="D480" s="1"/>
      <c r="E480" s="1">
        <v>2150</v>
      </c>
      <c r="F480" s="1">
        <v>2440</v>
      </c>
      <c r="G480" s="1">
        <v>53</v>
      </c>
      <c r="H480" s="1"/>
      <c r="I480" s="1"/>
      <c r="J480" s="1"/>
      <c r="K480" s="1"/>
      <c r="L480" s="17" t="s">
        <v>1857</v>
      </c>
      <c r="M480" s="17" t="s">
        <v>1858</v>
      </c>
      <c r="N480" s="17">
        <v>29</v>
      </c>
      <c r="O480" s="15" t="s">
        <v>31</v>
      </c>
    </row>
    <row r="481" spans="1:15" x14ac:dyDescent="0.2">
      <c r="A481" s="17" t="s">
        <v>1859</v>
      </c>
      <c r="B481" s="17" t="s">
        <v>1860</v>
      </c>
      <c r="C481" s="17">
        <v>18</v>
      </c>
      <c r="D481" s="1"/>
      <c r="E481" s="1">
        <v>2150</v>
      </c>
      <c r="F481" s="1">
        <v>2440</v>
      </c>
      <c r="G481" s="1">
        <v>61</v>
      </c>
      <c r="H481" s="1"/>
      <c r="I481" s="1"/>
      <c r="J481" s="1"/>
      <c r="K481" s="1"/>
      <c r="L481" s="17" t="s">
        <v>1861</v>
      </c>
      <c r="M481" s="17" t="s">
        <v>1862</v>
      </c>
      <c r="N481" s="17">
        <v>33</v>
      </c>
      <c r="O481" s="15" t="s">
        <v>31</v>
      </c>
    </row>
    <row r="482" spans="1:15" x14ac:dyDescent="0.2">
      <c r="A482" s="17" t="s">
        <v>1863</v>
      </c>
      <c r="B482" s="17" t="s">
        <v>1864</v>
      </c>
      <c r="C482" s="17">
        <v>36</v>
      </c>
      <c r="D482" s="1"/>
      <c r="E482" s="1">
        <v>2150</v>
      </c>
      <c r="F482" s="1">
        <v>2440</v>
      </c>
      <c r="G482" s="1">
        <v>117</v>
      </c>
      <c r="H482" s="1"/>
      <c r="I482" s="1"/>
      <c r="J482" s="1"/>
      <c r="K482" s="1"/>
      <c r="L482" s="17" t="s">
        <v>1865</v>
      </c>
      <c r="M482" s="17" t="s">
        <v>1866</v>
      </c>
      <c r="N482" s="17">
        <v>44</v>
      </c>
      <c r="O482" s="15" t="s">
        <v>31</v>
      </c>
    </row>
    <row r="483" spans="1:15" x14ac:dyDescent="0.2">
      <c r="A483" s="17" t="s">
        <v>1867</v>
      </c>
      <c r="B483" s="17" t="s">
        <v>1868</v>
      </c>
      <c r="C483" s="17">
        <v>6</v>
      </c>
      <c r="D483" s="1"/>
      <c r="E483" s="1">
        <v>2150</v>
      </c>
      <c r="F483" s="1">
        <v>2440</v>
      </c>
      <c r="G483" s="1">
        <v>23</v>
      </c>
      <c r="H483" s="1"/>
      <c r="I483" s="1"/>
      <c r="J483" s="1"/>
      <c r="K483" s="1"/>
      <c r="L483" s="17" t="s">
        <v>1869</v>
      </c>
      <c r="M483" s="17" t="s">
        <v>1870</v>
      </c>
      <c r="N483" s="17">
        <v>19</v>
      </c>
      <c r="O483" s="15" t="s">
        <v>31</v>
      </c>
    </row>
    <row r="484" spans="1:15" x14ac:dyDescent="0.2">
      <c r="A484" s="17" t="s">
        <v>1871</v>
      </c>
      <c r="B484" s="17" t="s">
        <v>1872</v>
      </c>
      <c r="C484" s="17">
        <v>15</v>
      </c>
      <c r="D484" s="1"/>
      <c r="E484" s="1">
        <v>2150</v>
      </c>
      <c r="F484" s="1">
        <v>2440</v>
      </c>
      <c r="G484" s="1">
        <v>53</v>
      </c>
      <c r="H484" s="1"/>
      <c r="I484" s="1"/>
      <c r="J484" s="1"/>
      <c r="K484" s="1"/>
      <c r="L484" s="17" t="s">
        <v>1873</v>
      </c>
      <c r="M484" s="17" t="s">
        <v>1874</v>
      </c>
      <c r="N484" s="17">
        <v>22</v>
      </c>
      <c r="O484" s="15" t="s">
        <v>31</v>
      </c>
    </row>
    <row r="485" spans="1:15" x14ac:dyDescent="0.2">
      <c r="A485" s="17" t="s">
        <v>1875</v>
      </c>
      <c r="B485" s="17" t="s">
        <v>1876</v>
      </c>
      <c r="C485" s="17">
        <v>18</v>
      </c>
      <c r="D485" s="1"/>
      <c r="E485" s="1">
        <v>2150</v>
      </c>
      <c r="F485" s="1">
        <v>2440</v>
      </c>
      <c r="G485" s="1">
        <v>61</v>
      </c>
      <c r="H485" s="1"/>
      <c r="I485" s="1"/>
      <c r="J485" s="1"/>
      <c r="K485" s="1"/>
      <c r="L485" s="17" t="s">
        <v>1877</v>
      </c>
      <c r="M485" s="17" t="s">
        <v>1878</v>
      </c>
      <c r="N485" s="17">
        <v>44</v>
      </c>
      <c r="O485" s="15" t="s">
        <v>31</v>
      </c>
    </row>
    <row r="486" spans="1:15" x14ac:dyDescent="0.2">
      <c r="A486" s="17" t="s">
        <v>1879</v>
      </c>
      <c r="B486" s="17" t="s">
        <v>1880</v>
      </c>
      <c r="C486" s="17">
        <v>25</v>
      </c>
      <c r="D486" s="1"/>
      <c r="E486" s="1">
        <v>2150</v>
      </c>
      <c r="F486" s="1">
        <v>2440</v>
      </c>
      <c r="G486" s="1">
        <v>83</v>
      </c>
      <c r="H486" s="1"/>
      <c r="I486" s="1"/>
      <c r="J486" s="1"/>
      <c r="K486" s="1"/>
      <c r="L486" s="17" t="s">
        <v>1881</v>
      </c>
      <c r="M486" s="17" t="s">
        <v>1882</v>
      </c>
      <c r="N486" s="17">
        <v>22</v>
      </c>
      <c r="O486" s="15" t="s">
        <v>31</v>
      </c>
    </row>
    <row r="487" spans="1:15" x14ac:dyDescent="0.2">
      <c r="A487" s="17" t="s">
        <v>1883</v>
      </c>
      <c r="B487" s="17" t="s">
        <v>1884</v>
      </c>
      <c r="C487" s="17">
        <v>36</v>
      </c>
      <c r="D487" s="1"/>
      <c r="E487" s="1">
        <v>2150</v>
      </c>
      <c r="F487" s="1">
        <v>2440</v>
      </c>
      <c r="G487" s="1">
        <v>117</v>
      </c>
      <c r="H487" s="1"/>
      <c r="I487" s="1"/>
      <c r="J487" s="1"/>
      <c r="K487" s="1"/>
      <c r="L487" s="17" t="s">
        <v>1885</v>
      </c>
      <c r="M487" s="17" t="s">
        <v>1886</v>
      </c>
      <c r="N487" s="17">
        <v>19</v>
      </c>
      <c r="O487" s="15" t="s">
        <v>22</v>
      </c>
    </row>
    <row r="488" spans="1:15" x14ac:dyDescent="0.2">
      <c r="A488" s="17" t="s">
        <v>1887</v>
      </c>
      <c r="B488" s="17" t="s">
        <v>1888</v>
      </c>
      <c r="C488" s="17">
        <v>9</v>
      </c>
      <c r="D488" s="1"/>
      <c r="E488" s="1">
        <v>2150</v>
      </c>
      <c r="F488" s="1">
        <v>2440</v>
      </c>
      <c r="G488" s="1">
        <v>33</v>
      </c>
      <c r="H488" s="1"/>
      <c r="I488" s="1"/>
      <c r="J488" s="1"/>
      <c r="K488" s="1"/>
      <c r="L488" s="17" t="s">
        <v>1889</v>
      </c>
      <c r="M488" s="17" t="s">
        <v>1890</v>
      </c>
      <c r="N488" s="17">
        <v>19</v>
      </c>
      <c r="O488" s="15" t="s">
        <v>22</v>
      </c>
    </row>
    <row r="489" spans="1:15" x14ac:dyDescent="0.2">
      <c r="A489" s="17" t="s">
        <v>1891</v>
      </c>
      <c r="B489" s="17" t="s">
        <v>1892</v>
      </c>
      <c r="C489" s="17">
        <v>15</v>
      </c>
      <c r="D489" s="1"/>
      <c r="E489" s="1">
        <v>2150</v>
      </c>
      <c r="F489" s="1">
        <v>2440</v>
      </c>
      <c r="G489" s="1">
        <v>53</v>
      </c>
      <c r="H489" s="1"/>
      <c r="I489" s="1"/>
      <c r="J489" s="1"/>
      <c r="K489" s="1"/>
      <c r="L489" s="17" t="s">
        <v>1893</v>
      </c>
      <c r="M489" s="17" t="s">
        <v>1894</v>
      </c>
      <c r="N489" s="17">
        <v>22</v>
      </c>
      <c r="O489" s="15" t="s">
        <v>22</v>
      </c>
    </row>
    <row r="490" spans="1:15" x14ac:dyDescent="0.2">
      <c r="A490" s="17" t="s">
        <v>1895</v>
      </c>
      <c r="B490" s="17" t="s">
        <v>1896</v>
      </c>
      <c r="C490" s="17">
        <v>6</v>
      </c>
      <c r="D490" s="1"/>
      <c r="E490" s="1">
        <v>2150</v>
      </c>
      <c r="F490" s="1">
        <v>2440</v>
      </c>
      <c r="G490" s="1">
        <v>23</v>
      </c>
      <c r="H490" s="1"/>
      <c r="I490" s="1"/>
      <c r="J490" s="1"/>
      <c r="K490" s="1"/>
      <c r="L490" s="17" t="s">
        <v>1897</v>
      </c>
      <c r="M490" s="17" t="s">
        <v>1898</v>
      </c>
      <c r="N490" s="17">
        <v>33</v>
      </c>
      <c r="O490" s="15" t="s">
        <v>22</v>
      </c>
    </row>
    <row r="491" spans="1:15" x14ac:dyDescent="0.2">
      <c r="A491" s="17" t="s">
        <v>1899</v>
      </c>
      <c r="B491" s="17" t="s">
        <v>1900</v>
      </c>
      <c r="C491" s="17">
        <v>15</v>
      </c>
      <c r="D491" s="1"/>
      <c r="E491" s="1">
        <v>2150</v>
      </c>
      <c r="F491" s="1">
        <v>2440</v>
      </c>
      <c r="G491" s="1">
        <v>53</v>
      </c>
      <c r="H491" s="1"/>
      <c r="I491" s="1"/>
      <c r="J491" s="1"/>
      <c r="K491" s="1"/>
      <c r="L491" s="17" t="s">
        <v>1901</v>
      </c>
      <c r="M491" s="17" t="s">
        <v>1902</v>
      </c>
      <c r="N491" s="17">
        <v>22</v>
      </c>
      <c r="O491" s="15" t="s">
        <v>22</v>
      </c>
    </row>
    <row r="492" spans="1:15" x14ac:dyDescent="0.2">
      <c r="A492" s="17" t="s">
        <v>1903</v>
      </c>
      <c r="B492" s="17" t="s">
        <v>1904</v>
      </c>
      <c r="C492" s="17">
        <v>15</v>
      </c>
      <c r="D492" s="1"/>
      <c r="E492" s="1">
        <v>2150</v>
      </c>
      <c r="F492" s="1">
        <v>2440</v>
      </c>
      <c r="G492" s="1">
        <v>53</v>
      </c>
      <c r="H492" s="1"/>
      <c r="I492" s="1"/>
      <c r="J492" s="1"/>
      <c r="K492" s="1"/>
      <c r="L492" s="17" t="s">
        <v>1905</v>
      </c>
      <c r="M492" s="17" t="s">
        <v>1906</v>
      </c>
      <c r="N492" s="17">
        <v>22</v>
      </c>
      <c r="O492" s="2" t="s">
        <v>682</v>
      </c>
    </row>
    <row r="493" spans="1:15" x14ac:dyDescent="0.2">
      <c r="A493" s="17" t="s">
        <v>1907</v>
      </c>
      <c r="B493" s="17" t="s">
        <v>1908</v>
      </c>
      <c r="C493" s="17">
        <v>25</v>
      </c>
      <c r="D493" s="1"/>
      <c r="E493" s="1">
        <v>2150</v>
      </c>
      <c r="F493" s="1">
        <v>2440</v>
      </c>
      <c r="G493" s="1">
        <v>83</v>
      </c>
      <c r="H493" s="1"/>
      <c r="I493" s="1"/>
      <c r="J493" s="1"/>
      <c r="K493" s="1"/>
      <c r="L493" s="17" t="s">
        <v>1909</v>
      </c>
      <c r="M493" s="17" t="s">
        <v>1910</v>
      </c>
      <c r="N493" s="17">
        <v>44</v>
      </c>
      <c r="O493" s="2" t="s">
        <v>682</v>
      </c>
    </row>
    <row r="494" spans="1:15" x14ac:dyDescent="0.2">
      <c r="A494" s="17" t="s">
        <v>1911</v>
      </c>
      <c r="B494" s="17" t="s">
        <v>1912</v>
      </c>
      <c r="C494" s="17">
        <v>6</v>
      </c>
      <c r="D494" s="1"/>
      <c r="E494" s="1">
        <v>2150</v>
      </c>
      <c r="F494" s="1">
        <v>2440</v>
      </c>
      <c r="G494" s="1">
        <v>23</v>
      </c>
      <c r="H494" s="1"/>
      <c r="I494" s="1"/>
      <c r="J494" s="1"/>
      <c r="K494" s="1"/>
      <c r="L494" s="17" t="s">
        <v>1913</v>
      </c>
      <c r="M494" s="17" t="s">
        <v>1914</v>
      </c>
      <c r="N494" s="17">
        <v>22</v>
      </c>
      <c r="O494" s="2" t="s">
        <v>682</v>
      </c>
    </row>
    <row r="495" spans="1:15" x14ac:dyDescent="0.2">
      <c r="A495" s="17" t="s">
        <v>1915</v>
      </c>
      <c r="B495" s="17" t="s">
        <v>1916</v>
      </c>
      <c r="C495" s="17">
        <v>15</v>
      </c>
      <c r="D495" s="1"/>
      <c r="E495" s="1">
        <v>2150</v>
      </c>
      <c r="F495" s="1">
        <v>2440</v>
      </c>
      <c r="G495" s="1">
        <v>53</v>
      </c>
      <c r="H495" s="1"/>
      <c r="I495" s="1"/>
      <c r="J495" s="1"/>
      <c r="K495" s="1"/>
      <c r="L495" s="17" t="s">
        <v>1913</v>
      </c>
      <c r="M495" s="17" t="s">
        <v>1917</v>
      </c>
      <c r="N495" s="17">
        <v>22</v>
      </c>
      <c r="O495" s="2" t="s">
        <v>682</v>
      </c>
    </row>
    <row r="496" spans="1:15" x14ac:dyDescent="0.2">
      <c r="A496" s="17" t="s">
        <v>1918</v>
      </c>
      <c r="B496" s="17" t="s">
        <v>1919</v>
      </c>
      <c r="C496" s="17">
        <v>18</v>
      </c>
      <c r="D496" s="1"/>
      <c r="E496" s="1">
        <v>2150</v>
      </c>
      <c r="F496" s="1">
        <v>2440</v>
      </c>
      <c r="G496" s="1">
        <v>61</v>
      </c>
      <c r="H496" s="1"/>
      <c r="I496" s="1"/>
      <c r="J496" s="1"/>
      <c r="K496" s="1"/>
      <c r="L496" s="17" t="s">
        <v>1920</v>
      </c>
      <c r="M496" s="17" t="s">
        <v>1921</v>
      </c>
      <c r="N496" s="17">
        <v>44</v>
      </c>
      <c r="O496" s="2" t="s">
        <v>682</v>
      </c>
    </row>
    <row r="497" spans="1:15" x14ac:dyDescent="0.2">
      <c r="A497" s="17" t="s">
        <v>1922</v>
      </c>
      <c r="B497" s="17" t="s">
        <v>1923</v>
      </c>
      <c r="C497" s="17">
        <v>25</v>
      </c>
      <c r="D497" s="1"/>
      <c r="E497" s="1">
        <v>2150</v>
      </c>
      <c r="F497" s="1">
        <v>2440</v>
      </c>
      <c r="G497" s="1">
        <v>83</v>
      </c>
      <c r="H497" s="1"/>
      <c r="I497" s="1"/>
      <c r="J497" s="1"/>
      <c r="K497" s="1"/>
      <c r="L497" s="17" t="s">
        <v>1924</v>
      </c>
      <c r="M497" s="17" t="s">
        <v>1925</v>
      </c>
      <c r="N497" s="17">
        <v>22</v>
      </c>
      <c r="O497" s="2" t="s">
        <v>682</v>
      </c>
    </row>
    <row r="498" spans="1:15" x14ac:dyDescent="0.2">
      <c r="A498" s="17" t="s">
        <v>1926</v>
      </c>
      <c r="B498" s="17" t="s">
        <v>1927</v>
      </c>
      <c r="C498" s="17">
        <v>36</v>
      </c>
      <c r="D498" s="1"/>
      <c r="E498" s="1">
        <v>2150</v>
      </c>
      <c r="F498" s="1">
        <v>2440</v>
      </c>
      <c r="G498" s="1">
        <v>117</v>
      </c>
      <c r="H498" s="1"/>
      <c r="I498" s="1"/>
      <c r="J498" s="1"/>
      <c r="K498" s="1"/>
      <c r="L498" s="17" t="s">
        <v>1928</v>
      </c>
      <c r="M498" s="17" t="s">
        <v>1929</v>
      </c>
      <c r="N498" s="17">
        <v>44</v>
      </c>
      <c r="O498" s="2" t="s">
        <v>682</v>
      </c>
    </row>
    <row r="499" spans="1:15" x14ac:dyDescent="0.2">
      <c r="A499" s="17" t="s">
        <v>1930</v>
      </c>
      <c r="B499" s="17" t="s">
        <v>1931</v>
      </c>
      <c r="C499" s="17">
        <v>9</v>
      </c>
      <c r="D499" s="1"/>
      <c r="E499" s="1">
        <v>2150</v>
      </c>
      <c r="F499" s="1">
        <v>2440</v>
      </c>
      <c r="G499" s="1">
        <v>33</v>
      </c>
      <c r="H499" s="1"/>
      <c r="I499" s="1"/>
      <c r="J499" s="1"/>
      <c r="K499" s="1"/>
      <c r="L499" s="17" t="s">
        <v>1932</v>
      </c>
      <c r="M499" s="17" t="s">
        <v>1933</v>
      </c>
      <c r="N499" s="17">
        <v>22</v>
      </c>
      <c r="O499" s="2" t="s">
        <v>682</v>
      </c>
    </row>
    <row r="500" spans="1:15" x14ac:dyDescent="0.2">
      <c r="A500" s="17" t="s">
        <v>1934</v>
      </c>
      <c r="B500" s="17" t="s">
        <v>1935</v>
      </c>
      <c r="C500" s="17">
        <v>15</v>
      </c>
      <c r="D500" s="1"/>
      <c r="E500" s="1">
        <v>2150</v>
      </c>
      <c r="F500" s="1">
        <v>2440</v>
      </c>
      <c r="G500" s="1">
        <v>53</v>
      </c>
      <c r="H500" s="1"/>
      <c r="I500" s="1"/>
      <c r="J500" s="1"/>
      <c r="K500" s="1"/>
      <c r="L500" s="17" t="s">
        <v>1936</v>
      </c>
      <c r="M500" s="17" t="s">
        <v>1937</v>
      </c>
      <c r="N500" s="17">
        <v>44</v>
      </c>
      <c r="O500" s="2" t="s">
        <v>682</v>
      </c>
    </row>
    <row r="501" spans="1:15" x14ac:dyDescent="0.2">
      <c r="A501" s="17" t="s">
        <v>1938</v>
      </c>
      <c r="B501" s="17" t="s">
        <v>1939</v>
      </c>
      <c r="C501" s="17">
        <v>6</v>
      </c>
      <c r="D501" s="1"/>
      <c r="E501" s="1">
        <v>2150</v>
      </c>
      <c r="F501" s="1">
        <v>2440</v>
      </c>
      <c r="G501" s="1">
        <v>23</v>
      </c>
      <c r="H501" s="1"/>
      <c r="I501" s="1"/>
      <c r="J501" s="1"/>
      <c r="K501" s="1"/>
      <c r="L501" s="17" t="s">
        <v>1940</v>
      </c>
      <c r="M501" s="17" t="s">
        <v>1941</v>
      </c>
      <c r="N501" s="17">
        <v>19</v>
      </c>
      <c r="O501" s="15" t="s">
        <v>22</v>
      </c>
    </row>
    <row r="502" spans="1:15" x14ac:dyDescent="0.2">
      <c r="A502" s="17" t="s">
        <v>1942</v>
      </c>
      <c r="B502" s="17" t="s">
        <v>1943</v>
      </c>
      <c r="C502" s="17">
        <v>9</v>
      </c>
      <c r="D502" s="1"/>
      <c r="E502" s="1">
        <v>2150</v>
      </c>
      <c r="F502" s="1">
        <v>2440</v>
      </c>
      <c r="G502" s="1">
        <v>33</v>
      </c>
      <c r="H502" s="1"/>
      <c r="I502" s="1"/>
      <c r="J502" s="1"/>
      <c r="K502" s="1"/>
      <c r="L502" s="17" t="s">
        <v>1944</v>
      </c>
      <c r="M502" s="17" t="s">
        <v>1945</v>
      </c>
      <c r="N502" s="17">
        <v>19</v>
      </c>
      <c r="O502" s="15" t="s">
        <v>22</v>
      </c>
    </row>
    <row r="503" spans="1:15" x14ac:dyDescent="0.2">
      <c r="A503" s="17" t="s">
        <v>1946</v>
      </c>
      <c r="B503" s="17" t="s">
        <v>1947</v>
      </c>
      <c r="C503" s="17">
        <v>6</v>
      </c>
      <c r="D503" s="1"/>
      <c r="E503" s="1">
        <v>2150</v>
      </c>
      <c r="F503" s="1">
        <v>2440</v>
      </c>
      <c r="G503" s="1">
        <v>23</v>
      </c>
      <c r="H503" s="1"/>
      <c r="I503" s="1"/>
      <c r="J503" s="1"/>
      <c r="K503" s="1"/>
      <c r="L503" s="17" t="s">
        <v>1948</v>
      </c>
      <c r="M503" s="17" t="s">
        <v>1949</v>
      </c>
      <c r="N503" s="17">
        <v>22</v>
      </c>
      <c r="O503" s="15" t="s">
        <v>22</v>
      </c>
    </row>
    <row r="504" spans="1:15" x14ac:dyDescent="0.2">
      <c r="A504" s="17" t="s">
        <v>1950</v>
      </c>
      <c r="B504" s="17" t="s">
        <v>1951</v>
      </c>
      <c r="C504" s="17">
        <v>9</v>
      </c>
      <c r="D504" s="1"/>
      <c r="E504" s="1">
        <v>2150</v>
      </c>
      <c r="F504" s="1">
        <v>2440</v>
      </c>
      <c r="G504" s="1">
        <v>33</v>
      </c>
      <c r="H504" s="1"/>
      <c r="I504" s="1"/>
      <c r="J504" s="1"/>
      <c r="K504" s="1"/>
      <c r="L504" s="17" t="s">
        <v>1952</v>
      </c>
      <c r="M504" s="17" t="s">
        <v>1953</v>
      </c>
      <c r="N504" s="17">
        <v>19</v>
      </c>
      <c r="O504" s="15" t="s">
        <v>22</v>
      </c>
    </row>
    <row r="505" spans="1:15" x14ac:dyDescent="0.2">
      <c r="A505" s="17" t="s">
        <v>1954</v>
      </c>
      <c r="B505" s="17" t="s">
        <v>1955</v>
      </c>
      <c r="C505" s="17">
        <v>12</v>
      </c>
      <c r="D505" s="1"/>
      <c r="E505" s="1">
        <v>2150</v>
      </c>
      <c r="F505" s="1">
        <v>2440</v>
      </c>
      <c r="G505" s="1">
        <v>41</v>
      </c>
      <c r="H505" s="1"/>
      <c r="I505" s="1"/>
      <c r="J505" s="1"/>
      <c r="K505" s="1"/>
      <c r="L505" s="17" t="s">
        <v>1956</v>
      </c>
      <c r="M505" s="17" t="s">
        <v>1957</v>
      </c>
      <c r="N505" s="17">
        <v>22</v>
      </c>
      <c r="O505" s="15" t="s">
        <v>22</v>
      </c>
    </row>
    <row r="506" spans="1:15" x14ac:dyDescent="0.2">
      <c r="A506" s="17" t="s">
        <v>1958</v>
      </c>
      <c r="B506" s="17" t="s">
        <v>1959</v>
      </c>
      <c r="C506" s="17">
        <v>15</v>
      </c>
      <c r="D506" s="1"/>
      <c r="E506" s="1">
        <v>2150</v>
      </c>
      <c r="F506" s="1">
        <v>2440</v>
      </c>
      <c r="G506" s="1">
        <v>53</v>
      </c>
      <c r="H506" s="1"/>
      <c r="I506" s="1"/>
      <c r="J506" s="1"/>
      <c r="K506" s="1"/>
      <c r="L506" s="17" t="s">
        <v>1960</v>
      </c>
      <c r="M506" s="17" t="s">
        <v>1961</v>
      </c>
      <c r="N506" s="17">
        <v>33</v>
      </c>
      <c r="O506" s="15" t="s">
        <v>22</v>
      </c>
    </row>
    <row r="507" spans="1:15" x14ac:dyDescent="0.2">
      <c r="A507" s="17" t="s">
        <v>1962</v>
      </c>
      <c r="B507" s="17" t="s">
        <v>1963</v>
      </c>
      <c r="C507" s="17">
        <v>18</v>
      </c>
      <c r="D507" s="1"/>
      <c r="E507" s="1">
        <v>2150</v>
      </c>
      <c r="F507" s="1">
        <v>2440</v>
      </c>
      <c r="G507" s="1">
        <v>61</v>
      </c>
      <c r="H507" s="1"/>
      <c r="I507" s="1"/>
      <c r="J507" s="1"/>
      <c r="K507" s="1"/>
      <c r="L507" s="17" t="s">
        <v>1964</v>
      </c>
      <c r="M507" s="17" t="s">
        <v>1965</v>
      </c>
      <c r="N507" s="17">
        <v>22</v>
      </c>
      <c r="O507" s="15" t="s">
        <v>22</v>
      </c>
    </row>
    <row r="508" spans="1:15" x14ac:dyDescent="0.2">
      <c r="A508" s="17" t="s">
        <v>1966</v>
      </c>
      <c r="B508" s="17" t="s">
        <v>1967</v>
      </c>
      <c r="C508" s="17">
        <v>25</v>
      </c>
      <c r="D508" s="1"/>
      <c r="E508" s="1">
        <v>2150</v>
      </c>
      <c r="F508" s="1">
        <v>2440</v>
      </c>
      <c r="G508" s="1">
        <v>83</v>
      </c>
      <c r="H508" s="1"/>
      <c r="I508" s="1"/>
      <c r="J508" s="1"/>
      <c r="K508" s="1"/>
      <c r="L508" s="17" t="s">
        <v>1968</v>
      </c>
      <c r="M508" s="17" t="s">
        <v>1969</v>
      </c>
      <c r="N508" s="17">
        <v>33</v>
      </c>
      <c r="O508" s="15" t="s">
        <v>22</v>
      </c>
    </row>
    <row r="509" spans="1:15" x14ac:dyDescent="0.2">
      <c r="A509" s="17" t="s">
        <v>1970</v>
      </c>
      <c r="B509" s="17" t="s">
        <v>1971</v>
      </c>
      <c r="C509" s="17">
        <v>30</v>
      </c>
      <c r="D509" s="1"/>
      <c r="E509" s="1">
        <v>2150</v>
      </c>
      <c r="F509" s="1">
        <v>2440</v>
      </c>
      <c r="G509" s="1">
        <v>97</v>
      </c>
      <c r="H509" s="1"/>
      <c r="I509" s="1"/>
      <c r="J509" s="1"/>
      <c r="K509" s="1"/>
      <c r="L509" s="17" t="s">
        <v>1972</v>
      </c>
      <c r="M509" s="17" t="s">
        <v>1973</v>
      </c>
      <c r="N509" s="17">
        <v>19</v>
      </c>
      <c r="O509" s="15" t="s">
        <v>22</v>
      </c>
    </row>
    <row r="510" spans="1:15" x14ac:dyDescent="0.2">
      <c r="A510" s="17" t="s">
        <v>1974</v>
      </c>
      <c r="B510" s="17" t="s">
        <v>1975</v>
      </c>
      <c r="C510" s="17">
        <v>36</v>
      </c>
      <c r="D510" s="1"/>
      <c r="E510" s="1">
        <v>2150</v>
      </c>
      <c r="F510" s="1">
        <v>2440</v>
      </c>
      <c r="G510" s="1">
        <v>117</v>
      </c>
      <c r="H510" s="1"/>
      <c r="I510" s="1"/>
      <c r="J510" s="1"/>
      <c r="K510" s="1"/>
      <c r="L510" s="17" t="s">
        <v>1976</v>
      </c>
      <c r="M510" s="17" t="s">
        <v>1977</v>
      </c>
      <c r="N510" s="17">
        <v>22</v>
      </c>
      <c r="O510" s="15" t="s">
        <v>22</v>
      </c>
    </row>
    <row r="511" spans="1:15" x14ac:dyDescent="0.2">
      <c r="A511" s="17" t="s">
        <v>1978</v>
      </c>
      <c r="B511" s="17" t="s">
        <v>1979</v>
      </c>
      <c r="C511" s="17">
        <v>6</v>
      </c>
      <c r="D511" s="1"/>
      <c r="E511" s="1">
        <v>2150</v>
      </c>
      <c r="F511" s="1">
        <v>2440</v>
      </c>
      <c r="G511" s="1">
        <v>23</v>
      </c>
      <c r="H511" s="1"/>
      <c r="I511" s="1"/>
      <c r="J511" s="1"/>
      <c r="K511" s="1"/>
      <c r="L511" s="17" t="s">
        <v>1980</v>
      </c>
      <c r="M511" s="17" t="s">
        <v>1981</v>
      </c>
      <c r="N511" s="17">
        <v>19</v>
      </c>
      <c r="O511" s="15" t="s">
        <v>22</v>
      </c>
    </row>
    <row r="512" spans="1:15" x14ac:dyDescent="0.2">
      <c r="A512" s="17" t="s">
        <v>1982</v>
      </c>
      <c r="B512" s="17" t="s">
        <v>1983</v>
      </c>
      <c r="C512" s="17">
        <v>9</v>
      </c>
      <c r="D512" s="1"/>
      <c r="E512" s="1">
        <v>2150</v>
      </c>
      <c r="F512" s="1">
        <v>2440</v>
      </c>
      <c r="G512" s="1">
        <v>33</v>
      </c>
      <c r="H512" s="1"/>
      <c r="I512" s="1"/>
      <c r="J512" s="1"/>
      <c r="K512" s="1"/>
      <c r="L512" s="17" t="s">
        <v>1984</v>
      </c>
      <c r="M512" s="17" t="s">
        <v>1985</v>
      </c>
      <c r="N512" s="17">
        <v>22</v>
      </c>
      <c r="O512" s="15" t="s">
        <v>22</v>
      </c>
    </row>
    <row r="513" spans="1:15" x14ac:dyDescent="0.2">
      <c r="A513" s="17" t="s">
        <v>1986</v>
      </c>
      <c r="B513" s="17" t="s">
        <v>1987</v>
      </c>
      <c r="C513" s="17">
        <v>12</v>
      </c>
      <c r="D513" s="1"/>
      <c r="E513" s="1">
        <v>2150</v>
      </c>
      <c r="F513" s="1">
        <v>2440</v>
      </c>
      <c r="G513" s="1">
        <v>41</v>
      </c>
      <c r="H513" s="1"/>
      <c r="I513" s="1"/>
      <c r="J513" s="1"/>
      <c r="K513" s="1"/>
      <c r="L513" s="17" t="s">
        <v>1988</v>
      </c>
      <c r="M513" s="17" t="s">
        <v>1989</v>
      </c>
      <c r="N513" s="17">
        <v>19</v>
      </c>
      <c r="O513" s="15" t="s">
        <v>22</v>
      </c>
    </row>
    <row r="514" spans="1:15" x14ac:dyDescent="0.2">
      <c r="A514" s="17" t="s">
        <v>1990</v>
      </c>
      <c r="B514" s="17" t="s">
        <v>1991</v>
      </c>
      <c r="C514" s="17">
        <v>15</v>
      </c>
      <c r="D514" s="1"/>
      <c r="E514" s="1">
        <v>2150</v>
      </c>
      <c r="F514" s="1">
        <v>2440</v>
      </c>
      <c r="G514" s="1">
        <v>53</v>
      </c>
      <c r="H514" s="1"/>
      <c r="I514" s="1"/>
      <c r="J514" s="1"/>
      <c r="K514" s="1"/>
      <c r="L514" s="17" t="s">
        <v>1992</v>
      </c>
      <c r="M514" s="17" t="s">
        <v>1993</v>
      </c>
      <c r="N514" s="17">
        <v>22</v>
      </c>
      <c r="O514" s="15" t="s">
        <v>22</v>
      </c>
    </row>
    <row r="515" spans="1:15" x14ac:dyDescent="0.2">
      <c r="A515" s="17" t="s">
        <v>1994</v>
      </c>
      <c r="B515" s="17" t="s">
        <v>1995</v>
      </c>
      <c r="C515" s="17">
        <v>15</v>
      </c>
      <c r="D515" s="1"/>
      <c r="E515" s="1">
        <v>2150</v>
      </c>
      <c r="F515" s="1">
        <v>2440</v>
      </c>
      <c r="G515" s="1">
        <v>53</v>
      </c>
      <c r="H515" s="1"/>
      <c r="I515" s="1"/>
      <c r="J515" s="1"/>
      <c r="K515" s="1"/>
      <c r="L515" s="17" t="s">
        <v>1996</v>
      </c>
      <c r="M515" s="17" t="s">
        <v>1997</v>
      </c>
      <c r="N515" s="17">
        <v>19</v>
      </c>
      <c r="O515" s="15" t="s">
        <v>22</v>
      </c>
    </row>
    <row r="516" spans="1:15" x14ac:dyDescent="0.2">
      <c r="A516" s="17" t="s">
        <v>1998</v>
      </c>
      <c r="B516" s="17" t="s">
        <v>1999</v>
      </c>
      <c r="C516" s="17">
        <v>15</v>
      </c>
      <c r="D516" s="1"/>
      <c r="E516" s="1">
        <v>2150</v>
      </c>
      <c r="F516" s="1">
        <v>2440</v>
      </c>
      <c r="G516" s="1">
        <v>53</v>
      </c>
      <c r="H516" s="1"/>
      <c r="I516" s="1"/>
      <c r="J516" s="1"/>
      <c r="K516" s="1"/>
      <c r="L516" s="17" t="s">
        <v>2000</v>
      </c>
      <c r="M516" s="17" t="s">
        <v>2001</v>
      </c>
      <c r="N516" s="17">
        <v>22</v>
      </c>
      <c r="O516" s="15" t="s">
        <v>22</v>
      </c>
    </row>
    <row r="517" spans="1:15" x14ac:dyDescent="0.2">
      <c r="A517" s="17" t="s">
        <v>2002</v>
      </c>
      <c r="B517" s="17" t="s">
        <v>2003</v>
      </c>
      <c r="C517" s="17">
        <v>6</v>
      </c>
      <c r="D517" s="1"/>
      <c r="E517" s="1">
        <v>2150</v>
      </c>
      <c r="F517" s="1">
        <v>2440</v>
      </c>
      <c r="G517" s="1">
        <v>23</v>
      </c>
      <c r="H517" s="1"/>
      <c r="I517" s="1"/>
      <c r="J517" s="1"/>
      <c r="K517" s="1"/>
      <c r="L517" s="17" t="s">
        <v>2004</v>
      </c>
      <c r="M517" s="17" t="s">
        <v>2005</v>
      </c>
      <c r="N517" s="17">
        <v>19</v>
      </c>
      <c r="O517" s="15" t="s">
        <v>22</v>
      </c>
    </row>
    <row r="518" spans="1:15" x14ac:dyDescent="0.2">
      <c r="A518" s="17" t="s">
        <v>2006</v>
      </c>
      <c r="B518" s="17" t="s">
        <v>2007</v>
      </c>
      <c r="C518" s="17">
        <v>15</v>
      </c>
      <c r="D518" s="1"/>
      <c r="E518" s="1">
        <v>2150</v>
      </c>
      <c r="F518" s="1">
        <v>2440</v>
      </c>
      <c r="G518" s="1">
        <v>53</v>
      </c>
      <c r="H518" s="1"/>
      <c r="I518" s="1"/>
      <c r="J518" s="1"/>
      <c r="K518" s="1"/>
      <c r="L518" s="17" t="s">
        <v>2008</v>
      </c>
      <c r="M518" s="17" t="s">
        <v>2009</v>
      </c>
      <c r="N518" s="17">
        <v>22</v>
      </c>
      <c r="O518" s="15" t="s">
        <v>22</v>
      </c>
    </row>
    <row r="519" spans="1:15" x14ac:dyDescent="0.2">
      <c r="A519" s="17" t="s">
        <v>2010</v>
      </c>
      <c r="B519" s="17" t="s">
        <v>2011</v>
      </c>
      <c r="C519" s="17">
        <v>18</v>
      </c>
      <c r="D519" s="1"/>
      <c r="E519" s="1">
        <v>2150</v>
      </c>
      <c r="F519" s="1">
        <v>2440</v>
      </c>
      <c r="G519" s="1">
        <v>61</v>
      </c>
      <c r="H519" s="1"/>
      <c r="I519" s="1"/>
      <c r="J519" s="1"/>
      <c r="K519" s="1"/>
      <c r="L519" s="17" t="s">
        <v>2012</v>
      </c>
      <c r="M519" s="17" t="s">
        <v>2013</v>
      </c>
      <c r="N519" s="17">
        <v>19</v>
      </c>
      <c r="O519" s="15" t="s">
        <v>22</v>
      </c>
    </row>
    <row r="520" spans="1:15" x14ac:dyDescent="0.2">
      <c r="A520" s="17" t="s">
        <v>2014</v>
      </c>
      <c r="B520" s="17" t="s">
        <v>2015</v>
      </c>
      <c r="C520" s="17">
        <v>25</v>
      </c>
      <c r="D520" s="1"/>
      <c r="E520" s="1">
        <v>2150</v>
      </c>
      <c r="F520" s="1">
        <v>2440</v>
      </c>
      <c r="G520" s="1">
        <v>83</v>
      </c>
      <c r="H520" s="1"/>
      <c r="I520" s="1"/>
      <c r="J520" s="1"/>
      <c r="K520" s="1"/>
      <c r="L520" s="17" t="s">
        <v>2016</v>
      </c>
      <c r="M520" s="17" t="s">
        <v>2017</v>
      </c>
      <c r="N520" s="17">
        <v>22</v>
      </c>
      <c r="O520" s="15" t="s">
        <v>22</v>
      </c>
    </row>
    <row r="521" spans="1:15" x14ac:dyDescent="0.2">
      <c r="A521" s="17" t="s">
        <v>2018</v>
      </c>
      <c r="B521" s="17" t="s">
        <v>2019</v>
      </c>
      <c r="C521" s="17">
        <v>15</v>
      </c>
      <c r="D521" s="1"/>
      <c r="E521" s="1">
        <v>2150</v>
      </c>
      <c r="F521" s="1">
        <v>2440</v>
      </c>
      <c r="G521" s="1">
        <v>53</v>
      </c>
      <c r="H521" s="1"/>
      <c r="I521" s="1"/>
      <c r="J521" s="1"/>
      <c r="K521" s="1"/>
      <c r="L521" s="17" t="s">
        <v>2020</v>
      </c>
      <c r="M521" s="17" t="s">
        <v>2021</v>
      </c>
      <c r="N521" s="17">
        <v>22</v>
      </c>
      <c r="O521" s="15" t="s">
        <v>22</v>
      </c>
    </row>
    <row r="522" spans="1:15" x14ac:dyDescent="0.2">
      <c r="A522" s="17" t="s">
        <v>2022</v>
      </c>
      <c r="B522" s="17" t="s">
        <v>2023</v>
      </c>
      <c r="C522" s="17">
        <v>6</v>
      </c>
      <c r="D522" s="1"/>
      <c r="E522" s="1">
        <v>2150</v>
      </c>
      <c r="F522" s="1">
        <v>2440</v>
      </c>
      <c r="G522" s="1">
        <v>23</v>
      </c>
      <c r="H522" s="1"/>
      <c r="I522" s="1"/>
      <c r="J522" s="1"/>
      <c r="K522" s="1"/>
      <c r="L522" s="17" t="s">
        <v>2024</v>
      </c>
      <c r="M522" s="17" t="s">
        <v>2025</v>
      </c>
      <c r="N522" s="17">
        <v>33</v>
      </c>
      <c r="O522" s="15" t="s">
        <v>22</v>
      </c>
    </row>
    <row r="523" spans="1:15" x14ac:dyDescent="0.2">
      <c r="A523" s="17" t="s">
        <v>2026</v>
      </c>
      <c r="B523" s="17" t="s">
        <v>2027</v>
      </c>
      <c r="C523" s="17">
        <v>15</v>
      </c>
      <c r="D523" s="1"/>
      <c r="E523" s="1">
        <v>2150</v>
      </c>
      <c r="F523" s="1">
        <v>2440</v>
      </c>
      <c r="G523" s="1">
        <v>53</v>
      </c>
      <c r="H523" s="1"/>
      <c r="I523" s="1"/>
      <c r="J523" s="1"/>
      <c r="K523" s="1"/>
      <c r="L523" s="17" t="s">
        <v>2028</v>
      </c>
      <c r="M523" s="17" t="s">
        <v>2029</v>
      </c>
      <c r="N523" s="17">
        <v>22</v>
      </c>
      <c r="O523" s="15" t="s">
        <v>22</v>
      </c>
    </row>
    <row r="524" spans="1:15" x14ac:dyDescent="0.2">
      <c r="A524" s="17" t="s">
        <v>2030</v>
      </c>
      <c r="B524" s="17" t="s">
        <v>2031</v>
      </c>
      <c r="C524" s="17">
        <v>18</v>
      </c>
      <c r="D524" s="1"/>
      <c r="E524" s="1">
        <v>2150</v>
      </c>
      <c r="F524" s="1">
        <v>2440</v>
      </c>
      <c r="G524" s="1">
        <v>61</v>
      </c>
      <c r="H524" s="1"/>
      <c r="I524" s="1"/>
      <c r="J524" s="1"/>
      <c r="K524" s="1"/>
      <c r="L524" s="17" t="s">
        <v>2032</v>
      </c>
      <c r="M524" s="17" t="s">
        <v>2033</v>
      </c>
      <c r="N524" s="17">
        <v>33</v>
      </c>
      <c r="O524" s="15" t="s">
        <v>22</v>
      </c>
    </row>
    <row r="525" spans="1:15" x14ac:dyDescent="0.2">
      <c r="A525" s="17" t="s">
        <v>2034</v>
      </c>
      <c r="B525" s="17" t="s">
        <v>2035</v>
      </c>
      <c r="C525" s="17">
        <v>36</v>
      </c>
      <c r="D525" s="1"/>
      <c r="E525" s="1">
        <v>2150</v>
      </c>
      <c r="F525" s="1">
        <v>2440</v>
      </c>
      <c r="G525" s="1">
        <v>117</v>
      </c>
      <c r="H525" s="1"/>
      <c r="I525" s="1"/>
      <c r="J525" s="1"/>
      <c r="K525" s="1"/>
      <c r="L525" s="17" t="s">
        <v>2036</v>
      </c>
      <c r="M525" s="17" t="s">
        <v>2037</v>
      </c>
      <c r="N525" s="17">
        <v>19</v>
      </c>
      <c r="O525" s="15" t="s">
        <v>22</v>
      </c>
    </row>
    <row r="526" spans="1:15" x14ac:dyDescent="0.2">
      <c r="A526" s="17" t="s">
        <v>2038</v>
      </c>
      <c r="B526" s="17" t="s">
        <v>636</v>
      </c>
      <c r="C526" s="17">
        <v>9</v>
      </c>
      <c r="D526" s="1"/>
      <c r="E526" s="1">
        <v>2150</v>
      </c>
      <c r="F526" s="1">
        <v>2440</v>
      </c>
      <c r="G526" s="1">
        <v>33</v>
      </c>
      <c r="H526" s="1"/>
      <c r="I526" s="1"/>
      <c r="J526" s="1"/>
      <c r="K526" s="1"/>
      <c r="L526" s="17" t="s">
        <v>2039</v>
      </c>
      <c r="M526" s="17" t="s">
        <v>2040</v>
      </c>
      <c r="N526" s="17">
        <v>22</v>
      </c>
      <c r="O526" s="15" t="s">
        <v>22</v>
      </c>
    </row>
    <row r="527" spans="1:15" x14ac:dyDescent="0.2">
      <c r="A527" s="17" t="s">
        <v>2041</v>
      </c>
      <c r="B527" s="17" t="s">
        <v>2042</v>
      </c>
      <c r="C527" s="17">
        <v>9</v>
      </c>
      <c r="D527" s="1"/>
      <c r="E527" s="1">
        <v>2150</v>
      </c>
      <c r="F527" s="1">
        <v>2440</v>
      </c>
      <c r="G527" s="1">
        <v>33</v>
      </c>
      <c r="H527" s="1"/>
      <c r="I527" s="1"/>
      <c r="J527" s="1"/>
      <c r="K527" s="1"/>
      <c r="L527" s="17" t="s">
        <v>2043</v>
      </c>
      <c r="M527" s="17" t="s">
        <v>2044</v>
      </c>
      <c r="N527" s="17">
        <v>22</v>
      </c>
      <c r="O527" s="15" t="s">
        <v>22</v>
      </c>
    </row>
    <row r="528" spans="1:15" x14ac:dyDescent="0.2">
      <c r="A528" s="17" t="s">
        <v>2045</v>
      </c>
      <c r="B528" s="17" t="s">
        <v>2046</v>
      </c>
      <c r="C528" s="17">
        <v>15</v>
      </c>
      <c r="D528" s="1"/>
      <c r="E528" s="1">
        <v>2150</v>
      </c>
      <c r="F528" s="1">
        <v>2440</v>
      </c>
      <c r="G528" s="1">
        <v>53</v>
      </c>
      <c r="H528" s="1"/>
      <c r="I528" s="1"/>
      <c r="J528" s="1"/>
      <c r="K528" s="1"/>
      <c r="L528" s="17" t="s">
        <v>2047</v>
      </c>
      <c r="M528" s="17" t="s">
        <v>2048</v>
      </c>
      <c r="N528" s="17">
        <v>19</v>
      </c>
      <c r="O528" s="15" t="s">
        <v>22</v>
      </c>
    </row>
    <row r="529" spans="1:15" x14ac:dyDescent="0.2">
      <c r="A529" s="17" t="s">
        <v>2049</v>
      </c>
      <c r="B529" s="17" t="s">
        <v>2050</v>
      </c>
      <c r="C529" s="17">
        <v>18</v>
      </c>
      <c r="D529" s="1"/>
      <c r="E529" s="1">
        <v>2150</v>
      </c>
      <c r="F529" s="1">
        <v>2440</v>
      </c>
      <c r="G529" s="1">
        <v>61</v>
      </c>
      <c r="H529" s="1"/>
      <c r="I529" s="1"/>
      <c r="J529" s="1"/>
      <c r="K529" s="1"/>
      <c r="L529" s="17" t="s">
        <v>2051</v>
      </c>
      <c r="M529" s="17" t="s">
        <v>2052</v>
      </c>
      <c r="N529" s="17">
        <v>22</v>
      </c>
      <c r="O529" s="15" t="s">
        <v>22</v>
      </c>
    </row>
    <row r="530" spans="1:15" x14ac:dyDescent="0.2">
      <c r="A530" s="17" t="s">
        <v>2053</v>
      </c>
      <c r="B530" s="17" t="s">
        <v>2054</v>
      </c>
      <c r="C530" s="17">
        <v>6</v>
      </c>
      <c r="D530" s="1"/>
      <c r="E530" s="1">
        <v>2150</v>
      </c>
      <c r="F530" s="1">
        <v>2440</v>
      </c>
      <c r="G530" s="1">
        <v>23</v>
      </c>
      <c r="H530" s="1"/>
      <c r="I530" s="1"/>
      <c r="J530" s="1"/>
      <c r="K530" s="1"/>
      <c r="L530" s="17" t="s">
        <v>2055</v>
      </c>
      <c r="M530" s="17" t="s">
        <v>2056</v>
      </c>
      <c r="N530" s="17">
        <v>33</v>
      </c>
      <c r="O530" s="15" t="s">
        <v>22</v>
      </c>
    </row>
    <row r="531" spans="1:15" x14ac:dyDescent="0.2">
      <c r="A531" s="17" t="s">
        <v>2057</v>
      </c>
      <c r="B531" s="17" t="s">
        <v>2058</v>
      </c>
      <c r="C531" s="17">
        <v>12</v>
      </c>
      <c r="D531" s="1"/>
      <c r="E531" s="1">
        <v>2150</v>
      </c>
      <c r="F531" s="1">
        <v>2440</v>
      </c>
      <c r="G531" s="1">
        <v>41</v>
      </c>
      <c r="H531" s="1"/>
      <c r="I531" s="1"/>
      <c r="J531" s="1"/>
      <c r="K531" s="1"/>
      <c r="L531" s="17" t="s">
        <v>2059</v>
      </c>
      <c r="M531" s="17" t="s">
        <v>2060</v>
      </c>
      <c r="N531" s="17">
        <v>19</v>
      </c>
      <c r="O531" s="15" t="s">
        <v>22</v>
      </c>
    </row>
    <row r="532" spans="1:15" x14ac:dyDescent="0.2">
      <c r="A532" s="17" t="s">
        <v>2061</v>
      </c>
      <c r="B532" s="17" t="s">
        <v>2062</v>
      </c>
      <c r="C532" s="17">
        <v>15</v>
      </c>
      <c r="D532" s="1"/>
      <c r="E532" s="1">
        <v>2150</v>
      </c>
      <c r="F532" s="1">
        <v>2440</v>
      </c>
      <c r="G532" s="1">
        <v>53</v>
      </c>
      <c r="H532" s="1"/>
      <c r="I532" s="1"/>
      <c r="J532" s="1"/>
      <c r="K532" s="1"/>
      <c r="L532" s="17" t="s">
        <v>2063</v>
      </c>
      <c r="M532" s="17" t="s">
        <v>2064</v>
      </c>
      <c r="N532" s="17">
        <v>19</v>
      </c>
      <c r="O532" s="15" t="s">
        <v>22</v>
      </c>
    </row>
    <row r="533" spans="1:15" x14ac:dyDescent="0.2">
      <c r="A533" s="17" t="s">
        <v>2065</v>
      </c>
      <c r="B533" s="17" t="s">
        <v>2066</v>
      </c>
      <c r="C533" s="17">
        <v>18</v>
      </c>
      <c r="D533" s="1"/>
      <c r="E533" s="1">
        <v>2150</v>
      </c>
      <c r="F533" s="1">
        <v>2440</v>
      </c>
      <c r="G533" s="1">
        <v>61</v>
      </c>
      <c r="H533" s="1"/>
      <c r="I533" s="1"/>
      <c r="J533" s="1"/>
      <c r="K533" s="1"/>
      <c r="L533" s="17" t="s">
        <v>2067</v>
      </c>
      <c r="M533" s="17" t="s">
        <v>2068</v>
      </c>
      <c r="N533" s="17">
        <v>22</v>
      </c>
      <c r="O533" s="15" t="s">
        <v>22</v>
      </c>
    </row>
    <row r="534" spans="1:15" x14ac:dyDescent="0.2">
      <c r="A534" s="17" t="s">
        <v>2069</v>
      </c>
      <c r="B534" s="17" t="s">
        <v>2070</v>
      </c>
      <c r="C534" s="17">
        <v>9</v>
      </c>
      <c r="D534" s="1"/>
      <c r="E534" s="1">
        <v>2150</v>
      </c>
      <c r="F534" s="1">
        <v>2440</v>
      </c>
      <c r="G534" s="1">
        <v>33</v>
      </c>
      <c r="H534" s="1"/>
      <c r="I534" s="1"/>
      <c r="J534" s="1"/>
      <c r="K534" s="1"/>
      <c r="L534" s="17" t="s">
        <v>2067</v>
      </c>
      <c r="M534" s="17" t="s">
        <v>2071</v>
      </c>
      <c r="N534" s="17">
        <v>22</v>
      </c>
      <c r="O534" s="15" t="s">
        <v>22</v>
      </c>
    </row>
    <row r="535" spans="1:15" x14ac:dyDescent="0.2">
      <c r="A535" s="17" t="s">
        <v>2072</v>
      </c>
      <c r="B535" s="17" t="s">
        <v>2073</v>
      </c>
      <c r="C535" s="17">
        <v>15</v>
      </c>
      <c r="D535" s="1"/>
      <c r="E535" s="1">
        <v>2150</v>
      </c>
      <c r="F535" s="1">
        <v>2440</v>
      </c>
      <c r="G535" s="1">
        <v>53</v>
      </c>
      <c r="H535" s="1"/>
      <c r="I535" s="1"/>
      <c r="J535" s="1"/>
      <c r="K535" s="1"/>
      <c r="L535" s="17" t="s">
        <v>2074</v>
      </c>
      <c r="M535" s="17" t="s">
        <v>2075</v>
      </c>
      <c r="N535" s="17">
        <v>29</v>
      </c>
      <c r="O535" s="15" t="s">
        <v>22</v>
      </c>
    </row>
    <row r="536" spans="1:15" x14ac:dyDescent="0.2">
      <c r="A536" s="17" t="s">
        <v>2076</v>
      </c>
      <c r="B536" s="17" t="s">
        <v>2077</v>
      </c>
      <c r="C536" s="17">
        <v>18</v>
      </c>
      <c r="D536" s="1"/>
      <c r="E536" s="1">
        <v>2150</v>
      </c>
      <c r="F536" s="1">
        <v>2440</v>
      </c>
      <c r="G536" s="1">
        <v>61</v>
      </c>
      <c r="H536" s="1"/>
      <c r="I536" s="1"/>
      <c r="J536" s="1"/>
      <c r="K536" s="1"/>
      <c r="L536" s="17" t="s">
        <v>2078</v>
      </c>
      <c r="M536" s="17" t="s">
        <v>2079</v>
      </c>
      <c r="N536" s="17">
        <v>33</v>
      </c>
      <c r="O536" s="15" t="s">
        <v>22</v>
      </c>
    </row>
    <row r="537" spans="1:15" x14ac:dyDescent="0.2">
      <c r="A537" s="17" t="s">
        <v>2080</v>
      </c>
      <c r="B537" s="17" t="s">
        <v>2081</v>
      </c>
      <c r="C537" s="17">
        <v>15</v>
      </c>
      <c r="D537" s="1"/>
      <c r="E537" s="1">
        <v>2150</v>
      </c>
      <c r="F537" s="1">
        <v>2440</v>
      </c>
      <c r="G537" s="1">
        <v>53</v>
      </c>
      <c r="H537" s="1"/>
      <c r="I537" s="1"/>
      <c r="J537" s="1"/>
      <c r="K537" s="1"/>
      <c r="L537" s="17" t="s">
        <v>2078</v>
      </c>
      <c r="M537" s="17" t="s">
        <v>2082</v>
      </c>
      <c r="N537" s="17">
        <v>33</v>
      </c>
      <c r="O537" s="15" t="s">
        <v>22</v>
      </c>
    </row>
    <row r="538" spans="1:15" x14ac:dyDescent="0.2">
      <c r="A538" s="17" t="s">
        <v>2083</v>
      </c>
      <c r="B538" s="17" t="s">
        <v>2084</v>
      </c>
      <c r="C538" s="17">
        <v>6</v>
      </c>
      <c r="D538" s="1"/>
      <c r="E538" s="1">
        <v>2150</v>
      </c>
      <c r="F538" s="1">
        <v>2440</v>
      </c>
      <c r="G538" s="1">
        <v>23</v>
      </c>
      <c r="H538" s="1"/>
      <c r="I538" s="1"/>
      <c r="J538" s="1"/>
      <c r="K538" s="1"/>
      <c r="L538" s="17" t="s">
        <v>2085</v>
      </c>
      <c r="M538" s="17" t="s">
        <v>2086</v>
      </c>
      <c r="N538" s="17">
        <v>44</v>
      </c>
      <c r="O538" s="15" t="s">
        <v>22</v>
      </c>
    </row>
    <row r="539" spans="1:15" x14ac:dyDescent="0.2">
      <c r="A539" s="17" t="s">
        <v>2087</v>
      </c>
      <c r="B539" s="17" t="s">
        <v>2088</v>
      </c>
      <c r="C539" s="17">
        <v>15</v>
      </c>
      <c r="D539" s="1"/>
      <c r="E539" s="1">
        <v>2150</v>
      </c>
      <c r="F539" s="1">
        <v>2440</v>
      </c>
      <c r="G539" s="1">
        <v>53</v>
      </c>
      <c r="H539" s="1"/>
      <c r="I539" s="1"/>
      <c r="J539" s="1"/>
      <c r="K539" s="1"/>
      <c r="L539" s="17" t="s">
        <v>2089</v>
      </c>
      <c r="M539" s="17" t="s">
        <v>2090</v>
      </c>
      <c r="N539" s="17">
        <v>19</v>
      </c>
      <c r="O539" s="15" t="s">
        <v>22</v>
      </c>
    </row>
    <row r="540" spans="1:15" x14ac:dyDescent="0.2">
      <c r="A540" s="17" t="s">
        <v>2091</v>
      </c>
      <c r="B540" s="17" t="s">
        <v>2092</v>
      </c>
      <c r="C540" s="17">
        <v>18</v>
      </c>
      <c r="D540" s="1"/>
      <c r="E540" s="1">
        <v>2150</v>
      </c>
      <c r="F540" s="1">
        <v>2440</v>
      </c>
      <c r="G540" s="1">
        <v>61</v>
      </c>
      <c r="H540" s="1"/>
      <c r="I540" s="1"/>
      <c r="J540" s="1"/>
      <c r="K540" s="1"/>
      <c r="L540" s="17" t="s">
        <v>2093</v>
      </c>
      <c r="M540" s="17" t="s">
        <v>2094</v>
      </c>
      <c r="N540" s="17">
        <v>33</v>
      </c>
      <c r="O540" s="15" t="s">
        <v>22</v>
      </c>
    </row>
    <row r="541" spans="1:15" x14ac:dyDescent="0.2">
      <c r="A541" s="17" t="s">
        <v>2095</v>
      </c>
      <c r="B541" s="17" t="s">
        <v>2096</v>
      </c>
      <c r="C541" s="17">
        <v>6</v>
      </c>
      <c r="D541" s="1"/>
      <c r="E541" s="1">
        <v>2150</v>
      </c>
      <c r="F541" s="1">
        <v>2440</v>
      </c>
      <c r="G541" s="1">
        <v>23</v>
      </c>
      <c r="H541" s="1"/>
      <c r="I541" s="1"/>
      <c r="J541" s="1"/>
      <c r="K541" s="1"/>
      <c r="L541" s="17" t="s">
        <v>2097</v>
      </c>
      <c r="M541" s="17" t="s">
        <v>2098</v>
      </c>
      <c r="N541" s="17">
        <v>19</v>
      </c>
      <c r="O541" s="15" t="s">
        <v>22</v>
      </c>
    </row>
    <row r="542" spans="1:15" x14ac:dyDescent="0.2">
      <c r="A542" s="17" t="s">
        <v>2099</v>
      </c>
      <c r="B542" s="17" t="s">
        <v>2100</v>
      </c>
      <c r="C542" s="17">
        <v>9</v>
      </c>
      <c r="D542" s="1"/>
      <c r="E542" s="1">
        <v>2150</v>
      </c>
      <c r="F542" s="1">
        <v>2440</v>
      </c>
      <c r="G542" s="1">
        <v>33</v>
      </c>
      <c r="H542" s="1"/>
      <c r="I542" s="1"/>
      <c r="J542" s="1"/>
      <c r="K542" s="1"/>
      <c r="L542" s="17" t="s">
        <v>2101</v>
      </c>
      <c r="M542" s="17" t="s">
        <v>2102</v>
      </c>
      <c r="N542" s="17">
        <v>22</v>
      </c>
      <c r="O542" s="15" t="s">
        <v>22</v>
      </c>
    </row>
    <row r="543" spans="1:15" x14ac:dyDescent="0.2">
      <c r="A543" s="17" t="s">
        <v>2103</v>
      </c>
      <c r="B543" s="17" t="s">
        <v>2104</v>
      </c>
      <c r="C543" s="17">
        <v>12</v>
      </c>
      <c r="D543" s="1"/>
      <c r="E543" s="1">
        <v>2150</v>
      </c>
      <c r="F543" s="1">
        <v>2440</v>
      </c>
      <c r="G543" s="1">
        <v>41</v>
      </c>
      <c r="H543" s="1"/>
      <c r="I543" s="1"/>
      <c r="J543" s="1"/>
      <c r="K543" s="1"/>
      <c r="L543" s="17" t="s">
        <v>2105</v>
      </c>
      <c r="M543" s="17" t="s">
        <v>2106</v>
      </c>
      <c r="N543" s="17">
        <v>33</v>
      </c>
      <c r="O543" s="15" t="s">
        <v>22</v>
      </c>
    </row>
    <row r="544" spans="1:15" x14ac:dyDescent="0.2">
      <c r="A544" s="17" t="s">
        <v>2107</v>
      </c>
      <c r="B544" s="17" t="s">
        <v>2108</v>
      </c>
      <c r="C544" s="17">
        <v>15</v>
      </c>
      <c r="D544" s="1"/>
      <c r="E544" s="1">
        <v>2150</v>
      </c>
      <c r="F544" s="1">
        <v>2440</v>
      </c>
      <c r="G544" s="1">
        <v>53</v>
      </c>
      <c r="H544" s="1"/>
      <c r="I544" s="1"/>
      <c r="J544" s="1"/>
      <c r="K544" s="1"/>
      <c r="L544" s="17" t="s">
        <v>2109</v>
      </c>
      <c r="M544" s="17" t="s">
        <v>2110</v>
      </c>
      <c r="N544" s="17">
        <v>22</v>
      </c>
      <c r="O544" s="15" t="s">
        <v>22</v>
      </c>
    </row>
    <row r="545" spans="1:15" x14ac:dyDescent="0.2">
      <c r="A545" s="17" t="s">
        <v>2111</v>
      </c>
      <c r="B545" s="17" t="s">
        <v>2112</v>
      </c>
      <c r="C545" s="17">
        <v>18</v>
      </c>
      <c r="D545" s="1"/>
      <c r="E545" s="1">
        <v>2150</v>
      </c>
      <c r="F545" s="1">
        <v>2440</v>
      </c>
      <c r="G545" s="1">
        <v>61</v>
      </c>
      <c r="H545" s="1"/>
      <c r="I545" s="1"/>
      <c r="J545" s="1"/>
      <c r="K545" s="1"/>
      <c r="L545" s="17" t="s">
        <v>2113</v>
      </c>
      <c r="M545" s="17" t="s">
        <v>2114</v>
      </c>
      <c r="N545" s="17">
        <v>33</v>
      </c>
      <c r="O545" s="15" t="s">
        <v>22</v>
      </c>
    </row>
    <row r="546" spans="1:15" x14ac:dyDescent="0.2">
      <c r="A546" s="17" t="s">
        <v>2115</v>
      </c>
      <c r="B546" s="17" t="s">
        <v>2116</v>
      </c>
      <c r="C546" s="17">
        <v>25</v>
      </c>
      <c r="D546" s="1"/>
      <c r="E546" s="1">
        <v>2150</v>
      </c>
      <c r="F546" s="1">
        <v>2440</v>
      </c>
      <c r="G546" s="1">
        <v>83</v>
      </c>
      <c r="H546" s="1"/>
      <c r="I546" s="1"/>
      <c r="J546" s="1"/>
      <c r="K546" s="1"/>
      <c r="L546" s="17" t="s">
        <v>2117</v>
      </c>
      <c r="M546" s="17" t="s">
        <v>2118</v>
      </c>
      <c r="N546" s="17">
        <v>44</v>
      </c>
      <c r="O546" s="15" t="s">
        <v>22</v>
      </c>
    </row>
    <row r="547" spans="1:15" x14ac:dyDescent="0.2">
      <c r="A547" s="17" t="s">
        <v>2119</v>
      </c>
      <c r="B547" s="17" t="s">
        <v>2120</v>
      </c>
      <c r="C547" s="17">
        <v>36</v>
      </c>
      <c r="D547" s="1"/>
      <c r="E547" s="1">
        <v>2150</v>
      </c>
      <c r="F547" s="1">
        <v>2440</v>
      </c>
      <c r="G547" s="1">
        <v>117</v>
      </c>
      <c r="H547" s="1"/>
      <c r="I547" s="1"/>
      <c r="J547" s="1"/>
      <c r="K547" s="1"/>
      <c r="L547" s="17" t="s">
        <v>2121</v>
      </c>
      <c r="M547" s="17" t="s">
        <v>2122</v>
      </c>
      <c r="N547" s="17">
        <v>22</v>
      </c>
      <c r="O547" s="15" t="s">
        <v>22</v>
      </c>
    </row>
    <row r="548" spans="1:15" x14ac:dyDescent="0.2">
      <c r="A548" s="17" t="s">
        <v>2123</v>
      </c>
      <c r="B548" s="17" t="s">
        <v>2124</v>
      </c>
      <c r="C548" s="17">
        <v>9</v>
      </c>
      <c r="D548" s="1"/>
      <c r="E548" s="1">
        <v>2150</v>
      </c>
      <c r="F548" s="1">
        <v>2440</v>
      </c>
      <c r="G548" s="1">
        <v>33</v>
      </c>
      <c r="H548" s="1"/>
      <c r="I548" s="1"/>
      <c r="J548" s="1"/>
      <c r="K548" s="1"/>
      <c r="L548" s="17" t="s">
        <v>2125</v>
      </c>
      <c r="M548" s="17" t="s">
        <v>2126</v>
      </c>
      <c r="N548" s="17">
        <v>33</v>
      </c>
      <c r="O548" s="15" t="s">
        <v>22</v>
      </c>
    </row>
    <row r="549" spans="1:15" x14ac:dyDescent="0.2">
      <c r="A549" s="17" t="s">
        <v>2127</v>
      </c>
      <c r="B549" s="17" t="s">
        <v>2128</v>
      </c>
      <c r="C549" s="17">
        <v>12</v>
      </c>
      <c r="D549" s="1"/>
      <c r="E549" s="1">
        <v>2150</v>
      </c>
      <c r="F549" s="1">
        <v>2440</v>
      </c>
      <c r="G549" s="1">
        <v>41</v>
      </c>
      <c r="H549" s="1"/>
      <c r="I549" s="1"/>
      <c r="J549" s="1"/>
      <c r="K549" s="1"/>
      <c r="L549" s="17" t="s">
        <v>2129</v>
      </c>
      <c r="M549" s="17" t="s">
        <v>2130</v>
      </c>
      <c r="N549" s="17">
        <v>22</v>
      </c>
      <c r="O549" s="15" t="s">
        <v>22</v>
      </c>
    </row>
    <row r="550" spans="1:15" x14ac:dyDescent="0.2">
      <c r="A550" s="17" t="s">
        <v>2131</v>
      </c>
      <c r="B550" s="17" t="s">
        <v>2132</v>
      </c>
      <c r="C550" s="17">
        <v>15</v>
      </c>
      <c r="D550" s="1"/>
      <c r="E550" s="1">
        <v>2150</v>
      </c>
      <c r="F550" s="1">
        <v>2440</v>
      </c>
      <c r="G550" s="1">
        <v>53</v>
      </c>
      <c r="H550" s="1"/>
      <c r="I550" s="1"/>
      <c r="J550" s="1"/>
      <c r="K550" s="1"/>
      <c r="L550" s="17" t="s">
        <v>2133</v>
      </c>
      <c r="M550" s="17" t="s">
        <v>2134</v>
      </c>
      <c r="N550" s="17">
        <v>33</v>
      </c>
      <c r="O550" s="15" t="s">
        <v>22</v>
      </c>
    </row>
    <row r="551" spans="1:15" x14ac:dyDescent="0.2">
      <c r="A551" s="17" t="s">
        <v>2135</v>
      </c>
      <c r="B551" s="17" t="s">
        <v>2136</v>
      </c>
      <c r="C551" s="17">
        <v>6</v>
      </c>
      <c r="D551" s="1"/>
      <c r="E551" s="1">
        <v>2150</v>
      </c>
      <c r="F551" s="1">
        <v>2440</v>
      </c>
      <c r="G551" s="1">
        <v>23</v>
      </c>
      <c r="H551" s="1"/>
      <c r="I551" s="1"/>
      <c r="J551" s="1"/>
      <c r="K551" s="1"/>
      <c r="L551" s="17" t="s">
        <v>2137</v>
      </c>
      <c r="M551" s="17" t="s">
        <v>2138</v>
      </c>
      <c r="N551" s="17">
        <v>19</v>
      </c>
      <c r="O551" s="15" t="s">
        <v>22</v>
      </c>
    </row>
    <row r="552" spans="1:15" x14ac:dyDescent="0.2">
      <c r="A552" s="17" t="s">
        <v>2139</v>
      </c>
      <c r="B552" s="17" t="s">
        <v>2140</v>
      </c>
      <c r="C552" s="17">
        <v>15</v>
      </c>
      <c r="D552" s="1"/>
      <c r="E552" s="1">
        <v>2150</v>
      </c>
      <c r="F552" s="1">
        <v>2440</v>
      </c>
      <c r="G552" s="1">
        <v>53</v>
      </c>
      <c r="H552" s="1"/>
      <c r="I552" s="1"/>
      <c r="J552" s="1"/>
      <c r="K552" s="1"/>
      <c r="L552" s="17" t="s">
        <v>2141</v>
      </c>
      <c r="M552" s="17" t="s">
        <v>2142</v>
      </c>
      <c r="N552" s="17">
        <v>22</v>
      </c>
      <c r="O552" s="15" t="s">
        <v>22</v>
      </c>
    </row>
    <row r="553" spans="1:15" x14ac:dyDescent="0.2">
      <c r="A553" s="17" t="s">
        <v>2143</v>
      </c>
      <c r="B553" s="17" t="s">
        <v>2144</v>
      </c>
      <c r="C553" s="17">
        <v>18</v>
      </c>
      <c r="D553" s="1"/>
      <c r="E553" s="1">
        <v>2150</v>
      </c>
      <c r="F553" s="1">
        <v>2440</v>
      </c>
      <c r="G553" s="1">
        <v>61</v>
      </c>
      <c r="H553" s="1"/>
      <c r="I553" s="1"/>
      <c r="J553" s="1"/>
      <c r="K553" s="1"/>
      <c r="L553" s="17" t="s">
        <v>2145</v>
      </c>
      <c r="M553" s="17" t="s">
        <v>2146</v>
      </c>
      <c r="N553" s="17">
        <v>19</v>
      </c>
      <c r="O553" s="15" t="s">
        <v>22</v>
      </c>
    </row>
    <row r="554" spans="1:15" x14ac:dyDescent="0.2">
      <c r="A554" s="17" t="s">
        <v>2147</v>
      </c>
      <c r="B554" s="17" t="s">
        <v>2148</v>
      </c>
      <c r="C554" s="17">
        <v>25</v>
      </c>
      <c r="D554" s="1"/>
      <c r="E554" s="1">
        <v>2150</v>
      </c>
      <c r="F554" s="1">
        <v>2440</v>
      </c>
      <c r="G554" s="1">
        <v>83</v>
      </c>
      <c r="H554" s="1"/>
      <c r="I554" s="1"/>
      <c r="J554" s="1"/>
      <c r="K554" s="1"/>
      <c r="L554" s="17" t="s">
        <v>2149</v>
      </c>
      <c r="M554" s="17" t="s">
        <v>2150</v>
      </c>
      <c r="N554" s="17">
        <v>22</v>
      </c>
      <c r="O554" s="15" t="s">
        <v>22</v>
      </c>
    </row>
    <row r="555" spans="1:15" x14ac:dyDescent="0.2">
      <c r="A555" s="17" t="s">
        <v>2151</v>
      </c>
      <c r="B555" s="17" t="s">
        <v>2152</v>
      </c>
      <c r="C555" s="17">
        <v>30</v>
      </c>
      <c r="D555" s="1"/>
      <c r="E555" s="1">
        <v>2150</v>
      </c>
      <c r="F555" s="1">
        <v>2440</v>
      </c>
      <c r="G555" s="1">
        <v>97</v>
      </c>
      <c r="H555" s="1"/>
      <c r="I555" s="1"/>
      <c r="J555" s="1"/>
      <c r="K555" s="1"/>
      <c r="L555" s="17" t="s">
        <v>2153</v>
      </c>
      <c r="M555" s="17" t="s">
        <v>2154</v>
      </c>
      <c r="N555" s="17">
        <v>33</v>
      </c>
      <c r="O555" s="15" t="s">
        <v>22</v>
      </c>
    </row>
    <row r="556" spans="1:15" x14ac:dyDescent="0.2">
      <c r="A556" s="17" t="s">
        <v>2155</v>
      </c>
      <c r="B556" s="17" t="s">
        <v>2156</v>
      </c>
      <c r="C556" s="17">
        <v>36</v>
      </c>
      <c r="D556" s="1"/>
      <c r="E556" s="1">
        <v>2150</v>
      </c>
      <c r="F556" s="1">
        <v>2440</v>
      </c>
      <c r="G556" s="1">
        <v>117</v>
      </c>
      <c r="H556" s="1"/>
      <c r="I556" s="1"/>
      <c r="J556" s="1"/>
      <c r="K556" s="1"/>
      <c r="L556" s="17" t="s">
        <v>2157</v>
      </c>
      <c r="M556" s="17" t="s">
        <v>2158</v>
      </c>
      <c r="N556" s="17">
        <v>44</v>
      </c>
      <c r="O556" s="15" t="s">
        <v>22</v>
      </c>
    </row>
    <row r="557" spans="1:15" x14ac:dyDescent="0.2">
      <c r="A557" s="17" t="s">
        <v>2159</v>
      </c>
      <c r="B557" s="17" t="s">
        <v>2160</v>
      </c>
      <c r="C557" s="17">
        <v>9</v>
      </c>
      <c r="D557" s="1"/>
      <c r="E557" s="1">
        <v>2150</v>
      </c>
      <c r="F557" s="1">
        <v>2440</v>
      </c>
      <c r="G557" s="1">
        <v>33</v>
      </c>
      <c r="H557" s="1"/>
      <c r="I557" s="1"/>
      <c r="J557" s="1"/>
      <c r="K557" s="1"/>
      <c r="L557" s="17" t="s">
        <v>2161</v>
      </c>
      <c r="M557" s="17" t="s">
        <v>2162</v>
      </c>
      <c r="N557" s="17">
        <v>22</v>
      </c>
      <c r="O557" s="15" t="s">
        <v>22</v>
      </c>
    </row>
    <row r="558" spans="1:15" x14ac:dyDescent="0.2">
      <c r="A558" s="17" t="s">
        <v>2163</v>
      </c>
      <c r="B558" s="17" t="s">
        <v>2164</v>
      </c>
      <c r="C558" s="17">
        <v>15</v>
      </c>
      <c r="D558" s="1"/>
      <c r="E558" s="1">
        <v>2150</v>
      </c>
      <c r="F558" s="1">
        <v>2440</v>
      </c>
      <c r="G558" s="1">
        <v>53</v>
      </c>
      <c r="H558" s="1"/>
      <c r="I558" s="1"/>
      <c r="J558" s="1"/>
      <c r="K558" s="1"/>
      <c r="L558" s="17" t="s">
        <v>2165</v>
      </c>
      <c r="M558" s="17" t="s">
        <v>2166</v>
      </c>
      <c r="N558" s="17">
        <v>33</v>
      </c>
      <c r="O558" s="15" t="s">
        <v>22</v>
      </c>
    </row>
    <row r="559" spans="1:15" x14ac:dyDescent="0.2">
      <c r="A559" s="17" t="s">
        <v>2167</v>
      </c>
      <c r="B559" s="17" t="s">
        <v>2168</v>
      </c>
      <c r="C559" s="17">
        <v>15</v>
      </c>
      <c r="D559" s="1"/>
      <c r="E559" s="1">
        <v>2150</v>
      </c>
      <c r="F559" s="1">
        <v>2440</v>
      </c>
      <c r="G559" s="1">
        <v>53</v>
      </c>
      <c r="H559" s="1"/>
      <c r="I559" s="1"/>
      <c r="J559" s="1"/>
      <c r="K559" s="1"/>
      <c r="L559" s="17" t="s">
        <v>2169</v>
      </c>
      <c r="M559" s="17" t="s">
        <v>2170</v>
      </c>
      <c r="N559" s="17">
        <v>19</v>
      </c>
      <c r="O559" s="15" t="s">
        <v>22</v>
      </c>
    </row>
    <row r="560" spans="1:15" x14ac:dyDescent="0.2">
      <c r="A560" s="17" t="s">
        <v>2171</v>
      </c>
      <c r="B560" s="17" t="s">
        <v>2172</v>
      </c>
      <c r="C560" s="17">
        <v>15</v>
      </c>
      <c r="D560" s="1"/>
      <c r="E560" s="1">
        <v>2150</v>
      </c>
      <c r="F560" s="1">
        <v>2440</v>
      </c>
      <c r="G560" s="1">
        <v>53</v>
      </c>
      <c r="H560" s="1"/>
      <c r="I560" s="1"/>
      <c r="J560" s="1"/>
      <c r="K560" s="1"/>
      <c r="L560" s="17" t="s">
        <v>2173</v>
      </c>
      <c r="M560" s="17" t="s">
        <v>2174</v>
      </c>
      <c r="N560" s="17">
        <v>19</v>
      </c>
      <c r="O560" s="15" t="s">
        <v>22</v>
      </c>
    </row>
    <row r="561" spans="1:15" x14ac:dyDescent="0.2">
      <c r="A561" s="17" t="s">
        <v>2175</v>
      </c>
      <c r="B561" s="17" t="s">
        <v>2176</v>
      </c>
      <c r="C561" s="17">
        <v>15</v>
      </c>
      <c r="D561" s="1"/>
      <c r="E561" s="1">
        <v>2150</v>
      </c>
      <c r="F561" s="1">
        <v>2440</v>
      </c>
      <c r="G561" s="1">
        <v>53</v>
      </c>
      <c r="H561" s="1"/>
      <c r="I561" s="1"/>
      <c r="J561" s="1"/>
      <c r="K561" s="1"/>
      <c r="L561" s="17" t="s">
        <v>2177</v>
      </c>
      <c r="M561" s="17" t="s">
        <v>2178</v>
      </c>
      <c r="N561" s="17">
        <v>22</v>
      </c>
      <c r="O561" s="15" t="s">
        <v>22</v>
      </c>
    </row>
    <row r="562" spans="1:15" x14ac:dyDescent="0.2">
      <c r="A562" s="17" t="s">
        <v>2179</v>
      </c>
      <c r="B562" s="17" t="s">
        <v>2180</v>
      </c>
      <c r="C562" s="17">
        <v>25</v>
      </c>
      <c r="D562" s="1"/>
      <c r="E562" s="1">
        <v>2150</v>
      </c>
      <c r="F562" s="1">
        <v>2440</v>
      </c>
      <c r="G562" s="1">
        <v>83</v>
      </c>
      <c r="H562" s="1"/>
      <c r="I562" s="1"/>
      <c r="J562" s="1"/>
      <c r="K562" s="1"/>
      <c r="L562" s="17" t="s">
        <v>2181</v>
      </c>
      <c r="M562" s="17" t="s">
        <v>2182</v>
      </c>
      <c r="N562" s="17">
        <v>44</v>
      </c>
      <c r="O562" s="15" t="s">
        <v>22</v>
      </c>
    </row>
    <row r="563" spans="1:15" x14ac:dyDescent="0.2">
      <c r="A563" s="17" t="s">
        <v>2183</v>
      </c>
      <c r="B563" s="17" t="s">
        <v>2184</v>
      </c>
      <c r="C563" s="17">
        <v>36</v>
      </c>
      <c r="D563" s="1"/>
      <c r="E563" s="1">
        <v>2150</v>
      </c>
      <c r="F563" s="1">
        <v>2440</v>
      </c>
      <c r="G563" s="1">
        <v>117</v>
      </c>
      <c r="H563" s="1"/>
      <c r="I563" s="1"/>
      <c r="J563" s="1"/>
      <c r="K563" s="1"/>
      <c r="L563" s="17" t="s">
        <v>2185</v>
      </c>
      <c r="M563" s="17" t="s">
        <v>2186</v>
      </c>
      <c r="N563" s="17">
        <v>22</v>
      </c>
      <c r="O563" s="15" t="s">
        <v>22</v>
      </c>
    </row>
    <row r="564" spans="1:15" x14ac:dyDescent="0.2">
      <c r="A564" s="17" t="s">
        <v>2187</v>
      </c>
      <c r="B564" s="17" t="s">
        <v>2188</v>
      </c>
      <c r="C564" s="17">
        <v>18</v>
      </c>
      <c r="D564" s="1"/>
      <c r="E564" s="1">
        <v>2150</v>
      </c>
      <c r="F564" s="1">
        <v>2440</v>
      </c>
      <c r="G564" s="1">
        <v>61</v>
      </c>
      <c r="H564" s="1"/>
      <c r="I564" s="1"/>
      <c r="J564" s="1"/>
      <c r="K564" s="1"/>
      <c r="L564" s="17" t="s">
        <v>2189</v>
      </c>
      <c r="M564" s="17" t="s">
        <v>2190</v>
      </c>
      <c r="N564" s="17">
        <v>22</v>
      </c>
      <c r="O564" s="15" t="s">
        <v>22</v>
      </c>
    </row>
    <row r="565" spans="1:15" x14ac:dyDescent="0.2">
      <c r="A565" s="17" t="s">
        <v>2191</v>
      </c>
      <c r="B565" s="17" t="s">
        <v>2192</v>
      </c>
      <c r="C565" s="17">
        <v>36</v>
      </c>
      <c r="D565" s="1"/>
      <c r="E565" s="1">
        <v>2150</v>
      </c>
      <c r="F565" s="1">
        <v>2440</v>
      </c>
      <c r="G565" s="1">
        <v>117</v>
      </c>
      <c r="H565" s="1"/>
      <c r="I565" s="1"/>
      <c r="J565" s="1"/>
      <c r="K565" s="1"/>
      <c r="L565" s="17" t="s">
        <v>2193</v>
      </c>
      <c r="M565" s="17" t="s">
        <v>2194</v>
      </c>
      <c r="N565" s="17">
        <v>33</v>
      </c>
      <c r="O565" s="15" t="s">
        <v>22</v>
      </c>
    </row>
    <row r="566" spans="1:15" x14ac:dyDescent="0.2">
      <c r="A566" s="17" t="s">
        <v>2195</v>
      </c>
      <c r="B566" s="17" t="s">
        <v>2196</v>
      </c>
      <c r="C566" s="17">
        <v>6</v>
      </c>
      <c r="D566" s="1"/>
      <c r="E566" s="1">
        <v>2150</v>
      </c>
      <c r="F566" s="1">
        <v>2440</v>
      </c>
      <c r="G566" s="1">
        <v>23</v>
      </c>
      <c r="H566" s="1"/>
      <c r="I566" s="1"/>
      <c r="J566" s="1"/>
      <c r="K566" s="1"/>
      <c r="L566" s="17" t="s">
        <v>2197</v>
      </c>
      <c r="M566" s="17" t="s">
        <v>2198</v>
      </c>
      <c r="N566" s="17">
        <v>19</v>
      </c>
      <c r="O566" s="15" t="s">
        <v>22</v>
      </c>
    </row>
    <row r="567" spans="1:15" x14ac:dyDescent="0.2">
      <c r="A567" s="17" t="s">
        <v>2199</v>
      </c>
      <c r="B567" s="17" t="s">
        <v>2200</v>
      </c>
      <c r="C567" s="17">
        <v>12</v>
      </c>
      <c r="D567" s="1"/>
      <c r="E567" s="1">
        <v>2150</v>
      </c>
      <c r="F567" s="1">
        <v>2440</v>
      </c>
      <c r="G567" s="1">
        <v>41</v>
      </c>
      <c r="H567" s="1"/>
      <c r="I567" s="1"/>
      <c r="J567" s="1"/>
      <c r="K567" s="1"/>
      <c r="L567" s="17" t="s">
        <v>2201</v>
      </c>
      <c r="M567" s="17" t="s">
        <v>2202</v>
      </c>
      <c r="N567" s="17">
        <v>22</v>
      </c>
      <c r="O567" s="15" t="s">
        <v>22</v>
      </c>
    </row>
    <row r="568" spans="1:15" x14ac:dyDescent="0.2">
      <c r="A568" s="17" t="s">
        <v>2203</v>
      </c>
      <c r="B568" s="17" t="s">
        <v>2204</v>
      </c>
      <c r="C568" s="17">
        <v>15</v>
      </c>
      <c r="D568" s="1"/>
      <c r="E568" s="1">
        <v>2150</v>
      </c>
      <c r="F568" s="1">
        <v>2440</v>
      </c>
      <c r="G568" s="1">
        <v>53</v>
      </c>
      <c r="H568" s="1"/>
      <c r="I568" s="1"/>
      <c r="J568" s="1"/>
      <c r="K568" s="1"/>
      <c r="L568" s="17" t="s">
        <v>2205</v>
      </c>
      <c r="M568" s="17" t="s">
        <v>2206</v>
      </c>
      <c r="N568" s="17">
        <v>44</v>
      </c>
      <c r="O568" s="15" t="s">
        <v>22</v>
      </c>
    </row>
    <row r="569" spans="1:15" x14ac:dyDescent="0.2">
      <c r="A569" s="17" t="s">
        <v>2207</v>
      </c>
      <c r="B569" s="17" t="s">
        <v>2208</v>
      </c>
      <c r="C569" s="17">
        <v>18</v>
      </c>
      <c r="D569" s="1"/>
      <c r="E569" s="1">
        <v>2150</v>
      </c>
      <c r="F569" s="1">
        <v>2440</v>
      </c>
      <c r="G569" s="1">
        <v>61</v>
      </c>
      <c r="H569" s="1"/>
      <c r="I569" s="1"/>
      <c r="J569" s="1"/>
      <c r="K569" s="1"/>
      <c r="L569" s="17" t="s">
        <v>2209</v>
      </c>
      <c r="M569" s="17" t="s">
        <v>2210</v>
      </c>
      <c r="N569" s="17">
        <v>22</v>
      </c>
      <c r="O569" s="15" t="s">
        <v>22</v>
      </c>
    </row>
    <row r="570" spans="1:15" x14ac:dyDescent="0.2">
      <c r="A570" s="17" t="s">
        <v>2211</v>
      </c>
      <c r="B570" s="17" t="s">
        <v>2212</v>
      </c>
      <c r="C570" s="17">
        <v>36</v>
      </c>
      <c r="D570" s="1"/>
      <c r="E570" s="1">
        <v>2150</v>
      </c>
      <c r="F570" s="1">
        <v>2440</v>
      </c>
      <c r="G570" s="1">
        <v>117</v>
      </c>
      <c r="H570" s="1"/>
      <c r="I570" s="1"/>
      <c r="J570" s="1"/>
      <c r="K570" s="1"/>
      <c r="L570" s="17" t="s">
        <v>2213</v>
      </c>
      <c r="M570" s="17" t="s">
        <v>2214</v>
      </c>
      <c r="N570" s="17">
        <v>44</v>
      </c>
      <c r="O570" s="15" t="s">
        <v>22</v>
      </c>
    </row>
    <row r="571" spans="1:15" x14ac:dyDescent="0.2">
      <c r="A571" s="17" t="s">
        <v>2215</v>
      </c>
      <c r="B571" s="17" t="s">
        <v>2216</v>
      </c>
      <c r="C571" s="17">
        <v>9</v>
      </c>
      <c r="D571" s="1"/>
      <c r="E571" s="1">
        <v>2150</v>
      </c>
      <c r="F571" s="1">
        <v>2440</v>
      </c>
      <c r="G571" s="1">
        <v>33</v>
      </c>
      <c r="H571" s="1"/>
      <c r="I571" s="1"/>
      <c r="J571" s="1"/>
      <c r="K571" s="1"/>
      <c r="L571" s="17" t="s">
        <v>2217</v>
      </c>
      <c r="M571" s="17" t="s">
        <v>2218</v>
      </c>
      <c r="N571" s="17">
        <v>19</v>
      </c>
      <c r="O571" s="15" t="s">
        <v>22</v>
      </c>
    </row>
    <row r="572" spans="1:15" x14ac:dyDescent="0.2">
      <c r="A572" s="17" t="s">
        <v>2219</v>
      </c>
      <c r="B572" s="17" t="s">
        <v>2220</v>
      </c>
      <c r="C572" s="17">
        <v>15</v>
      </c>
      <c r="D572" s="1"/>
      <c r="E572" s="1">
        <v>2150</v>
      </c>
      <c r="F572" s="1">
        <v>2440</v>
      </c>
      <c r="G572" s="1">
        <v>53</v>
      </c>
      <c r="H572" s="1"/>
      <c r="I572" s="1"/>
      <c r="J572" s="1"/>
      <c r="K572" s="1"/>
      <c r="L572" s="17" t="s">
        <v>2221</v>
      </c>
      <c r="M572" s="17" t="s">
        <v>2222</v>
      </c>
      <c r="N572" s="17">
        <v>22</v>
      </c>
      <c r="O572" s="15" t="s">
        <v>22</v>
      </c>
    </row>
    <row r="573" spans="1:15" x14ac:dyDescent="0.2">
      <c r="A573" s="17" t="s">
        <v>2223</v>
      </c>
      <c r="B573" s="17" t="s">
        <v>2224</v>
      </c>
      <c r="C573" s="17">
        <v>6</v>
      </c>
      <c r="D573" s="1"/>
      <c r="E573" s="1">
        <v>2150</v>
      </c>
      <c r="F573" s="1">
        <v>2440</v>
      </c>
      <c r="G573" s="1">
        <v>23</v>
      </c>
      <c r="H573" s="1"/>
      <c r="I573" s="1"/>
      <c r="J573" s="1"/>
      <c r="K573" s="1"/>
      <c r="L573" s="17" t="s">
        <v>2221</v>
      </c>
      <c r="M573" s="17" t="s">
        <v>2225</v>
      </c>
      <c r="N573" s="17">
        <v>22</v>
      </c>
      <c r="O573" s="15" t="s">
        <v>22</v>
      </c>
    </row>
    <row r="574" spans="1:15" x14ac:dyDescent="0.2">
      <c r="A574" s="17" t="s">
        <v>2226</v>
      </c>
      <c r="B574" s="17" t="s">
        <v>2227</v>
      </c>
      <c r="C574" s="17">
        <v>15</v>
      </c>
      <c r="D574" s="1"/>
      <c r="E574" s="1">
        <v>2150</v>
      </c>
      <c r="F574" s="1">
        <v>2440</v>
      </c>
      <c r="G574" s="1">
        <v>53</v>
      </c>
      <c r="H574" s="1"/>
      <c r="I574" s="1"/>
      <c r="J574" s="1"/>
      <c r="K574" s="1"/>
      <c r="L574" s="17" t="s">
        <v>2228</v>
      </c>
      <c r="M574" s="17" t="s">
        <v>2229</v>
      </c>
      <c r="N574" s="17">
        <v>29</v>
      </c>
      <c r="O574" s="15" t="s">
        <v>22</v>
      </c>
    </row>
    <row r="575" spans="1:15" x14ac:dyDescent="0.2">
      <c r="A575" s="17" t="s">
        <v>2230</v>
      </c>
      <c r="B575" s="17" t="s">
        <v>2231</v>
      </c>
      <c r="C575" s="17">
        <v>18</v>
      </c>
      <c r="D575" s="1"/>
      <c r="E575" s="1">
        <v>2150</v>
      </c>
      <c r="F575" s="1">
        <v>2440</v>
      </c>
      <c r="G575" s="1">
        <v>61</v>
      </c>
      <c r="H575" s="1"/>
      <c r="I575" s="1"/>
      <c r="J575" s="1"/>
      <c r="K575" s="1"/>
      <c r="L575" s="17" t="s">
        <v>2232</v>
      </c>
      <c r="M575" s="17" t="s">
        <v>2233</v>
      </c>
      <c r="N575" s="17">
        <v>33</v>
      </c>
      <c r="O575" s="15" t="s">
        <v>22</v>
      </c>
    </row>
    <row r="576" spans="1:15" x14ac:dyDescent="0.2">
      <c r="A576" s="17" t="s">
        <v>2234</v>
      </c>
      <c r="B576" s="17" t="s">
        <v>2235</v>
      </c>
      <c r="C576" s="17">
        <v>36</v>
      </c>
      <c r="D576" s="1"/>
      <c r="E576" s="1">
        <v>2150</v>
      </c>
      <c r="F576" s="1">
        <v>2440</v>
      </c>
      <c r="G576" s="1">
        <v>117</v>
      </c>
      <c r="H576" s="1"/>
      <c r="I576" s="1"/>
      <c r="J576" s="1"/>
      <c r="K576" s="1"/>
      <c r="L576" s="17" t="s">
        <v>2236</v>
      </c>
      <c r="M576" s="17" t="s">
        <v>2237</v>
      </c>
      <c r="N576" s="17">
        <v>44</v>
      </c>
      <c r="O576" s="15" t="s">
        <v>22</v>
      </c>
    </row>
    <row r="577" spans="1:15" x14ac:dyDescent="0.2">
      <c r="A577" s="17" t="s">
        <v>2238</v>
      </c>
      <c r="B577" s="17" t="s">
        <v>2239</v>
      </c>
      <c r="C577" s="17">
        <v>6</v>
      </c>
      <c r="D577" s="1"/>
      <c r="E577" s="1">
        <v>2150</v>
      </c>
      <c r="F577" s="1">
        <v>2440</v>
      </c>
      <c r="G577" s="1">
        <v>23</v>
      </c>
      <c r="H577" s="1"/>
      <c r="I577" s="1"/>
      <c r="J577" s="1"/>
      <c r="K577" s="1"/>
      <c r="L577" s="17" t="s">
        <v>2240</v>
      </c>
      <c r="M577" s="17" t="s">
        <v>2241</v>
      </c>
      <c r="N577" s="17">
        <v>22</v>
      </c>
      <c r="O577" s="15" t="s">
        <v>22</v>
      </c>
    </row>
    <row r="578" spans="1:15" x14ac:dyDescent="0.2">
      <c r="A578" s="17" t="s">
        <v>2242</v>
      </c>
      <c r="B578" s="17" t="s">
        <v>2243</v>
      </c>
      <c r="C578" s="17">
        <v>15</v>
      </c>
      <c r="D578" s="1"/>
      <c r="E578" s="1">
        <v>2150</v>
      </c>
      <c r="F578" s="1">
        <v>2440</v>
      </c>
      <c r="G578" s="1">
        <v>53</v>
      </c>
      <c r="H578" s="1"/>
      <c r="I578" s="1"/>
      <c r="J578" s="1"/>
      <c r="K578" s="1"/>
      <c r="L578" s="17" t="s">
        <v>2244</v>
      </c>
      <c r="M578" s="17" t="s">
        <v>2245</v>
      </c>
      <c r="N578" s="17">
        <v>19</v>
      </c>
      <c r="O578" s="15" t="s">
        <v>22</v>
      </c>
    </row>
    <row r="579" spans="1:15" x14ac:dyDescent="0.2">
      <c r="A579" s="17" t="s">
        <v>2246</v>
      </c>
      <c r="B579" s="17" t="s">
        <v>2247</v>
      </c>
      <c r="C579" s="17">
        <v>25</v>
      </c>
      <c r="D579" s="1"/>
      <c r="E579" s="1">
        <v>2150</v>
      </c>
      <c r="F579" s="1">
        <v>2440</v>
      </c>
      <c r="G579" s="1">
        <v>83</v>
      </c>
      <c r="H579" s="1"/>
      <c r="I579" s="1"/>
      <c r="J579" s="1"/>
      <c r="K579" s="1"/>
      <c r="L579" s="17" t="s">
        <v>2248</v>
      </c>
      <c r="M579" s="17" t="s">
        <v>2249</v>
      </c>
      <c r="N579" s="17">
        <v>22</v>
      </c>
      <c r="O579" s="15" t="s">
        <v>22</v>
      </c>
    </row>
    <row r="580" spans="1:15" x14ac:dyDescent="0.2">
      <c r="A580" s="17" t="s">
        <v>2250</v>
      </c>
      <c r="B580" s="17" t="s">
        <v>2251</v>
      </c>
      <c r="C580" s="17">
        <v>15</v>
      </c>
      <c r="D580" s="1"/>
      <c r="E580" s="1">
        <v>2150</v>
      </c>
      <c r="F580" s="1">
        <v>2440</v>
      </c>
      <c r="G580" s="1">
        <v>53</v>
      </c>
      <c r="H580" s="1"/>
      <c r="I580" s="1"/>
      <c r="J580" s="1"/>
      <c r="K580" s="1"/>
      <c r="L580" s="17" t="s">
        <v>2248</v>
      </c>
      <c r="M580" s="17" t="s">
        <v>2252</v>
      </c>
      <c r="N580" s="17">
        <v>22</v>
      </c>
      <c r="O580" s="15" t="s">
        <v>22</v>
      </c>
    </row>
    <row r="581" spans="1:15" x14ac:dyDescent="0.2">
      <c r="A581" s="17" t="s">
        <v>2253</v>
      </c>
      <c r="B581" s="17" t="s">
        <v>2254</v>
      </c>
      <c r="C581" s="17">
        <v>6</v>
      </c>
      <c r="D581" s="1"/>
      <c r="E581" s="1">
        <v>2150</v>
      </c>
      <c r="F581" s="1">
        <v>2440</v>
      </c>
      <c r="G581" s="1">
        <v>23</v>
      </c>
      <c r="H581" s="1"/>
      <c r="I581" s="1"/>
      <c r="J581" s="1"/>
      <c r="K581" s="1"/>
      <c r="L581" s="17" t="s">
        <v>2255</v>
      </c>
      <c r="M581" s="17" t="s">
        <v>2256</v>
      </c>
      <c r="N581" s="17">
        <v>29</v>
      </c>
      <c r="O581" s="15" t="s">
        <v>22</v>
      </c>
    </row>
    <row r="582" spans="1:15" x14ac:dyDescent="0.2">
      <c r="A582" s="17" t="s">
        <v>2257</v>
      </c>
      <c r="B582" s="17" t="s">
        <v>2258</v>
      </c>
      <c r="C582" s="17">
        <v>15</v>
      </c>
      <c r="D582" s="1"/>
      <c r="E582" s="1">
        <v>2150</v>
      </c>
      <c r="F582" s="1">
        <v>2440</v>
      </c>
      <c r="G582" s="1">
        <v>53</v>
      </c>
      <c r="H582" s="1"/>
      <c r="I582" s="1"/>
      <c r="J582" s="1"/>
      <c r="K582" s="1"/>
      <c r="L582" s="17" t="s">
        <v>2259</v>
      </c>
      <c r="M582" s="17" t="s">
        <v>2260</v>
      </c>
      <c r="N582" s="17">
        <v>33</v>
      </c>
      <c r="O582" s="15" t="s">
        <v>22</v>
      </c>
    </row>
    <row r="583" spans="1:15" x14ac:dyDescent="0.2">
      <c r="A583" s="17" t="s">
        <v>2261</v>
      </c>
      <c r="B583" s="17" t="s">
        <v>2262</v>
      </c>
      <c r="C583" s="17">
        <v>18</v>
      </c>
      <c r="D583" s="1"/>
      <c r="E583" s="1">
        <v>2150</v>
      </c>
      <c r="F583" s="1">
        <v>2440</v>
      </c>
      <c r="G583" s="1">
        <v>61</v>
      </c>
      <c r="H583" s="1"/>
      <c r="I583" s="1"/>
      <c r="J583" s="1"/>
      <c r="K583" s="1"/>
      <c r="L583" s="17" t="s">
        <v>2263</v>
      </c>
      <c r="M583" s="17" t="s">
        <v>2264</v>
      </c>
      <c r="N583" s="17">
        <v>33</v>
      </c>
      <c r="O583" s="15" t="s">
        <v>22</v>
      </c>
    </row>
    <row r="584" spans="1:15" x14ac:dyDescent="0.2">
      <c r="A584" s="17" t="s">
        <v>2265</v>
      </c>
      <c r="B584" s="17" t="s">
        <v>2266</v>
      </c>
      <c r="C584" s="17">
        <v>36</v>
      </c>
      <c r="D584" s="1"/>
      <c r="E584" s="1">
        <v>2150</v>
      </c>
      <c r="F584" s="1">
        <v>2440</v>
      </c>
      <c r="G584" s="1">
        <v>117</v>
      </c>
      <c r="H584" s="1"/>
      <c r="I584" s="1"/>
      <c r="J584" s="1"/>
      <c r="K584" s="1"/>
      <c r="L584" s="17" t="s">
        <v>2267</v>
      </c>
      <c r="M584" s="17" t="s">
        <v>2268</v>
      </c>
      <c r="N584" s="17">
        <v>22</v>
      </c>
      <c r="O584" s="15" t="s">
        <v>22</v>
      </c>
    </row>
    <row r="585" spans="1:15" x14ac:dyDescent="0.2">
      <c r="A585" s="17" t="s">
        <v>2269</v>
      </c>
      <c r="B585" s="17" t="s">
        <v>2270</v>
      </c>
      <c r="C585" s="17">
        <v>9</v>
      </c>
      <c r="D585" s="1"/>
      <c r="E585" s="1">
        <v>2150</v>
      </c>
      <c r="F585" s="1">
        <v>2440</v>
      </c>
      <c r="G585" s="1">
        <v>33</v>
      </c>
      <c r="H585" s="1"/>
      <c r="I585" s="1"/>
      <c r="J585" s="1"/>
      <c r="K585" s="1"/>
      <c r="L585" s="17" t="s">
        <v>2271</v>
      </c>
      <c r="M585" s="17" t="s">
        <v>2272</v>
      </c>
      <c r="N585" s="17">
        <v>22</v>
      </c>
      <c r="O585" s="15" t="s">
        <v>22</v>
      </c>
    </row>
    <row r="586" spans="1:15" x14ac:dyDescent="0.2">
      <c r="A586" s="17" t="s">
        <v>2273</v>
      </c>
      <c r="B586" s="17" t="s">
        <v>2274</v>
      </c>
      <c r="C586" s="17">
        <v>15</v>
      </c>
      <c r="D586" s="1"/>
      <c r="E586" s="1">
        <v>2150</v>
      </c>
      <c r="F586" s="1">
        <v>2440</v>
      </c>
      <c r="G586" s="1">
        <v>53</v>
      </c>
      <c r="H586" s="1"/>
      <c r="I586" s="1"/>
      <c r="J586" s="1"/>
      <c r="K586" s="1"/>
      <c r="L586" s="17" t="s">
        <v>2275</v>
      </c>
      <c r="M586" s="17" t="s">
        <v>2276</v>
      </c>
      <c r="N586" s="17">
        <v>33</v>
      </c>
      <c r="O586" s="15" t="s">
        <v>22</v>
      </c>
    </row>
    <row r="587" spans="1:15" x14ac:dyDescent="0.2">
      <c r="A587" s="17" t="s">
        <v>2277</v>
      </c>
      <c r="B587" s="17" t="s">
        <v>2278</v>
      </c>
      <c r="C587" s="17">
        <v>6</v>
      </c>
      <c r="D587" s="1"/>
      <c r="E587" s="1">
        <v>2150</v>
      </c>
      <c r="F587" s="1">
        <v>2440</v>
      </c>
      <c r="G587" s="1">
        <v>23</v>
      </c>
      <c r="H587" s="1"/>
      <c r="I587" s="1"/>
      <c r="J587" s="1"/>
      <c r="K587" s="1"/>
      <c r="L587" s="17" t="s">
        <v>2279</v>
      </c>
      <c r="M587" s="17" t="s">
        <v>2280</v>
      </c>
      <c r="N587" s="17">
        <v>22</v>
      </c>
      <c r="O587" s="15" t="s">
        <v>22</v>
      </c>
    </row>
    <row r="588" spans="1:15" x14ac:dyDescent="0.2">
      <c r="A588" s="17" t="s">
        <v>2281</v>
      </c>
      <c r="B588" s="17" t="s">
        <v>2282</v>
      </c>
      <c r="C588" s="17">
        <v>15</v>
      </c>
      <c r="D588" s="1"/>
      <c r="E588" s="1">
        <v>2150</v>
      </c>
      <c r="F588" s="1">
        <v>2440</v>
      </c>
      <c r="G588" s="1">
        <v>53</v>
      </c>
      <c r="H588" s="1"/>
      <c r="I588" s="1"/>
      <c r="J588" s="1"/>
      <c r="K588" s="1"/>
      <c r="L588" s="17" t="s">
        <v>2279</v>
      </c>
      <c r="M588" s="17" t="s">
        <v>2283</v>
      </c>
      <c r="N588" s="17">
        <v>22</v>
      </c>
      <c r="O588" s="15" t="s">
        <v>22</v>
      </c>
    </row>
    <row r="589" spans="1:15" x14ac:dyDescent="0.2">
      <c r="A589" s="17" t="s">
        <v>2284</v>
      </c>
      <c r="B589" s="17" t="s">
        <v>2285</v>
      </c>
      <c r="C589" s="17">
        <v>15</v>
      </c>
      <c r="D589" s="1"/>
      <c r="E589" s="1">
        <v>2150</v>
      </c>
      <c r="F589" s="1">
        <v>2440</v>
      </c>
      <c r="G589" s="1">
        <v>53</v>
      </c>
      <c r="H589" s="1"/>
      <c r="I589" s="1"/>
      <c r="J589" s="1"/>
      <c r="K589" s="1"/>
      <c r="L589" s="17" t="s">
        <v>2286</v>
      </c>
      <c r="M589" s="17" t="s">
        <v>2287</v>
      </c>
      <c r="N589" s="17">
        <v>33</v>
      </c>
      <c r="O589" s="15" t="s">
        <v>22</v>
      </c>
    </row>
    <row r="590" spans="1:15" x14ac:dyDescent="0.2">
      <c r="A590" s="17" t="s">
        <v>2288</v>
      </c>
      <c r="B590" s="17" t="s">
        <v>2289</v>
      </c>
      <c r="C590" s="17">
        <v>15</v>
      </c>
      <c r="D590" s="1"/>
      <c r="E590" s="1">
        <v>2150</v>
      </c>
      <c r="F590" s="1">
        <v>2440</v>
      </c>
      <c r="G590" s="1">
        <v>53</v>
      </c>
      <c r="H590" s="1"/>
      <c r="I590" s="1"/>
      <c r="J590" s="1"/>
      <c r="K590" s="1"/>
      <c r="L590" s="17" t="s">
        <v>2290</v>
      </c>
      <c r="M590" s="17" t="s">
        <v>2291</v>
      </c>
      <c r="N590" s="17">
        <v>41</v>
      </c>
      <c r="O590" s="15" t="s">
        <v>31</v>
      </c>
    </row>
    <row r="591" spans="1:15" x14ac:dyDescent="0.2">
      <c r="A591" s="17" t="s">
        <v>2292</v>
      </c>
      <c r="B591" s="17" t="s">
        <v>2293</v>
      </c>
      <c r="C591" s="17">
        <v>15</v>
      </c>
      <c r="D591" s="1"/>
      <c r="E591" s="1">
        <v>2150</v>
      </c>
      <c r="F591" s="1">
        <v>2440</v>
      </c>
      <c r="G591" s="1">
        <v>53</v>
      </c>
      <c r="H591" s="1"/>
      <c r="I591" s="1"/>
      <c r="J591" s="1"/>
      <c r="K591" s="1"/>
      <c r="L591" s="17" t="s">
        <v>2294</v>
      </c>
      <c r="M591" s="17" t="s">
        <v>2295</v>
      </c>
      <c r="N591" s="17">
        <v>33</v>
      </c>
      <c r="O591" s="15" t="s">
        <v>31</v>
      </c>
    </row>
    <row r="592" spans="1:15" x14ac:dyDescent="0.2">
      <c r="A592" s="17" t="s">
        <v>2296</v>
      </c>
      <c r="B592" s="17" t="s">
        <v>2297</v>
      </c>
      <c r="C592" s="17">
        <v>15</v>
      </c>
      <c r="D592" s="1"/>
      <c r="E592" s="1">
        <v>2150</v>
      </c>
      <c r="F592" s="1">
        <v>2440</v>
      </c>
      <c r="G592" s="1">
        <v>53</v>
      </c>
      <c r="H592" s="1"/>
      <c r="I592" s="1"/>
      <c r="J592" s="1"/>
      <c r="K592" s="1"/>
      <c r="L592" s="17" t="s">
        <v>2298</v>
      </c>
      <c r="M592" s="17" t="s">
        <v>2299</v>
      </c>
      <c r="N592" s="17">
        <v>19</v>
      </c>
      <c r="O592" s="15" t="s">
        <v>22</v>
      </c>
    </row>
    <row r="593" spans="1:15" x14ac:dyDescent="0.2">
      <c r="A593" s="17" t="s">
        <v>2300</v>
      </c>
      <c r="B593" s="17" t="s">
        <v>2301</v>
      </c>
      <c r="C593" s="17">
        <v>6</v>
      </c>
      <c r="D593" s="1"/>
      <c r="E593" s="1">
        <v>2150</v>
      </c>
      <c r="F593" s="1">
        <v>2440</v>
      </c>
      <c r="G593" s="1">
        <v>23</v>
      </c>
      <c r="H593" s="1"/>
      <c r="I593" s="1"/>
      <c r="J593" s="1"/>
      <c r="K593" s="1"/>
      <c r="L593" s="17" t="s">
        <v>2302</v>
      </c>
      <c r="M593" s="17" t="s">
        <v>2303</v>
      </c>
      <c r="N593" s="17">
        <v>22</v>
      </c>
      <c r="O593" s="15" t="s">
        <v>22</v>
      </c>
    </row>
    <row r="594" spans="1:15" x14ac:dyDescent="0.2">
      <c r="A594" s="17" t="s">
        <v>2304</v>
      </c>
      <c r="B594" s="17" t="s">
        <v>2305</v>
      </c>
      <c r="C594" s="17">
        <v>9</v>
      </c>
      <c r="D594" s="1"/>
      <c r="E594" s="1">
        <v>2150</v>
      </c>
      <c r="F594" s="1">
        <v>2440</v>
      </c>
      <c r="G594" s="1">
        <v>33</v>
      </c>
      <c r="H594" s="1"/>
      <c r="I594" s="1"/>
      <c r="J594" s="1"/>
      <c r="K594" s="1"/>
      <c r="L594" s="17" t="s">
        <v>2306</v>
      </c>
      <c r="M594" s="17" t="s">
        <v>2307</v>
      </c>
      <c r="N594" s="17">
        <v>29</v>
      </c>
      <c r="O594" s="15" t="s">
        <v>22</v>
      </c>
    </row>
    <row r="595" spans="1:15" x14ac:dyDescent="0.2">
      <c r="A595" s="17" t="s">
        <v>2308</v>
      </c>
      <c r="B595" s="17" t="s">
        <v>2309</v>
      </c>
      <c r="C595" s="17">
        <v>18</v>
      </c>
      <c r="D595" s="1"/>
      <c r="E595" s="1">
        <v>2150</v>
      </c>
      <c r="F595" s="1">
        <v>2440</v>
      </c>
      <c r="G595" s="1">
        <v>61</v>
      </c>
      <c r="H595" s="1"/>
      <c r="I595" s="1"/>
      <c r="J595" s="1"/>
      <c r="K595" s="1"/>
      <c r="L595" s="17" t="s">
        <v>2310</v>
      </c>
      <c r="M595" s="17" t="s">
        <v>2311</v>
      </c>
      <c r="N595" s="17">
        <v>33</v>
      </c>
      <c r="O595" s="15" t="s">
        <v>22</v>
      </c>
    </row>
    <row r="596" spans="1:15" x14ac:dyDescent="0.2">
      <c r="A596" s="17" t="s">
        <v>2312</v>
      </c>
      <c r="B596" s="17" t="s">
        <v>2313</v>
      </c>
      <c r="C596" s="17">
        <v>9</v>
      </c>
      <c r="D596" s="1"/>
      <c r="E596" s="1">
        <v>2150</v>
      </c>
      <c r="F596" s="1">
        <v>2440</v>
      </c>
      <c r="G596" s="1">
        <v>33</v>
      </c>
      <c r="H596" s="1"/>
      <c r="I596" s="1"/>
      <c r="J596" s="1"/>
      <c r="K596" s="1"/>
      <c r="L596" s="17" t="s">
        <v>2314</v>
      </c>
      <c r="M596" s="17" t="s">
        <v>2315</v>
      </c>
      <c r="N596" s="17">
        <v>19</v>
      </c>
      <c r="O596" s="15" t="s">
        <v>22</v>
      </c>
    </row>
    <row r="597" spans="1:15" x14ac:dyDescent="0.2">
      <c r="A597" s="17" t="s">
        <v>2316</v>
      </c>
      <c r="B597" s="17" t="s">
        <v>2317</v>
      </c>
      <c r="C597" s="17">
        <v>12</v>
      </c>
      <c r="D597" s="1"/>
      <c r="E597" s="1">
        <v>2150</v>
      </c>
      <c r="F597" s="1">
        <v>2440</v>
      </c>
      <c r="G597" s="1">
        <v>41</v>
      </c>
      <c r="H597" s="1"/>
      <c r="I597" s="1"/>
      <c r="J597" s="1"/>
      <c r="K597" s="1"/>
      <c r="L597" s="17" t="s">
        <v>2318</v>
      </c>
      <c r="M597" s="17" t="s">
        <v>2319</v>
      </c>
      <c r="N597" s="17">
        <v>22</v>
      </c>
      <c r="O597" s="15" t="s">
        <v>22</v>
      </c>
    </row>
    <row r="598" spans="1:15" x14ac:dyDescent="0.2">
      <c r="A598" s="17" t="s">
        <v>2320</v>
      </c>
      <c r="B598" s="17" t="s">
        <v>2321</v>
      </c>
      <c r="C598" s="17">
        <v>15</v>
      </c>
      <c r="D598" s="1"/>
      <c r="E598" s="1">
        <v>2150</v>
      </c>
      <c r="F598" s="1">
        <v>2440</v>
      </c>
      <c r="G598" s="1">
        <v>53</v>
      </c>
      <c r="H598" s="1"/>
      <c r="I598" s="1"/>
      <c r="J598" s="1"/>
      <c r="K598" s="1"/>
      <c r="L598" s="17" t="s">
        <v>2322</v>
      </c>
      <c r="M598" s="17" t="s">
        <v>2323</v>
      </c>
      <c r="N598" s="17">
        <v>33</v>
      </c>
      <c r="O598" s="15" t="s">
        <v>22</v>
      </c>
    </row>
    <row r="599" spans="1:15" x14ac:dyDescent="0.2">
      <c r="A599" s="17" t="s">
        <v>2324</v>
      </c>
      <c r="B599" s="17" t="s">
        <v>2325</v>
      </c>
      <c r="C599" s="17">
        <v>18</v>
      </c>
      <c r="D599" s="1"/>
      <c r="E599" s="1">
        <v>2150</v>
      </c>
      <c r="F599" s="1">
        <v>2440</v>
      </c>
      <c r="G599" s="1">
        <v>61</v>
      </c>
      <c r="H599" s="1"/>
      <c r="I599" s="1"/>
      <c r="J599" s="1"/>
      <c r="K599" s="1"/>
      <c r="L599" s="17" t="s">
        <v>2326</v>
      </c>
      <c r="M599" s="17" t="s">
        <v>2327</v>
      </c>
      <c r="N599" s="17">
        <v>44</v>
      </c>
      <c r="O599" s="15" t="s">
        <v>22</v>
      </c>
    </row>
    <row r="600" spans="1:15" x14ac:dyDescent="0.2">
      <c r="A600" s="17" t="s">
        <v>2328</v>
      </c>
      <c r="B600" s="17" t="s">
        <v>2329</v>
      </c>
      <c r="C600" s="17">
        <v>25</v>
      </c>
      <c r="D600" s="1"/>
      <c r="E600" s="1">
        <v>2150</v>
      </c>
      <c r="F600" s="1">
        <v>2440</v>
      </c>
      <c r="G600" s="1">
        <v>83</v>
      </c>
      <c r="H600" s="1"/>
      <c r="I600" s="1"/>
      <c r="J600" s="1"/>
      <c r="K600" s="1"/>
      <c r="L600" s="17" t="s">
        <v>2330</v>
      </c>
      <c r="M600" s="17" t="s">
        <v>2331</v>
      </c>
      <c r="N600" s="17">
        <v>22</v>
      </c>
      <c r="O600" s="15" t="s">
        <v>22</v>
      </c>
    </row>
    <row r="601" spans="1:15" x14ac:dyDescent="0.2">
      <c r="A601" s="17" t="s">
        <v>2332</v>
      </c>
      <c r="B601" s="17" t="s">
        <v>2333</v>
      </c>
      <c r="C601" s="17">
        <v>36</v>
      </c>
      <c r="D601" s="1"/>
      <c r="E601" s="1">
        <v>2150</v>
      </c>
      <c r="F601" s="1">
        <v>2440</v>
      </c>
      <c r="G601" s="1">
        <v>117</v>
      </c>
      <c r="H601" s="1"/>
      <c r="I601" s="1"/>
      <c r="J601" s="1"/>
      <c r="K601" s="1"/>
      <c r="L601" s="17" t="s">
        <v>2334</v>
      </c>
      <c r="M601" s="17" t="s">
        <v>2335</v>
      </c>
      <c r="N601" s="17">
        <v>22</v>
      </c>
      <c r="O601" s="15" t="s">
        <v>22</v>
      </c>
    </row>
    <row r="602" spans="1:15" x14ac:dyDescent="0.2">
      <c r="A602" s="17" t="s">
        <v>2336</v>
      </c>
      <c r="B602" s="17" t="s">
        <v>2337</v>
      </c>
      <c r="C602" s="17">
        <v>9</v>
      </c>
      <c r="D602" s="1"/>
      <c r="E602" s="1">
        <v>2150</v>
      </c>
      <c r="F602" s="1">
        <v>2440</v>
      </c>
      <c r="G602" s="1">
        <v>33</v>
      </c>
      <c r="H602" s="1"/>
      <c r="I602" s="1"/>
      <c r="J602" s="1"/>
      <c r="K602" s="1"/>
      <c r="L602" s="17" t="s">
        <v>2334</v>
      </c>
      <c r="M602" s="17" t="s">
        <v>2338</v>
      </c>
      <c r="N602" s="17">
        <v>22</v>
      </c>
      <c r="O602" s="15" t="s">
        <v>22</v>
      </c>
    </row>
    <row r="603" spans="1:15" x14ac:dyDescent="0.2">
      <c r="A603" s="17" t="s">
        <v>2339</v>
      </c>
      <c r="B603" s="17" t="s">
        <v>2340</v>
      </c>
      <c r="C603" s="17">
        <v>12</v>
      </c>
      <c r="D603" s="1"/>
      <c r="E603" s="1">
        <v>2150</v>
      </c>
      <c r="F603" s="1">
        <v>2440</v>
      </c>
      <c r="G603" s="1">
        <v>41</v>
      </c>
      <c r="H603" s="1"/>
      <c r="I603" s="1"/>
      <c r="J603" s="1"/>
      <c r="K603" s="1"/>
      <c r="L603" s="17" t="s">
        <v>2334</v>
      </c>
      <c r="M603" s="17" t="s">
        <v>2341</v>
      </c>
      <c r="N603" s="17">
        <v>22</v>
      </c>
      <c r="O603" s="15" t="s">
        <v>22</v>
      </c>
    </row>
    <row r="604" spans="1:15" x14ac:dyDescent="0.2">
      <c r="A604" s="17" t="s">
        <v>2342</v>
      </c>
      <c r="B604" s="17" t="s">
        <v>2343</v>
      </c>
      <c r="C604" s="17">
        <v>15</v>
      </c>
      <c r="D604" s="1"/>
      <c r="E604" s="1">
        <v>2150</v>
      </c>
      <c r="F604" s="1">
        <v>2440</v>
      </c>
      <c r="G604" s="1">
        <v>53</v>
      </c>
      <c r="H604" s="1"/>
      <c r="I604" s="1"/>
      <c r="J604" s="1"/>
      <c r="K604" s="1"/>
      <c r="L604" s="17" t="s">
        <v>2344</v>
      </c>
      <c r="M604" s="17" t="s">
        <v>2345</v>
      </c>
      <c r="N604" s="17">
        <v>33</v>
      </c>
      <c r="O604" s="15" t="s">
        <v>22</v>
      </c>
    </row>
    <row r="605" spans="1:15" x14ac:dyDescent="0.2">
      <c r="A605" s="17" t="s">
        <v>2346</v>
      </c>
      <c r="B605" s="17" t="s">
        <v>2347</v>
      </c>
      <c r="C605" s="17">
        <v>18</v>
      </c>
      <c r="D605" s="1"/>
      <c r="E605" s="1">
        <v>2150</v>
      </c>
      <c r="F605" s="1">
        <v>2440</v>
      </c>
      <c r="G605" s="1">
        <v>61</v>
      </c>
      <c r="H605" s="1"/>
      <c r="I605" s="1"/>
      <c r="J605" s="1"/>
      <c r="K605" s="1"/>
      <c r="L605" s="17" t="s">
        <v>2344</v>
      </c>
      <c r="M605" s="17" t="s">
        <v>2348</v>
      </c>
      <c r="N605" s="17">
        <v>33</v>
      </c>
      <c r="O605" s="15" t="s">
        <v>22</v>
      </c>
    </row>
    <row r="606" spans="1:15" x14ac:dyDescent="0.2">
      <c r="A606" s="17" t="s">
        <v>2349</v>
      </c>
      <c r="B606" s="17" t="s">
        <v>2350</v>
      </c>
      <c r="C606" s="17">
        <v>25</v>
      </c>
      <c r="D606" s="1"/>
      <c r="E606" s="1">
        <v>2150</v>
      </c>
      <c r="F606" s="1">
        <v>2440</v>
      </c>
      <c r="G606" s="1">
        <v>83</v>
      </c>
      <c r="H606" s="1"/>
      <c r="I606" s="1"/>
      <c r="J606" s="1"/>
      <c r="K606" s="1"/>
      <c r="L606" s="17" t="s">
        <v>2351</v>
      </c>
      <c r="M606" s="17" t="s">
        <v>2352</v>
      </c>
      <c r="N606" s="17">
        <v>22</v>
      </c>
      <c r="O606" s="15" t="s">
        <v>22</v>
      </c>
    </row>
    <row r="607" spans="1:15" x14ac:dyDescent="0.2">
      <c r="A607" s="17" t="s">
        <v>2353</v>
      </c>
      <c r="B607" s="17" t="s">
        <v>2354</v>
      </c>
      <c r="C607" s="17">
        <v>30</v>
      </c>
      <c r="D607" s="1"/>
      <c r="E607" s="1">
        <v>2150</v>
      </c>
      <c r="F607" s="1">
        <v>2440</v>
      </c>
      <c r="G607" s="1">
        <v>97</v>
      </c>
      <c r="H607" s="1"/>
      <c r="I607" s="1"/>
      <c r="J607" s="1"/>
      <c r="K607" s="1"/>
      <c r="L607" s="17" t="s">
        <v>2355</v>
      </c>
      <c r="M607" s="17" t="s">
        <v>2356</v>
      </c>
      <c r="N607" s="17">
        <v>44</v>
      </c>
      <c r="O607" s="15" t="s">
        <v>22</v>
      </c>
    </row>
    <row r="608" spans="1:15" x14ac:dyDescent="0.2">
      <c r="A608" s="17" t="s">
        <v>2357</v>
      </c>
      <c r="B608" s="17" t="s">
        <v>2358</v>
      </c>
      <c r="C608" s="17">
        <v>1</v>
      </c>
      <c r="D608" s="1"/>
      <c r="E608" s="1">
        <v>1220</v>
      </c>
      <c r="F608" s="1">
        <v>2440</v>
      </c>
      <c r="G608" s="1">
        <v>66</v>
      </c>
      <c r="H608" s="1"/>
      <c r="I608" s="1"/>
      <c r="J608" s="1"/>
      <c r="K608" s="1"/>
      <c r="L608" s="17" t="s">
        <v>2359</v>
      </c>
      <c r="M608" s="17" t="s">
        <v>2360</v>
      </c>
      <c r="N608" s="17">
        <v>19</v>
      </c>
      <c r="O608" s="15" t="s">
        <v>22</v>
      </c>
    </row>
    <row r="609" spans="1:15" x14ac:dyDescent="0.2">
      <c r="A609" s="17" t="s">
        <v>2361</v>
      </c>
      <c r="B609" s="17" t="s">
        <v>2362</v>
      </c>
      <c r="C609" s="17">
        <v>3</v>
      </c>
      <c r="D609" s="1"/>
      <c r="E609" s="1">
        <v>1220</v>
      </c>
      <c r="F609" s="1">
        <v>2440</v>
      </c>
      <c r="G609" s="1">
        <v>6</v>
      </c>
      <c r="H609" s="1"/>
      <c r="I609" s="1"/>
      <c r="J609" s="1"/>
      <c r="K609" s="1"/>
      <c r="L609" s="17" t="s">
        <v>2363</v>
      </c>
      <c r="M609" s="17" t="s">
        <v>2364</v>
      </c>
      <c r="N609" s="17">
        <v>22</v>
      </c>
      <c r="O609" s="15" t="s">
        <v>22</v>
      </c>
    </row>
    <row r="610" spans="1:15" x14ac:dyDescent="0.2">
      <c r="A610" s="17" t="s">
        <v>2365</v>
      </c>
      <c r="B610" s="17" t="s">
        <v>2366</v>
      </c>
      <c r="C610" s="17">
        <v>6</v>
      </c>
      <c r="D610" s="1"/>
      <c r="E610" s="1">
        <v>2150</v>
      </c>
      <c r="F610" s="1">
        <v>2440</v>
      </c>
      <c r="G610" s="1">
        <v>23</v>
      </c>
      <c r="H610" s="1"/>
      <c r="I610" s="1"/>
      <c r="J610" s="1"/>
      <c r="K610" s="1"/>
      <c r="L610" s="17" t="s">
        <v>2367</v>
      </c>
      <c r="M610" s="17" t="s">
        <v>2368</v>
      </c>
      <c r="N610" s="17">
        <v>29</v>
      </c>
      <c r="O610" s="15" t="s">
        <v>22</v>
      </c>
    </row>
    <row r="611" spans="1:15" x14ac:dyDescent="0.2">
      <c r="A611" s="17" t="s">
        <v>2369</v>
      </c>
      <c r="B611" s="17" t="s">
        <v>2370</v>
      </c>
      <c r="C611" s="17">
        <v>15</v>
      </c>
      <c r="D611" s="1"/>
      <c r="E611" s="1">
        <v>2150</v>
      </c>
      <c r="F611" s="1">
        <v>2440</v>
      </c>
      <c r="G611" s="1">
        <v>53</v>
      </c>
      <c r="H611" s="1"/>
      <c r="I611" s="1"/>
      <c r="J611" s="1"/>
      <c r="K611" s="1"/>
      <c r="L611" s="17" t="s">
        <v>2371</v>
      </c>
      <c r="M611" s="17" t="s">
        <v>2372</v>
      </c>
      <c r="N611" s="17">
        <v>33</v>
      </c>
      <c r="O611" s="15" t="s">
        <v>22</v>
      </c>
    </row>
    <row r="612" spans="1:15" x14ac:dyDescent="0.2">
      <c r="A612" s="17" t="s">
        <v>2373</v>
      </c>
      <c r="B612" s="17" t="s">
        <v>2374</v>
      </c>
      <c r="C612" s="17">
        <v>18</v>
      </c>
      <c r="D612" s="1"/>
      <c r="E612" s="1">
        <v>2150</v>
      </c>
      <c r="F612" s="1">
        <v>2440</v>
      </c>
      <c r="G612" s="1">
        <v>61</v>
      </c>
      <c r="H612" s="1"/>
      <c r="I612" s="1"/>
      <c r="J612" s="1"/>
      <c r="K612" s="1"/>
      <c r="L612" s="17" t="s">
        <v>2371</v>
      </c>
      <c r="M612" s="17" t="s">
        <v>2375</v>
      </c>
      <c r="N612" s="17">
        <v>33</v>
      </c>
      <c r="O612" s="15" t="s">
        <v>22</v>
      </c>
    </row>
    <row r="613" spans="1:15" x14ac:dyDescent="0.2">
      <c r="A613" s="17" t="s">
        <v>2376</v>
      </c>
      <c r="B613" s="17" t="s">
        <v>2377</v>
      </c>
      <c r="C613" s="17">
        <v>36</v>
      </c>
      <c r="D613" s="1"/>
      <c r="E613" s="1">
        <v>2150</v>
      </c>
      <c r="F613" s="1">
        <v>2440</v>
      </c>
      <c r="G613" s="1">
        <v>117</v>
      </c>
      <c r="H613" s="1"/>
      <c r="I613" s="1"/>
      <c r="J613" s="1"/>
      <c r="K613" s="1"/>
      <c r="L613" s="17" t="s">
        <v>2378</v>
      </c>
      <c r="M613" s="17" t="s">
        <v>2379</v>
      </c>
      <c r="N613" s="17">
        <v>44</v>
      </c>
      <c r="O613" s="15" t="s">
        <v>22</v>
      </c>
    </row>
    <row r="614" spans="1:15" x14ac:dyDescent="0.2">
      <c r="A614" s="17" t="s">
        <v>2380</v>
      </c>
      <c r="B614" s="17" t="s">
        <v>2381</v>
      </c>
      <c r="C614" s="17">
        <v>6</v>
      </c>
      <c r="D614" s="1"/>
      <c r="E614" s="1">
        <v>2150</v>
      </c>
      <c r="F614" s="1">
        <v>2440</v>
      </c>
      <c r="G614" s="1">
        <v>23</v>
      </c>
      <c r="H614" s="1"/>
      <c r="I614" s="1"/>
      <c r="J614" s="1"/>
      <c r="K614" s="1"/>
      <c r="L614" s="17" t="s">
        <v>2382</v>
      </c>
      <c r="M614" s="17" t="s">
        <v>2383</v>
      </c>
      <c r="N614" s="17">
        <v>19</v>
      </c>
      <c r="O614" s="15" t="s">
        <v>22</v>
      </c>
    </row>
    <row r="615" spans="1:15" x14ac:dyDescent="0.2">
      <c r="A615" s="17" t="s">
        <v>2384</v>
      </c>
      <c r="B615" s="17" t="s">
        <v>2385</v>
      </c>
      <c r="C615" s="17">
        <v>12</v>
      </c>
      <c r="D615" s="1"/>
      <c r="E615" s="1">
        <v>2150</v>
      </c>
      <c r="F615" s="1">
        <v>2440</v>
      </c>
      <c r="G615" s="1">
        <v>41</v>
      </c>
      <c r="H615" s="1"/>
      <c r="I615" s="1"/>
      <c r="J615" s="1"/>
      <c r="K615" s="1"/>
      <c r="L615" s="17" t="s">
        <v>2386</v>
      </c>
      <c r="M615" s="17" t="s">
        <v>2387</v>
      </c>
      <c r="N615" s="17">
        <v>22</v>
      </c>
      <c r="O615" s="15" t="s">
        <v>22</v>
      </c>
    </row>
    <row r="616" spans="1:15" x14ac:dyDescent="0.2">
      <c r="A616" s="17" t="s">
        <v>2388</v>
      </c>
      <c r="B616" s="17" t="s">
        <v>2389</v>
      </c>
      <c r="C616" s="17">
        <v>15</v>
      </c>
      <c r="D616" s="1"/>
      <c r="E616" s="1">
        <v>2150</v>
      </c>
      <c r="F616" s="1">
        <v>2440</v>
      </c>
      <c r="G616" s="1">
        <v>53</v>
      </c>
      <c r="H616" s="1"/>
      <c r="I616" s="1"/>
      <c r="J616" s="1"/>
      <c r="K616" s="1"/>
      <c r="L616" s="17" t="s">
        <v>2390</v>
      </c>
      <c r="M616" s="17" t="s">
        <v>2391</v>
      </c>
      <c r="N616" s="17">
        <v>29</v>
      </c>
      <c r="O616" s="15" t="s">
        <v>22</v>
      </c>
    </row>
    <row r="617" spans="1:15" x14ac:dyDescent="0.2">
      <c r="A617" s="17" t="s">
        <v>2392</v>
      </c>
      <c r="B617" s="17" t="s">
        <v>2393</v>
      </c>
      <c r="C617" s="17">
        <v>18</v>
      </c>
      <c r="D617" s="1"/>
      <c r="E617" s="1">
        <v>2150</v>
      </c>
      <c r="F617" s="1">
        <v>2440</v>
      </c>
      <c r="G617" s="1">
        <v>61</v>
      </c>
      <c r="H617" s="1"/>
      <c r="I617" s="1"/>
      <c r="J617" s="1"/>
      <c r="K617" s="1"/>
      <c r="L617" s="17" t="s">
        <v>2394</v>
      </c>
      <c r="M617" s="17" t="s">
        <v>2395</v>
      </c>
      <c r="N617" s="17">
        <v>33</v>
      </c>
      <c r="O617" s="15" t="s">
        <v>22</v>
      </c>
    </row>
    <row r="618" spans="1:15" x14ac:dyDescent="0.2">
      <c r="A618" s="17" t="s">
        <v>2396</v>
      </c>
      <c r="B618" s="17" t="s">
        <v>2397</v>
      </c>
      <c r="C618" s="17">
        <v>25</v>
      </c>
      <c r="D618" s="1"/>
      <c r="E618" s="1">
        <v>2150</v>
      </c>
      <c r="F618" s="1">
        <v>2440</v>
      </c>
      <c r="G618" s="1">
        <v>83</v>
      </c>
      <c r="H618" s="1"/>
      <c r="I618" s="1"/>
      <c r="J618" s="1"/>
      <c r="K618" s="1"/>
      <c r="L618" s="17" t="s">
        <v>2398</v>
      </c>
      <c r="M618" s="17" t="s">
        <v>2399</v>
      </c>
      <c r="N618" s="17">
        <v>19</v>
      </c>
      <c r="O618" s="15" t="s">
        <v>22</v>
      </c>
    </row>
    <row r="619" spans="1:15" x14ac:dyDescent="0.2">
      <c r="A619" s="17" t="s">
        <v>2400</v>
      </c>
      <c r="B619" s="17" t="s">
        <v>2401</v>
      </c>
      <c r="C619" s="17">
        <v>36</v>
      </c>
      <c r="D619" s="1"/>
      <c r="E619" s="1">
        <v>2150</v>
      </c>
      <c r="F619" s="1">
        <v>2440</v>
      </c>
      <c r="G619" s="1">
        <v>117</v>
      </c>
      <c r="H619" s="1"/>
      <c r="I619" s="1"/>
      <c r="J619" s="1"/>
      <c r="K619" s="1"/>
      <c r="L619" s="17" t="s">
        <v>2402</v>
      </c>
      <c r="M619" s="17" t="s">
        <v>2403</v>
      </c>
      <c r="N619" s="17">
        <v>22</v>
      </c>
      <c r="O619" s="15" t="s">
        <v>22</v>
      </c>
    </row>
    <row r="620" spans="1:15" x14ac:dyDescent="0.2">
      <c r="A620" s="17" t="s">
        <v>2404</v>
      </c>
      <c r="B620" s="17" t="s">
        <v>2405</v>
      </c>
      <c r="C620" s="17">
        <v>9</v>
      </c>
      <c r="D620" s="1"/>
      <c r="E620" s="1">
        <v>2150</v>
      </c>
      <c r="F620" s="1">
        <v>2440</v>
      </c>
      <c r="G620" s="1">
        <v>33</v>
      </c>
      <c r="H620" s="1"/>
      <c r="I620" s="1"/>
      <c r="J620" s="1"/>
      <c r="K620" s="1"/>
      <c r="L620" s="17" t="s">
        <v>2402</v>
      </c>
      <c r="M620" s="17" t="s">
        <v>2406</v>
      </c>
      <c r="N620" s="17">
        <v>22</v>
      </c>
      <c r="O620" s="15" t="s">
        <v>22</v>
      </c>
    </row>
    <row r="621" spans="1:15" x14ac:dyDescent="0.2">
      <c r="A621" s="17" t="s">
        <v>2407</v>
      </c>
      <c r="B621" s="17" t="s">
        <v>2408</v>
      </c>
      <c r="C621" s="17">
        <v>15</v>
      </c>
      <c r="D621" s="1"/>
      <c r="E621" s="1">
        <v>2150</v>
      </c>
      <c r="F621" s="1">
        <v>2440</v>
      </c>
      <c r="G621" s="1">
        <v>53</v>
      </c>
      <c r="H621" s="1"/>
      <c r="I621" s="1"/>
      <c r="J621" s="1"/>
      <c r="K621" s="1"/>
      <c r="L621" s="17" t="s">
        <v>2409</v>
      </c>
      <c r="M621" s="17" t="s">
        <v>2410</v>
      </c>
      <c r="N621" s="17">
        <v>29</v>
      </c>
      <c r="O621" s="15" t="s">
        <v>22</v>
      </c>
    </row>
    <row r="622" spans="1:15" x14ac:dyDescent="0.2">
      <c r="A622" s="17" t="s">
        <v>2411</v>
      </c>
      <c r="B622" s="17" t="s">
        <v>2412</v>
      </c>
      <c r="C622" s="17">
        <v>6</v>
      </c>
      <c r="D622" s="1"/>
      <c r="E622" s="1">
        <v>2150</v>
      </c>
      <c r="F622" s="1">
        <v>2440</v>
      </c>
      <c r="G622" s="1">
        <v>23</v>
      </c>
      <c r="H622" s="1"/>
      <c r="I622" s="1"/>
      <c r="J622" s="1"/>
      <c r="K622" s="1"/>
      <c r="L622" s="17" t="s">
        <v>2413</v>
      </c>
      <c r="M622" s="17" t="s">
        <v>2414</v>
      </c>
      <c r="N622" s="17">
        <v>33</v>
      </c>
      <c r="O622" s="15" t="s">
        <v>22</v>
      </c>
    </row>
    <row r="623" spans="1:15" x14ac:dyDescent="0.2">
      <c r="A623" s="17" t="s">
        <v>2415</v>
      </c>
      <c r="B623" s="17" t="s">
        <v>2416</v>
      </c>
      <c r="C623" s="17">
        <v>15</v>
      </c>
      <c r="D623" s="1"/>
      <c r="E623" s="1">
        <v>2150</v>
      </c>
      <c r="F623" s="1">
        <v>2440</v>
      </c>
      <c r="G623" s="1">
        <v>53</v>
      </c>
      <c r="H623" s="1"/>
      <c r="I623" s="1"/>
      <c r="J623" s="1"/>
      <c r="K623" s="1"/>
      <c r="L623" s="17" t="s">
        <v>2417</v>
      </c>
      <c r="M623" s="17" t="s">
        <v>2418</v>
      </c>
      <c r="N623" s="17">
        <v>22</v>
      </c>
      <c r="O623" s="15" t="s">
        <v>22</v>
      </c>
    </row>
    <row r="624" spans="1:15" x14ac:dyDescent="0.2">
      <c r="A624" s="17" t="s">
        <v>2419</v>
      </c>
      <c r="B624" s="17" t="s">
        <v>2420</v>
      </c>
      <c r="C624" s="17">
        <v>18</v>
      </c>
      <c r="D624" s="1"/>
      <c r="E624" s="1">
        <v>2150</v>
      </c>
      <c r="F624" s="1">
        <v>2440</v>
      </c>
      <c r="G624" s="1">
        <v>61</v>
      </c>
      <c r="H624" s="1"/>
      <c r="I624" s="1"/>
      <c r="J624" s="1"/>
      <c r="K624" s="1"/>
      <c r="L624" s="17" t="s">
        <v>2421</v>
      </c>
      <c r="M624" s="17" t="s">
        <v>2422</v>
      </c>
      <c r="N624" s="17">
        <v>22</v>
      </c>
      <c r="O624" s="15" t="s">
        <v>22</v>
      </c>
    </row>
    <row r="625" spans="1:15" x14ac:dyDescent="0.2">
      <c r="A625" s="17" t="s">
        <v>2423</v>
      </c>
      <c r="B625" s="17" t="s">
        <v>2424</v>
      </c>
      <c r="C625" s="17">
        <v>18</v>
      </c>
      <c r="D625" s="1"/>
      <c r="E625" s="1">
        <v>2150</v>
      </c>
      <c r="F625" s="1">
        <v>2440</v>
      </c>
      <c r="G625" s="1">
        <v>61</v>
      </c>
      <c r="H625" s="1"/>
      <c r="I625" s="1"/>
      <c r="J625" s="1"/>
      <c r="K625" s="1"/>
      <c r="L625" s="17" t="s">
        <v>2425</v>
      </c>
      <c r="M625" s="17" t="s">
        <v>2426</v>
      </c>
      <c r="N625" s="17">
        <v>33</v>
      </c>
      <c r="O625" s="15" t="s">
        <v>22</v>
      </c>
    </row>
    <row r="626" spans="1:15" x14ac:dyDescent="0.2">
      <c r="A626" s="17" t="s">
        <v>2427</v>
      </c>
      <c r="B626" s="17" t="s">
        <v>2428</v>
      </c>
      <c r="C626" s="17">
        <v>25</v>
      </c>
      <c r="D626" s="1"/>
      <c r="E626" s="1">
        <v>2150</v>
      </c>
      <c r="F626" s="1">
        <v>2440</v>
      </c>
      <c r="G626" s="1">
        <v>83</v>
      </c>
      <c r="H626" s="1"/>
      <c r="I626" s="1"/>
      <c r="J626" s="1"/>
      <c r="K626" s="1"/>
      <c r="L626" s="17" t="s">
        <v>2429</v>
      </c>
      <c r="M626" s="17" t="s">
        <v>2430</v>
      </c>
      <c r="N626" s="17">
        <v>44</v>
      </c>
      <c r="O626" s="15" t="s">
        <v>22</v>
      </c>
    </row>
    <row r="627" spans="1:15" x14ac:dyDescent="0.2">
      <c r="A627" s="17" t="s">
        <v>2431</v>
      </c>
      <c r="B627" s="17" t="s">
        <v>2432</v>
      </c>
      <c r="C627" s="17">
        <v>36</v>
      </c>
      <c r="D627" s="1"/>
      <c r="E627" s="1">
        <v>2150</v>
      </c>
      <c r="F627" s="1">
        <v>2440</v>
      </c>
      <c r="G627" s="1">
        <v>117</v>
      </c>
      <c r="H627" s="1"/>
      <c r="I627" s="1"/>
      <c r="J627" s="1"/>
      <c r="K627" s="1"/>
      <c r="L627" s="17" t="s">
        <v>2433</v>
      </c>
      <c r="M627" s="17" t="s">
        <v>2434</v>
      </c>
      <c r="N627" s="17">
        <v>22</v>
      </c>
      <c r="O627" s="15" t="s">
        <v>22</v>
      </c>
    </row>
    <row r="628" spans="1:15" x14ac:dyDescent="0.2">
      <c r="A628" s="17" t="s">
        <v>2435</v>
      </c>
      <c r="B628" s="17" t="s">
        <v>2436</v>
      </c>
      <c r="C628" s="17">
        <v>6</v>
      </c>
      <c r="D628" s="1"/>
      <c r="E628" s="1">
        <v>2150</v>
      </c>
      <c r="F628" s="1">
        <v>2440</v>
      </c>
      <c r="G628" s="1">
        <v>23</v>
      </c>
      <c r="H628" s="1"/>
      <c r="I628" s="1"/>
      <c r="J628" s="1"/>
      <c r="K628" s="1"/>
      <c r="L628" s="17" t="s">
        <v>2437</v>
      </c>
      <c r="M628" s="17" t="s">
        <v>2438</v>
      </c>
      <c r="N628" s="17">
        <v>19</v>
      </c>
      <c r="O628" s="15" t="s">
        <v>22</v>
      </c>
    </row>
    <row r="629" spans="1:15" x14ac:dyDescent="0.2">
      <c r="A629" s="17" t="s">
        <v>2439</v>
      </c>
      <c r="B629" s="17" t="s">
        <v>2440</v>
      </c>
      <c r="C629" s="17">
        <v>15</v>
      </c>
      <c r="D629" s="1"/>
      <c r="E629" s="1">
        <v>2150</v>
      </c>
      <c r="F629" s="1">
        <v>2440</v>
      </c>
      <c r="G629" s="1">
        <v>53</v>
      </c>
      <c r="H629" s="1"/>
      <c r="I629" s="1"/>
      <c r="J629" s="1"/>
      <c r="K629" s="1"/>
      <c r="L629" s="17" t="s">
        <v>2441</v>
      </c>
      <c r="M629" s="17" t="s">
        <v>2442</v>
      </c>
      <c r="N629" s="17">
        <v>19</v>
      </c>
      <c r="O629" s="15" t="s">
        <v>22</v>
      </c>
    </row>
    <row r="630" spans="1:15" x14ac:dyDescent="0.2">
      <c r="A630" s="17" t="s">
        <v>2443</v>
      </c>
      <c r="B630" s="17" t="s">
        <v>2444</v>
      </c>
      <c r="C630" s="17">
        <v>6</v>
      </c>
      <c r="D630" s="1"/>
      <c r="E630" s="1">
        <v>2150</v>
      </c>
      <c r="F630" s="1">
        <v>2440</v>
      </c>
      <c r="G630" s="1">
        <v>23</v>
      </c>
      <c r="H630" s="1"/>
      <c r="I630" s="1"/>
      <c r="J630" s="1"/>
      <c r="K630" s="1"/>
      <c r="L630" s="17" t="s">
        <v>2445</v>
      </c>
      <c r="M630" s="17" t="s">
        <v>2446</v>
      </c>
      <c r="N630" s="17">
        <v>22</v>
      </c>
      <c r="O630" s="15" t="s">
        <v>22</v>
      </c>
    </row>
    <row r="631" spans="1:15" x14ac:dyDescent="0.2">
      <c r="A631" s="17" t="s">
        <v>2447</v>
      </c>
      <c r="B631" s="17" t="s">
        <v>2448</v>
      </c>
      <c r="C631" s="17">
        <v>9</v>
      </c>
      <c r="D631" s="1"/>
      <c r="E631" s="1">
        <v>2150</v>
      </c>
      <c r="F631" s="1">
        <v>2440</v>
      </c>
      <c r="G631" s="1">
        <v>33</v>
      </c>
      <c r="H631" s="1"/>
      <c r="I631" s="1"/>
      <c r="J631" s="1"/>
      <c r="K631" s="1"/>
      <c r="L631" s="17" t="s">
        <v>2449</v>
      </c>
      <c r="M631" s="17" t="s">
        <v>2450</v>
      </c>
      <c r="N631" s="17">
        <v>33</v>
      </c>
      <c r="O631" s="15" t="s">
        <v>22</v>
      </c>
    </row>
    <row r="632" spans="1:15" x14ac:dyDescent="0.2">
      <c r="A632" s="17" t="s">
        <v>2451</v>
      </c>
      <c r="B632" s="17" t="s">
        <v>2452</v>
      </c>
      <c r="C632" s="17">
        <v>15</v>
      </c>
      <c r="D632" s="1"/>
      <c r="E632" s="1">
        <v>2150</v>
      </c>
      <c r="F632" s="1">
        <v>2440</v>
      </c>
      <c r="G632" s="1">
        <v>53</v>
      </c>
      <c r="H632" s="1"/>
      <c r="I632" s="1"/>
      <c r="J632" s="1"/>
      <c r="K632" s="1"/>
      <c r="L632" s="17" t="s">
        <v>2453</v>
      </c>
      <c r="M632" s="17" t="s">
        <v>2454</v>
      </c>
      <c r="N632" s="17">
        <v>22</v>
      </c>
      <c r="O632" s="15" t="s">
        <v>22</v>
      </c>
    </row>
    <row r="633" spans="1:15" x14ac:dyDescent="0.2">
      <c r="A633" s="17" t="s">
        <v>2455</v>
      </c>
      <c r="B633" s="17" t="s">
        <v>2456</v>
      </c>
      <c r="C633" s="17">
        <v>25</v>
      </c>
      <c r="D633" s="1"/>
      <c r="E633" s="1">
        <v>2150</v>
      </c>
      <c r="F633" s="1">
        <v>2440</v>
      </c>
      <c r="G633" s="1">
        <v>83</v>
      </c>
      <c r="H633" s="1"/>
      <c r="I633" s="1"/>
      <c r="J633" s="1"/>
      <c r="K633" s="1"/>
      <c r="L633" s="17" t="s">
        <v>2457</v>
      </c>
      <c r="M633" s="17" t="s">
        <v>2458</v>
      </c>
      <c r="N633" s="17">
        <v>19</v>
      </c>
      <c r="O633" s="15" t="s">
        <v>22</v>
      </c>
    </row>
    <row r="634" spans="1:15" x14ac:dyDescent="0.2">
      <c r="A634" s="17" t="s">
        <v>2459</v>
      </c>
      <c r="B634" s="17" t="s">
        <v>2460</v>
      </c>
      <c r="C634" s="17">
        <v>36</v>
      </c>
      <c r="D634" s="1"/>
      <c r="E634" s="1">
        <v>2150</v>
      </c>
      <c r="F634" s="1">
        <v>2440</v>
      </c>
      <c r="G634" s="1">
        <v>117</v>
      </c>
      <c r="H634" s="1"/>
      <c r="I634" s="1"/>
      <c r="J634" s="1"/>
      <c r="K634" s="1"/>
      <c r="L634" s="17" t="s">
        <v>2461</v>
      </c>
      <c r="M634" s="17" t="s">
        <v>2462</v>
      </c>
      <c r="N634" s="17">
        <v>22</v>
      </c>
      <c r="O634" s="15" t="s">
        <v>22</v>
      </c>
    </row>
    <row r="635" spans="1:15" x14ac:dyDescent="0.2">
      <c r="A635" s="26" t="s">
        <v>2463</v>
      </c>
      <c r="B635" s="17" t="s">
        <v>2464</v>
      </c>
      <c r="C635" s="17">
        <v>9</v>
      </c>
      <c r="D635" s="1"/>
      <c r="E635" s="1">
        <v>2150</v>
      </c>
      <c r="F635" s="1">
        <v>2440</v>
      </c>
      <c r="G635" s="1">
        <v>33</v>
      </c>
      <c r="H635" s="1"/>
      <c r="I635" s="1"/>
      <c r="J635" s="1"/>
      <c r="K635" s="1"/>
      <c r="L635" s="17" t="s">
        <v>2465</v>
      </c>
      <c r="M635" s="17" t="s">
        <v>2466</v>
      </c>
      <c r="N635" s="17">
        <v>29</v>
      </c>
      <c r="O635" s="15" t="s">
        <v>22</v>
      </c>
    </row>
    <row r="636" spans="1:15" x14ac:dyDescent="0.2">
      <c r="A636" s="17" t="s">
        <v>2467</v>
      </c>
      <c r="B636" s="17" t="s">
        <v>2468</v>
      </c>
      <c r="C636" s="17">
        <v>15</v>
      </c>
      <c r="D636" s="1"/>
      <c r="E636" s="1">
        <v>2150</v>
      </c>
      <c r="F636" s="1">
        <v>2440</v>
      </c>
      <c r="G636" s="1">
        <v>53</v>
      </c>
      <c r="H636" s="1"/>
      <c r="I636" s="1"/>
      <c r="J636" s="1"/>
      <c r="K636" s="1"/>
      <c r="L636" s="17" t="s">
        <v>2469</v>
      </c>
      <c r="M636" s="17" t="s">
        <v>2470</v>
      </c>
      <c r="N636" s="17">
        <v>33</v>
      </c>
      <c r="O636" s="15" t="s">
        <v>22</v>
      </c>
    </row>
    <row r="637" spans="1:15" x14ac:dyDescent="0.2">
      <c r="A637" s="17" t="s">
        <v>2471</v>
      </c>
      <c r="B637" s="17" t="s">
        <v>2472</v>
      </c>
      <c r="C637" s="17">
        <v>15</v>
      </c>
      <c r="D637" s="1"/>
      <c r="E637" s="1">
        <v>2150</v>
      </c>
      <c r="F637" s="1">
        <v>2440</v>
      </c>
      <c r="G637" s="1">
        <v>53</v>
      </c>
      <c r="H637" s="1"/>
      <c r="I637" s="1"/>
      <c r="J637" s="1"/>
      <c r="K637" s="1"/>
      <c r="L637" s="17" t="s">
        <v>2473</v>
      </c>
      <c r="M637" s="17" t="s">
        <v>2474</v>
      </c>
      <c r="N637" s="17">
        <v>19</v>
      </c>
      <c r="O637" s="15" t="s">
        <v>22</v>
      </c>
    </row>
    <row r="638" spans="1:15" x14ac:dyDescent="0.2">
      <c r="A638" s="17" t="s">
        <v>2475</v>
      </c>
      <c r="B638" s="17" t="s">
        <v>2476</v>
      </c>
      <c r="C638" s="17">
        <v>6</v>
      </c>
      <c r="D638" s="1"/>
      <c r="E638" s="1">
        <v>2150</v>
      </c>
      <c r="F638" s="1">
        <v>2440</v>
      </c>
      <c r="G638" s="1">
        <v>23</v>
      </c>
      <c r="H638" s="1"/>
      <c r="I638" s="1"/>
      <c r="J638" s="1"/>
      <c r="K638" s="1"/>
      <c r="L638" s="17" t="s">
        <v>2477</v>
      </c>
      <c r="M638" s="17" t="s">
        <v>2478</v>
      </c>
      <c r="N638" s="17">
        <v>22</v>
      </c>
      <c r="O638" s="15" t="s">
        <v>22</v>
      </c>
    </row>
    <row r="639" spans="1:15" x14ac:dyDescent="0.2">
      <c r="A639" s="17" t="s">
        <v>2479</v>
      </c>
      <c r="B639" s="17" t="s">
        <v>2480</v>
      </c>
      <c r="C639" s="17">
        <v>15</v>
      </c>
      <c r="D639" s="1"/>
      <c r="E639" s="1">
        <v>2150</v>
      </c>
      <c r="F639" s="1">
        <v>2440</v>
      </c>
      <c r="G639" s="1">
        <v>53</v>
      </c>
      <c r="H639" s="1"/>
      <c r="I639" s="1"/>
      <c r="J639" s="1"/>
      <c r="K639" s="1"/>
      <c r="L639" s="17" t="s">
        <v>2477</v>
      </c>
      <c r="M639" s="17" t="s">
        <v>2481</v>
      </c>
      <c r="N639" s="17">
        <v>22</v>
      </c>
      <c r="O639" s="15" t="s">
        <v>22</v>
      </c>
    </row>
    <row r="640" spans="1:15" x14ac:dyDescent="0.2">
      <c r="A640" s="17" t="s">
        <v>2482</v>
      </c>
      <c r="B640" s="17" t="s">
        <v>2483</v>
      </c>
      <c r="C640" s="17">
        <v>6</v>
      </c>
      <c r="D640" s="1"/>
      <c r="E640" s="1">
        <v>2150</v>
      </c>
      <c r="F640" s="1">
        <v>2440</v>
      </c>
      <c r="G640" s="1">
        <v>23</v>
      </c>
      <c r="H640" s="1"/>
      <c r="I640" s="1"/>
      <c r="J640" s="1"/>
      <c r="K640" s="1"/>
      <c r="L640" s="17" t="s">
        <v>2484</v>
      </c>
      <c r="M640" s="17" t="s">
        <v>2485</v>
      </c>
      <c r="N640" s="17">
        <v>29</v>
      </c>
      <c r="O640" s="15" t="s">
        <v>22</v>
      </c>
    </row>
    <row r="641" spans="1:15" x14ac:dyDescent="0.2">
      <c r="A641" s="17" t="s">
        <v>2486</v>
      </c>
      <c r="B641" s="17" t="s">
        <v>2487</v>
      </c>
      <c r="C641" s="17">
        <v>15</v>
      </c>
      <c r="D641" s="1"/>
      <c r="E641" s="1">
        <v>2150</v>
      </c>
      <c r="F641" s="1">
        <v>2440</v>
      </c>
      <c r="G641" s="1">
        <v>53</v>
      </c>
      <c r="H641" s="1"/>
      <c r="I641" s="1"/>
      <c r="J641" s="1"/>
      <c r="K641" s="1"/>
      <c r="L641" s="17" t="s">
        <v>2488</v>
      </c>
      <c r="M641" s="17" t="s">
        <v>2489</v>
      </c>
      <c r="N641" s="17">
        <v>33</v>
      </c>
      <c r="O641" s="15" t="s">
        <v>22</v>
      </c>
    </row>
    <row r="642" spans="1:15" x14ac:dyDescent="0.2">
      <c r="A642" s="17" t="s">
        <v>2490</v>
      </c>
      <c r="B642" s="17" t="s">
        <v>2491</v>
      </c>
      <c r="C642" s="17">
        <v>18</v>
      </c>
      <c r="D642" s="1"/>
      <c r="E642" s="1">
        <v>2150</v>
      </c>
      <c r="F642" s="1">
        <v>2440</v>
      </c>
      <c r="G642" s="1">
        <v>61</v>
      </c>
      <c r="H642" s="1"/>
      <c r="I642" s="1"/>
      <c r="J642" s="1"/>
      <c r="K642" s="1"/>
      <c r="L642" s="17" t="s">
        <v>2492</v>
      </c>
      <c r="M642" s="17" t="s">
        <v>2493</v>
      </c>
      <c r="N642" s="17">
        <v>44</v>
      </c>
      <c r="O642" s="15" t="s">
        <v>22</v>
      </c>
    </row>
    <row r="643" spans="1:15" x14ac:dyDescent="0.2">
      <c r="A643" s="17" t="s">
        <v>2494</v>
      </c>
      <c r="B643" s="17" t="s">
        <v>2495</v>
      </c>
      <c r="C643" s="17">
        <v>25</v>
      </c>
      <c r="D643" s="1"/>
      <c r="E643" s="1">
        <v>2150</v>
      </c>
      <c r="F643" s="1">
        <v>2440</v>
      </c>
      <c r="G643" s="1">
        <v>83</v>
      </c>
      <c r="H643" s="1"/>
      <c r="I643" s="1"/>
      <c r="J643" s="1"/>
      <c r="K643" s="1"/>
      <c r="L643" s="17" t="s">
        <v>2496</v>
      </c>
      <c r="M643" s="17" t="s">
        <v>2497</v>
      </c>
      <c r="N643" s="17">
        <v>19</v>
      </c>
      <c r="O643" s="15" t="s">
        <v>22</v>
      </c>
    </row>
    <row r="644" spans="1:15" x14ac:dyDescent="0.2">
      <c r="A644" s="17" t="s">
        <v>2498</v>
      </c>
      <c r="B644" s="17" t="s">
        <v>2499</v>
      </c>
      <c r="C644" s="17">
        <v>36</v>
      </c>
      <c r="D644" s="1"/>
      <c r="E644" s="1">
        <v>2150</v>
      </c>
      <c r="F644" s="1">
        <v>2440</v>
      </c>
      <c r="G644" s="1">
        <v>117</v>
      </c>
      <c r="H644" s="1"/>
      <c r="I644" s="1"/>
      <c r="J644" s="1"/>
      <c r="K644" s="1"/>
      <c r="L644" s="17" t="s">
        <v>2500</v>
      </c>
      <c r="M644" s="17" t="s">
        <v>2501</v>
      </c>
      <c r="N644" s="17">
        <v>22</v>
      </c>
      <c r="O644" s="15" t="s">
        <v>22</v>
      </c>
    </row>
    <row r="645" spans="1:15" x14ac:dyDescent="0.2">
      <c r="A645" s="17" t="s">
        <v>2502</v>
      </c>
      <c r="B645" s="17" t="s">
        <v>2503</v>
      </c>
      <c r="C645" s="17">
        <v>9</v>
      </c>
      <c r="D645" s="1"/>
      <c r="E645" s="1">
        <v>2150</v>
      </c>
      <c r="F645" s="1">
        <v>2440</v>
      </c>
      <c r="G645" s="1">
        <v>33</v>
      </c>
      <c r="H645" s="1"/>
      <c r="I645" s="1"/>
      <c r="J645" s="1"/>
      <c r="K645" s="1"/>
      <c r="L645" s="17" t="s">
        <v>2500</v>
      </c>
      <c r="M645" s="17" t="s">
        <v>2504</v>
      </c>
      <c r="N645" s="17">
        <v>22</v>
      </c>
      <c r="O645" s="15" t="s">
        <v>22</v>
      </c>
    </row>
    <row r="646" spans="1:15" x14ac:dyDescent="0.2">
      <c r="A646" s="17" t="s">
        <v>2505</v>
      </c>
      <c r="B646" s="17" t="s">
        <v>2506</v>
      </c>
      <c r="C646" s="17">
        <v>12</v>
      </c>
      <c r="D646" s="1"/>
      <c r="E646" s="1">
        <v>2150</v>
      </c>
      <c r="F646" s="1">
        <v>2440</v>
      </c>
      <c r="G646" s="1">
        <v>41</v>
      </c>
      <c r="H646" s="1"/>
      <c r="I646" s="1"/>
      <c r="J646" s="1"/>
      <c r="K646" s="1"/>
      <c r="L646" s="17" t="s">
        <v>2507</v>
      </c>
      <c r="M646" s="17" t="s">
        <v>2508</v>
      </c>
      <c r="N646" s="17">
        <v>33</v>
      </c>
      <c r="O646" s="15" t="s">
        <v>22</v>
      </c>
    </row>
    <row r="647" spans="1:15" x14ac:dyDescent="0.2">
      <c r="A647" s="17" t="s">
        <v>2509</v>
      </c>
      <c r="B647" s="17" t="s">
        <v>2510</v>
      </c>
      <c r="C647" s="17">
        <v>15</v>
      </c>
      <c r="D647" s="1"/>
      <c r="E647" s="1">
        <v>2150</v>
      </c>
      <c r="F647" s="1">
        <v>2440</v>
      </c>
      <c r="G647" s="1">
        <v>53</v>
      </c>
      <c r="H647" s="1"/>
      <c r="I647" s="1"/>
      <c r="J647" s="1"/>
      <c r="K647" s="1"/>
      <c r="L647" s="17" t="s">
        <v>2511</v>
      </c>
      <c r="M647" s="17" t="s">
        <v>2512</v>
      </c>
      <c r="N647" s="17">
        <v>44</v>
      </c>
      <c r="O647" s="15" t="s">
        <v>22</v>
      </c>
    </row>
    <row r="648" spans="1:15" x14ac:dyDescent="0.2">
      <c r="A648" s="17" t="s">
        <v>2513</v>
      </c>
      <c r="B648" s="17" t="s">
        <v>2514</v>
      </c>
      <c r="C648" s="17">
        <v>18</v>
      </c>
      <c r="D648" s="1"/>
      <c r="E648" s="1">
        <v>2150</v>
      </c>
      <c r="F648" s="1">
        <v>2440</v>
      </c>
      <c r="G648" s="1">
        <v>61</v>
      </c>
      <c r="H648" s="1"/>
      <c r="I648" s="1"/>
      <c r="J648" s="1"/>
      <c r="K648" s="1"/>
      <c r="L648" s="17" t="s">
        <v>2515</v>
      </c>
      <c r="M648" s="17" t="s">
        <v>2516</v>
      </c>
      <c r="N648" s="17">
        <v>19</v>
      </c>
      <c r="O648" s="15" t="s">
        <v>22</v>
      </c>
    </row>
    <row r="649" spans="1:15" x14ac:dyDescent="0.2">
      <c r="A649" s="17" t="s">
        <v>2517</v>
      </c>
      <c r="B649" s="17" t="s">
        <v>2518</v>
      </c>
      <c r="C649" s="17">
        <v>15</v>
      </c>
      <c r="D649" s="1"/>
      <c r="E649" s="1">
        <v>2150</v>
      </c>
      <c r="F649" s="1">
        <v>2440</v>
      </c>
      <c r="G649" s="1">
        <v>53</v>
      </c>
      <c r="H649" s="1"/>
      <c r="I649" s="1"/>
      <c r="J649" s="1"/>
      <c r="K649" s="1"/>
      <c r="L649" s="17" t="s">
        <v>2519</v>
      </c>
      <c r="M649" s="17" t="s">
        <v>2520</v>
      </c>
      <c r="N649" s="17">
        <v>22</v>
      </c>
      <c r="O649" s="15" t="s">
        <v>22</v>
      </c>
    </row>
    <row r="650" spans="1:15" x14ac:dyDescent="0.2">
      <c r="A650" s="17" t="s">
        <v>2521</v>
      </c>
      <c r="B650" s="17" t="s">
        <v>2522</v>
      </c>
      <c r="C650" s="17">
        <v>6</v>
      </c>
      <c r="D650" s="1"/>
      <c r="E650" s="1">
        <v>2150</v>
      </c>
      <c r="F650" s="1">
        <v>2440</v>
      </c>
      <c r="G650" s="1">
        <v>23</v>
      </c>
      <c r="H650" s="1"/>
      <c r="I650" s="1"/>
      <c r="J650" s="1"/>
      <c r="K650" s="1"/>
      <c r="L650" s="17" t="s">
        <v>2523</v>
      </c>
      <c r="M650" s="17" t="s">
        <v>2524</v>
      </c>
      <c r="N650" s="17">
        <v>29</v>
      </c>
      <c r="O650" s="15" t="s">
        <v>22</v>
      </c>
    </row>
    <row r="651" spans="1:15" x14ac:dyDescent="0.2">
      <c r="A651" s="17" t="s">
        <v>2525</v>
      </c>
      <c r="B651" s="17" t="s">
        <v>2526</v>
      </c>
      <c r="C651" s="17">
        <v>15</v>
      </c>
      <c r="D651" s="1"/>
      <c r="E651" s="1">
        <v>2150</v>
      </c>
      <c r="F651" s="1">
        <v>2440</v>
      </c>
      <c r="G651" s="1">
        <v>53</v>
      </c>
      <c r="H651" s="1"/>
      <c r="I651" s="1"/>
      <c r="J651" s="1"/>
      <c r="K651" s="1"/>
      <c r="L651" s="17" t="s">
        <v>2527</v>
      </c>
      <c r="M651" s="17" t="s">
        <v>2528</v>
      </c>
      <c r="N651" s="17">
        <v>22</v>
      </c>
      <c r="O651" s="15" t="s">
        <v>22</v>
      </c>
    </row>
    <row r="652" spans="1:15" x14ac:dyDescent="0.2">
      <c r="A652" s="17" t="s">
        <v>2529</v>
      </c>
      <c r="B652" s="17" t="s">
        <v>2530</v>
      </c>
      <c r="C652" s="17">
        <v>18</v>
      </c>
      <c r="D652" s="1"/>
      <c r="E652" s="1">
        <v>2150</v>
      </c>
      <c r="F652" s="1">
        <v>2440</v>
      </c>
      <c r="G652" s="1">
        <v>61</v>
      </c>
      <c r="H652" s="1"/>
      <c r="I652" s="1"/>
      <c r="J652" s="1"/>
      <c r="K652" s="1"/>
      <c r="L652" s="17" t="s">
        <v>2531</v>
      </c>
      <c r="M652" s="17" t="s">
        <v>2532</v>
      </c>
      <c r="N652" s="17">
        <v>33</v>
      </c>
      <c r="O652" s="15" t="s">
        <v>22</v>
      </c>
    </row>
    <row r="653" spans="1:15" x14ac:dyDescent="0.2">
      <c r="A653" s="17" t="s">
        <v>2533</v>
      </c>
      <c r="B653" s="17" t="s">
        <v>2534</v>
      </c>
      <c r="C653" s="17">
        <v>36</v>
      </c>
      <c r="D653" s="1"/>
      <c r="E653" s="1">
        <v>2150</v>
      </c>
      <c r="F653" s="1">
        <v>2440</v>
      </c>
      <c r="G653" s="1">
        <v>117</v>
      </c>
      <c r="H653" s="1"/>
      <c r="I653" s="1"/>
      <c r="J653" s="1"/>
      <c r="K653" s="1"/>
      <c r="L653" s="17" t="s">
        <v>2535</v>
      </c>
      <c r="M653" s="17" t="s">
        <v>2536</v>
      </c>
      <c r="N653" s="17">
        <v>19</v>
      </c>
      <c r="O653" s="15" t="s">
        <v>22</v>
      </c>
    </row>
    <row r="654" spans="1:15" x14ac:dyDescent="0.2">
      <c r="A654" s="17" t="s">
        <v>2537</v>
      </c>
      <c r="B654" s="17" t="s">
        <v>2538</v>
      </c>
      <c r="C654" s="17">
        <v>9</v>
      </c>
      <c r="D654" s="1"/>
      <c r="E654" s="1">
        <v>2150</v>
      </c>
      <c r="F654" s="1">
        <v>2440</v>
      </c>
      <c r="G654" s="1">
        <v>33</v>
      </c>
      <c r="H654" s="1"/>
      <c r="I654" s="1"/>
      <c r="J654" s="1"/>
      <c r="K654" s="1"/>
      <c r="L654" s="17" t="s">
        <v>2539</v>
      </c>
      <c r="M654" s="17" t="s">
        <v>2540</v>
      </c>
      <c r="N654" s="17">
        <v>22</v>
      </c>
      <c r="O654" s="15" t="s">
        <v>22</v>
      </c>
    </row>
    <row r="655" spans="1:15" x14ac:dyDescent="0.2">
      <c r="A655" s="17" t="s">
        <v>2541</v>
      </c>
      <c r="B655" s="17" t="s">
        <v>2542</v>
      </c>
      <c r="C655" s="17">
        <v>15</v>
      </c>
      <c r="D655" s="1"/>
      <c r="E655" s="1">
        <v>2150</v>
      </c>
      <c r="F655" s="1">
        <v>2440</v>
      </c>
      <c r="G655" s="1">
        <v>53</v>
      </c>
      <c r="H655" s="1"/>
      <c r="I655" s="1"/>
      <c r="J655" s="1"/>
      <c r="K655" s="1"/>
      <c r="L655" s="17" t="s">
        <v>2543</v>
      </c>
      <c r="M655" s="17" t="s">
        <v>2544</v>
      </c>
      <c r="N655" s="17">
        <v>33</v>
      </c>
      <c r="O655" s="15" t="s">
        <v>22</v>
      </c>
    </row>
    <row r="656" spans="1:15" x14ac:dyDescent="0.2">
      <c r="A656" s="17" t="s">
        <v>2545</v>
      </c>
      <c r="B656" s="17" t="s">
        <v>2546</v>
      </c>
      <c r="C656" s="17">
        <v>6</v>
      </c>
      <c r="D656" s="1"/>
      <c r="E656" s="1">
        <v>2150</v>
      </c>
      <c r="F656" s="1">
        <v>2440</v>
      </c>
      <c r="G656" s="1">
        <v>23</v>
      </c>
      <c r="H656" s="1"/>
      <c r="I656" s="1"/>
      <c r="J656" s="1"/>
      <c r="K656" s="1"/>
      <c r="L656" s="17" t="s">
        <v>2547</v>
      </c>
      <c r="M656" s="17" t="s">
        <v>2548</v>
      </c>
      <c r="N656" s="17">
        <v>19</v>
      </c>
      <c r="O656" s="15" t="s">
        <v>22</v>
      </c>
    </row>
    <row r="657" spans="1:15" x14ac:dyDescent="0.2">
      <c r="A657" s="17" t="s">
        <v>2549</v>
      </c>
      <c r="B657" s="17" t="s">
        <v>2550</v>
      </c>
      <c r="C657" s="17">
        <v>15</v>
      </c>
      <c r="D657" s="1"/>
      <c r="E657" s="1">
        <v>2150</v>
      </c>
      <c r="F657" s="1">
        <v>2440</v>
      </c>
      <c r="G657" s="1">
        <v>53</v>
      </c>
      <c r="H657" s="1"/>
      <c r="I657" s="1"/>
      <c r="J657" s="1"/>
      <c r="K657" s="1"/>
      <c r="L657" s="17" t="s">
        <v>2551</v>
      </c>
      <c r="M657" s="17" t="s">
        <v>2552</v>
      </c>
      <c r="N657" s="17">
        <v>22</v>
      </c>
      <c r="O657" s="15" t="s">
        <v>22</v>
      </c>
    </row>
    <row r="658" spans="1:15" x14ac:dyDescent="0.2">
      <c r="A658" s="17" t="s">
        <v>2553</v>
      </c>
      <c r="B658" s="17" t="s">
        <v>2554</v>
      </c>
      <c r="C658" s="17">
        <v>18</v>
      </c>
      <c r="D658" s="1"/>
      <c r="E658" s="1">
        <v>2150</v>
      </c>
      <c r="F658" s="1">
        <v>2440</v>
      </c>
      <c r="G658" s="1">
        <v>61</v>
      </c>
      <c r="H658" s="1"/>
      <c r="I658" s="1"/>
      <c r="J658" s="1"/>
      <c r="K658" s="1"/>
      <c r="L658" s="17" t="s">
        <v>2551</v>
      </c>
      <c r="M658" s="17" t="s">
        <v>2555</v>
      </c>
      <c r="N658" s="17">
        <v>22</v>
      </c>
      <c r="O658" s="15" t="s">
        <v>22</v>
      </c>
    </row>
    <row r="659" spans="1:15" x14ac:dyDescent="0.2">
      <c r="A659" s="17" t="s">
        <v>2556</v>
      </c>
      <c r="B659" s="17" t="s">
        <v>2557</v>
      </c>
      <c r="C659" s="17">
        <v>36</v>
      </c>
      <c r="D659" s="1"/>
      <c r="E659" s="1">
        <v>2150</v>
      </c>
      <c r="F659" s="1">
        <v>2440</v>
      </c>
      <c r="G659" s="1">
        <v>117</v>
      </c>
      <c r="H659" s="1"/>
      <c r="I659" s="1"/>
      <c r="J659" s="1"/>
      <c r="K659" s="1"/>
      <c r="L659" s="17" t="s">
        <v>2558</v>
      </c>
      <c r="M659" s="17" t="s">
        <v>2559</v>
      </c>
      <c r="N659" s="17">
        <v>33</v>
      </c>
      <c r="O659" s="15" t="s">
        <v>22</v>
      </c>
    </row>
    <row r="660" spans="1:15" x14ac:dyDescent="0.2">
      <c r="A660" s="17" t="s">
        <v>2560</v>
      </c>
      <c r="B660" s="17" t="s">
        <v>2561</v>
      </c>
      <c r="C660" s="17">
        <v>9</v>
      </c>
      <c r="D660" s="1"/>
      <c r="E660" s="1">
        <v>2150</v>
      </c>
      <c r="F660" s="1">
        <v>2440</v>
      </c>
      <c r="G660" s="1">
        <v>33</v>
      </c>
      <c r="H660" s="1"/>
      <c r="I660" s="1"/>
      <c r="J660" s="1"/>
      <c r="K660" s="1"/>
      <c r="L660" s="17" t="s">
        <v>2562</v>
      </c>
      <c r="M660" s="17" t="s">
        <v>2563</v>
      </c>
      <c r="N660" s="17">
        <v>22</v>
      </c>
      <c r="O660" s="15" t="s">
        <v>22</v>
      </c>
    </row>
    <row r="661" spans="1:15" x14ac:dyDescent="0.2">
      <c r="A661" s="17" t="s">
        <v>2564</v>
      </c>
      <c r="B661" s="17" t="s">
        <v>2565</v>
      </c>
      <c r="C661" s="17">
        <v>15</v>
      </c>
      <c r="D661" s="1"/>
      <c r="E661" s="1">
        <v>2150</v>
      </c>
      <c r="F661" s="1">
        <v>2440</v>
      </c>
      <c r="G661" s="1">
        <v>53</v>
      </c>
      <c r="H661" s="1"/>
      <c r="I661" s="1"/>
      <c r="J661" s="1"/>
      <c r="K661" s="1"/>
      <c r="L661" s="17" t="s">
        <v>2566</v>
      </c>
      <c r="M661" s="17" t="s">
        <v>2567</v>
      </c>
      <c r="N661" s="17">
        <v>19</v>
      </c>
      <c r="O661" s="15" t="s">
        <v>22</v>
      </c>
    </row>
    <row r="662" spans="1:15" x14ac:dyDescent="0.2">
      <c r="A662" s="17" t="s">
        <v>2568</v>
      </c>
      <c r="B662" s="17" t="s">
        <v>2569</v>
      </c>
      <c r="C662" s="17">
        <v>6</v>
      </c>
      <c r="D662" s="1"/>
      <c r="E662" s="1">
        <v>2150</v>
      </c>
      <c r="F662" s="1">
        <v>2440</v>
      </c>
      <c r="G662" s="1">
        <v>23</v>
      </c>
      <c r="H662" s="1"/>
      <c r="I662" s="1"/>
      <c r="J662" s="1"/>
      <c r="K662" s="1"/>
      <c r="L662" s="17" t="s">
        <v>2570</v>
      </c>
      <c r="M662" s="17" t="s">
        <v>2571</v>
      </c>
      <c r="N662" s="17">
        <v>22</v>
      </c>
      <c r="O662" s="15" t="s">
        <v>22</v>
      </c>
    </row>
    <row r="663" spans="1:15" x14ac:dyDescent="0.2">
      <c r="A663" s="17" t="s">
        <v>2572</v>
      </c>
      <c r="B663" s="17" t="s">
        <v>2573</v>
      </c>
      <c r="C663" s="17">
        <v>15</v>
      </c>
      <c r="D663" s="1"/>
      <c r="E663" s="1">
        <v>2150</v>
      </c>
      <c r="F663" s="1">
        <v>2440</v>
      </c>
      <c r="G663" s="1">
        <v>53</v>
      </c>
      <c r="H663" s="1"/>
      <c r="I663" s="1"/>
      <c r="J663" s="1"/>
      <c r="K663" s="1"/>
      <c r="L663" s="17" t="s">
        <v>2574</v>
      </c>
      <c r="M663" s="17" t="s">
        <v>2575</v>
      </c>
      <c r="N663" s="17">
        <v>44</v>
      </c>
      <c r="O663" s="15" t="s">
        <v>22</v>
      </c>
    </row>
    <row r="664" spans="1:15" x14ac:dyDescent="0.2">
      <c r="A664" s="17" t="s">
        <v>2576</v>
      </c>
      <c r="B664" s="17" t="s">
        <v>2577</v>
      </c>
      <c r="C664" s="17">
        <v>18</v>
      </c>
      <c r="D664" s="1"/>
      <c r="E664" s="1">
        <v>2150</v>
      </c>
      <c r="F664" s="1">
        <v>2440</v>
      </c>
      <c r="G664" s="1">
        <v>61</v>
      </c>
      <c r="H664" s="1"/>
      <c r="I664" s="1"/>
      <c r="J664" s="1"/>
      <c r="K664" s="1"/>
      <c r="L664" s="17" t="s">
        <v>2578</v>
      </c>
      <c r="M664" s="17" t="s">
        <v>2579</v>
      </c>
      <c r="N664" s="17">
        <v>22</v>
      </c>
      <c r="O664" s="15" t="s">
        <v>22</v>
      </c>
    </row>
    <row r="665" spans="1:15" x14ac:dyDescent="0.2">
      <c r="A665" s="17" t="s">
        <v>2580</v>
      </c>
      <c r="B665" s="17" t="s">
        <v>2581</v>
      </c>
      <c r="C665" s="17">
        <v>36</v>
      </c>
      <c r="D665" s="1"/>
      <c r="E665" s="1">
        <v>2150</v>
      </c>
      <c r="F665" s="1">
        <v>2440</v>
      </c>
      <c r="G665" s="1">
        <v>117</v>
      </c>
      <c r="H665" s="1"/>
      <c r="I665" s="1"/>
      <c r="J665" s="1"/>
      <c r="K665" s="1"/>
      <c r="L665" s="17" t="s">
        <v>2582</v>
      </c>
      <c r="M665" s="17" t="s">
        <v>2583</v>
      </c>
      <c r="N665" s="17">
        <v>33</v>
      </c>
      <c r="O665" s="15" t="s">
        <v>22</v>
      </c>
    </row>
    <row r="666" spans="1:15" x14ac:dyDescent="0.2">
      <c r="A666" s="17" t="s">
        <v>2584</v>
      </c>
      <c r="B666" s="17" t="s">
        <v>2585</v>
      </c>
      <c r="C666" s="17">
        <v>9</v>
      </c>
      <c r="D666" s="1"/>
      <c r="E666" s="1">
        <v>2150</v>
      </c>
      <c r="F666" s="1">
        <v>2440</v>
      </c>
      <c r="G666" s="1">
        <v>33</v>
      </c>
      <c r="H666" s="1"/>
      <c r="I666" s="1"/>
      <c r="J666" s="1"/>
      <c r="K666" s="1"/>
      <c r="L666" s="17" t="s">
        <v>2586</v>
      </c>
      <c r="M666" s="17" t="s">
        <v>2587</v>
      </c>
      <c r="N666" s="17">
        <v>19</v>
      </c>
      <c r="O666" s="15" t="s">
        <v>22</v>
      </c>
    </row>
    <row r="667" spans="1:15" x14ac:dyDescent="0.2">
      <c r="A667" s="17" t="s">
        <v>2588</v>
      </c>
      <c r="B667" s="17" t="s">
        <v>2589</v>
      </c>
      <c r="C667" s="17">
        <v>15</v>
      </c>
      <c r="D667" s="1"/>
      <c r="E667" s="1">
        <v>2150</v>
      </c>
      <c r="F667" s="1">
        <v>2440</v>
      </c>
      <c r="G667" s="1">
        <v>53</v>
      </c>
      <c r="H667" s="1"/>
      <c r="I667" s="1"/>
      <c r="J667" s="1"/>
      <c r="K667" s="1"/>
      <c r="L667" s="17" t="s">
        <v>2590</v>
      </c>
      <c r="M667" s="17" t="s">
        <v>2591</v>
      </c>
      <c r="N667" s="17">
        <v>22</v>
      </c>
      <c r="O667" s="15" t="s">
        <v>22</v>
      </c>
    </row>
    <row r="668" spans="1:15" x14ac:dyDescent="0.2">
      <c r="A668" s="17" t="s">
        <v>2592</v>
      </c>
      <c r="B668" s="17" t="s">
        <v>2593</v>
      </c>
      <c r="C668" s="17">
        <v>6</v>
      </c>
      <c r="D668" s="1"/>
      <c r="E668" s="1">
        <v>2150</v>
      </c>
      <c r="F668" s="1">
        <v>2440</v>
      </c>
      <c r="G668" s="1">
        <v>23</v>
      </c>
      <c r="H668" s="1"/>
      <c r="I668" s="1"/>
      <c r="J668" s="1"/>
      <c r="K668" s="1"/>
      <c r="L668" s="17" t="s">
        <v>2594</v>
      </c>
      <c r="M668" s="17" t="s">
        <v>2595</v>
      </c>
      <c r="N668" s="17">
        <v>44</v>
      </c>
      <c r="O668" s="15" t="s">
        <v>22</v>
      </c>
    </row>
    <row r="669" spans="1:15" x14ac:dyDescent="0.2">
      <c r="A669" s="17" t="s">
        <v>2596</v>
      </c>
      <c r="B669" s="17" t="s">
        <v>2597</v>
      </c>
      <c r="C669" s="17">
        <v>9</v>
      </c>
      <c r="D669" s="1"/>
      <c r="E669" s="1">
        <v>2150</v>
      </c>
      <c r="F669" s="1">
        <v>2440</v>
      </c>
      <c r="G669" s="1">
        <v>33</v>
      </c>
      <c r="H669" s="1"/>
      <c r="I669" s="1"/>
      <c r="J669" s="1"/>
      <c r="K669" s="1"/>
      <c r="L669" s="17" t="s">
        <v>2598</v>
      </c>
      <c r="M669" s="17" t="s">
        <v>2599</v>
      </c>
      <c r="N669" s="17">
        <v>19</v>
      </c>
      <c r="O669" s="15" t="s">
        <v>22</v>
      </c>
    </row>
    <row r="670" spans="1:15" x14ac:dyDescent="0.2">
      <c r="A670" s="17" t="s">
        <v>2600</v>
      </c>
      <c r="B670" s="17" t="s">
        <v>2601</v>
      </c>
      <c r="C670" s="17">
        <v>18</v>
      </c>
      <c r="D670" s="1"/>
      <c r="E670" s="1">
        <v>2150</v>
      </c>
      <c r="F670" s="1">
        <v>2440</v>
      </c>
      <c r="G670" s="1">
        <v>61</v>
      </c>
      <c r="H670" s="1"/>
      <c r="I670" s="1"/>
      <c r="J670" s="1"/>
      <c r="K670" s="1"/>
      <c r="L670" s="17" t="s">
        <v>2598</v>
      </c>
      <c r="M670" s="17" t="s">
        <v>2602</v>
      </c>
      <c r="N670" s="17">
        <v>19</v>
      </c>
      <c r="O670" s="15" t="s">
        <v>22</v>
      </c>
    </row>
    <row r="671" spans="1:15" x14ac:dyDescent="0.2">
      <c r="A671" s="17" t="s">
        <v>2603</v>
      </c>
      <c r="B671" s="17" t="s">
        <v>2604</v>
      </c>
      <c r="C671" s="17">
        <v>9</v>
      </c>
      <c r="D671" s="1"/>
      <c r="E671" s="1">
        <v>2150</v>
      </c>
      <c r="F671" s="1">
        <v>2440</v>
      </c>
      <c r="G671" s="1">
        <v>33</v>
      </c>
      <c r="H671" s="1"/>
      <c r="I671" s="1"/>
      <c r="J671" s="1"/>
      <c r="K671" s="1"/>
      <c r="L671" s="17" t="s">
        <v>2605</v>
      </c>
      <c r="M671" s="17" t="s">
        <v>2606</v>
      </c>
      <c r="N671" s="17">
        <v>22</v>
      </c>
      <c r="O671" s="15" t="s">
        <v>22</v>
      </c>
    </row>
    <row r="672" spans="1:15" x14ac:dyDescent="0.2">
      <c r="A672" s="17" t="s">
        <v>2607</v>
      </c>
      <c r="B672" s="17" t="s">
        <v>2608</v>
      </c>
      <c r="C672" s="17">
        <v>12</v>
      </c>
      <c r="D672" s="1"/>
      <c r="E672" s="1">
        <v>2150</v>
      </c>
      <c r="F672" s="1">
        <v>2440</v>
      </c>
      <c r="G672" s="1">
        <v>41</v>
      </c>
      <c r="H672" s="1"/>
      <c r="I672" s="1"/>
      <c r="J672" s="1"/>
      <c r="K672" s="1"/>
      <c r="L672" s="17" t="s">
        <v>2605</v>
      </c>
      <c r="M672" s="17" t="s">
        <v>2609</v>
      </c>
      <c r="N672" s="17">
        <v>22</v>
      </c>
      <c r="O672" s="15" t="s">
        <v>22</v>
      </c>
    </row>
    <row r="673" spans="1:15" x14ac:dyDescent="0.2">
      <c r="A673" s="17" t="s">
        <v>2610</v>
      </c>
      <c r="B673" s="17" t="s">
        <v>2611</v>
      </c>
      <c r="C673" s="17">
        <v>15</v>
      </c>
      <c r="D673" s="1"/>
      <c r="E673" s="1">
        <v>2150</v>
      </c>
      <c r="F673" s="1">
        <v>2440</v>
      </c>
      <c r="G673" s="1">
        <v>53</v>
      </c>
      <c r="H673" s="1"/>
      <c r="I673" s="1"/>
      <c r="J673" s="1"/>
      <c r="K673" s="1"/>
      <c r="L673" s="17" t="s">
        <v>2612</v>
      </c>
      <c r="M673" s="17" t="s">
        <v>2613</v>
      </c>
      <c r="N673" s="17">
        <v>29</v>
      </c>
      <c r="O673" s="15" t="s">
        <v>22</v>
      </c>
    </row>
    <row r="674" spans="1:15" x14ac:dyDescent="0.2">
      <c r="A674" s="17" t="s">
        <v>2614</v>
      </c>
      <c r="B674" s="17" t="s">
        <v>2615</v>
      </c>
      <c r="C674" s="17">
        <v>18</v>
      </c>
      <c r="D674" s="1"/>
      <c r="E674" s="1">
        <v>2150</v>
      </c>
      <c r="F674" s="1">
        <v>2440</v>
      </c>
      <c r="G674" s="1">
        <v>61</v>
      </c>
      <c r="H674" s="1"/>
      <c r="I674" s="1"/>
      <c r="J674" s="1"/>
      <c r="K674" s="1"/>
      <c r="L674" s="17" t="s">
        <v>2616</v>
      </c>
      <c r="M674" s="17" t="s">
        <v>2617</v>
      </c>
      <c r="N674" s="17">
        <v>33</v>
      </c>
      <c r="O674" s="2"/>
    </row>
    <row r="675" spans="1:15" x14ac:dyDescent="0.2">
      <c r="A675" s="17" t="s">
        <v>2618</v>
      </c>
      <c r="B675" s="17" t="s">
        <v>2619</v>
      </c>
      <c r="C675" s="17">
        <v>30</v>
      </c>
      <c r="D675" s="1"/>
      <c r="E675" s="1">
        <v>2150</v>
      </c>
      <c r="F675" s="1">
        <v>2440</v>
      </c>
      <c r="G675" s="1">
        <v>97</v>
      </c>
      <c r="H675" s="1"/>
      <c r="I675" s="1"/>
      <c r="J675" s="1"/>
      <c r="K675" s="1"/>
      <c r="L675" s="17" t="s">
        <v>2616</v>
      </c>
      <c r="M675" s="17" t="s">
        <v>2620</v>
      </c>
      <c r="N675" s="17">
        <v>33</v>
      </c>
      <c r="O675" s="15" t="s">
        <v>22</v>
      </c>
    </row>
    <row r="676" spans="1:15" x14ac:dyDescent="0.2">
      <c r="A676" s="17" t="s">
        <v>2621</v>
      </c>
      <c r="B676" s="17" t="s">
        <v>2622</v>
      </c>
      <c r="C676" s="17">
        <v>36</v>
      </c>
      <c r="D676" s="1"/>
      <c r="E676" s="1">
        <v>2150</v>
      </c>
      <c r="F676" s="1">
        <v>2440</v>
      </c>
      <c r="G676" s="1">
        <v>117</v>
      </c>
      <c r="H676" s="1"/>
      <c r="I676" s="1"/>
      <c r="J676" s="1"/>
      <c r="K676" s="1"/>
      <c r="L676" s="17" t="s">
        <v>2623</v>
      </c>
      <c r="M676" s="17" t="s">
        <v>2624</v>
      </c>
      <c r="N676" s="17">
        <v>40</v>
      </c>
      <c r="O676" s="15" t="s">
        <v>22</v>
      </c>
    </row>
    <row r="677" spans="1:15" x14ac:dyDescent="0.2">
      <c r="A677" s="17" t="s">
        <v>2625</v>
      </c>
      <c r="B677" s="17" t="s">
        <v>2626</v>
      </c>
      <c r="C677" s="17">
        <v>9</v>
      </c>
      <c r="D677" s="1"/>
      <c r="E677" s="1">
        <v>2150</v>
      </c>
      <c r="F677" s="1">
        <v>2440</v>
      </c>
      <c r="G677" s="1">
        <v>33</v>
      </c>
      <c r="H677" s="1"/>
      <c r="I677" s="1"/>
      <c r="J677" s="1"/>
      <c r="K677" s="1"/>
      <c r="L677" s="17" t="s">
        <v>2627</v>
      </c>
      <c r="M677" s="17" t="s">
        <v>2628</v>
      </c>
      <c r="N677" s="17">
        <v>44</v>
      </c>
      <c r="O677" s="15" t="s">
        <v>22</v>
      </c>
    </row>
    <row r="678" spans="1:15" x14ac:dyDescent="0.2">
      <c r="A678" s="17" t="s">
        <v>2629</v>
      </c>
      <c r="B678" s="17" t="s">
        <v>2630</v>
      </c>
      <c r="C678" s="17">
        <v>12</v>
      </c>
      <c r="D678" s="1"/>
      <c r="E678" s="1">
        <v>2150</v>
      </c>
      <c r="F678" s="1">
        <v>2440</v>
      </c>
      <c r="G678" s="1">
        <v>41</v>
      </c>
      <c r="H678" s="1"/>
      <c r="I678" s="1"/>
      <c r="J678" s="1"/>
      <c r="K678" s="1"/>
      <c r="L678" s="17" t="s">
        <v>2631</v>
      </c>
      <c r="M678" s="17" t="s">
        <v>2632</v>
      </c>
      <c r="N678" s="17">
        <v>33</v>
      </c>
      <c r="O678" s="15" t="s">
        <v>22</v>
      </c>
    </row>
    <row r="679" spans="1:15" x14ac:dyDescent="0.2">
      <c r="A679" s="17" t="s">
        <v>2633</v>
      </c>
      <c r="B679" s="17" t="s">
        <v>2634</v>
      </c>
      <c r="C679" s="17">
        <v>15</v>
      </c>
      <c r="D679" s="1"/>
      <c r="E679" s="1">
        <v>2150</v>
      </c>
      <c r="F679" s="1">
        <v>2440</v>
      </c>
      <c r="G679" s="1">
        <v>53</v>
      </c>
      <c r="H679" s="1"/>
      <c r="I679" s="1"/>
      <c r="J679" s="1"/>
      <c r="K679" s="1"/>
      <c r="L679" s="17" t="s">
        <v>2635</v>
      </c>
      <c r="M679" s="17" t="s">
        <v>2636</v>
      </c>
      <c r="N679" s="17">
        <v>44</v>
      </c>
      <c r="O679" s="15" t="s">
        <v>31</v>
      </c>
    </row>
    <row r="680" spans="1:15" x14ac:dyDescent="0.2">
      <c r="A680" s="17" t="s">
        <v>2637</v>
      </c>
      <c r="B680" s="17" t="s">
        <v>2638</v>
      </c>
      <c r="C680" s="17">
        <v>6</v>
      </c>
      <c r="D680" s="1"/>
      <c r="E680" s="1">
        <v>2150</v>
      </c>
      <c r="F680" s="1">
        <v>2440</v>
      </c>
      <c r="G680" s="1">
        <v>23</v>
      </c>
      <c r="H680" s="1"/>
      <c r="I680" s="1"/>
      <c r="J680" s="1"/>
      <c r="K680" s="1"/>
      <c r="L680" s="17" t="s">
        <v>2639</v>
      </c>
      <c r="M680" s="17" t="s">
        <v>2640</v>
      </c>
      <c r="N680" s="17">
        <v>19</v>
      </c>
      <c r="O680" s="15" t="s">
        <v>22</v>
      </c>
    </row>
    <row r="681" spans="1:15" x14ac:dyDescent="0.2">
      <c r="A681" s="17" t="s">
        <v>2641</v>
      </c>
      <c r="B681" s="17" t="s">
        <v>2642</v>
      </c>
      <c r="C681" s="17">
        <v>15</v>
      </c>
      <c r="D681" s="1"/>
      <c r="E681" s="1">
        <v>2150</v>
      </c>
      <c r="F681" s="1">
        <v>2440</v>
      </c>
      <c r="G681" s="1">
        <v>53</v>
      </c>
      <c r="H681" s="1"/>
      <c r="I681" s="1"/>
      <c r="J681" s="1"/>
      <c r="K681" s="1"/>
      <c r="L681" s="17" t="s">
        <v>2643</v>
      </c>
      <c r="M681" s="17" t="s">
        <v>2644</v>
      </c>
      <c r="N681" s="17">
        <v>19</v>
      </c>
      <c r="O681" s="15" t="s">
        <v>22</v>
      </c>
    </row>
    <row r="682" spans="1:15" x14ac:dyDescent="0.2">
      <c r="A682" s="17" t="s">
        <v>2645</v>
      </c>
      <c r="B682" s="17" t="s">
        <v>2646</v>
      </c>
      <c r="C682" s="17">
        <v>18</v>
      </c>
      <c r="D682" s="1"/>
      <c r="E682" s="1">
        <v>2150</v>
      </c>
      <c r="F682" s="1">
        <v>2440</v>
      </c>
      <c r="G682" s="1">
        <v>61</v>
      </c>
      <c r="H682" s="1"/>
      <c r="I682" s="1"/>
      <c r="J682" s="1"/>
      <c r="K682" s="1"/>
      <c r="L682" s="17" t="s">
        <v>2647</v>
      </c>
      <c r="M682" s="17" t="s">
        <v>2648</v>
      </c>
      <c r="N682" s="17">
        <v>19</v>
      </c>
      <c r="O682" s="15" t="s">
        <v>31</v>
      </c>
    </row>
    <row r="683" spans="1:15" x14ac:dyDescent="0.2">
      <c r="A683" s="17" t="s">
        <v>2649</v>
      </c>
      <c r="B683" s="17" t="s">
        <v>2650</v>
      </c>
      <c r="C683" s="17">
        <v>36</v>
      </c>
      <c r="D683" s="1"/>
      <c r="E683" s="1">
        <v>2150</v>
      </c>
      <c r="F683" s="1">
        <v>2440</v>
      </c>
      <c r="G683" s="1">
        <v>117</v>
      </c>
      <c r="H683" s="1"/>
      <c r="I683" s="1"/>
      <c r="J683" s="1"/>
      <c r="K683" s="1"/>
      <c r="L683" s="17" t="s">
        <v>2651</v>
      </c>
      <c r="M683" s="17" t="s">
        <v>2652</v>
      </c>
      <c r="N683" s="17">
        <v>19</v>
      </c>
      <c r="O683" s="15" t="s">
        <v>22</v>
      </c>
    </row>
    <row r="684" spans="1:15" x14ac:dyDescent="0.2">
      <c r="A684" s="17" t="s">
        <v>2653</v>
      </c>
      <c r="B684" s="17" t="s">
        <v>2654</v>
      </c>
      <c r="C684" s="17">
        <v>9</v>
      </c>
      <c r="D684" s="1"/>
      <c r="E684" s="1">
        <v>2150</v>
      </c>
      <c r="F684" s="1">
        <v>2440</v>
      </c>
      <c r="G684" s="1">
        <v>33</v>
      </c>
      <c r="H684" s="1"/>
      <c r="I684" s="1"/>
      <c r="J684" s="1"/>
      <c r="K684" s="1"/>
      <c r="L684" s="17" t="s">
        <v>2655</v>
      </c>
      <c r="M684" s="17" t="s">
        <v>2656</v>
      </c>
      <c r="N684" s="17">
        <v>44</v>
      </c>
      <c r="O684" s="15" t="s">
        <v>22</v>
      </c>
    </row>
    <row r="685" spans="1:15" x14ac:dyDescent="0.2">
      <c r="A685" s="17" t="s">
        <v>2657</v>
      </c>
      <c r="B685" s="17" t="s">
        <v>2658</v>
      </c>
      <c r="C685" s="17">
        <v>15</v>
      </c>
      <c r="D685" s="1"/>
      <c r="E685" s="1">
        <v>2150</v>
      </c>
      <c r="F685" s="1">
        <v>2440</v>
      </c>
      <c r="G685" s="1">
        <v>53</v>
      </c>
      <c r="H685" s="1"/>
      <c r="I685" s="1"/>
      <c r="J685" s="1"/>
      <c r="K685" s="1"/>
      <c r="L685" s="17" t="s">
        <v>2659</v>
      </c>
      <c r="M685" s="17" t="s">
        <v>2660</v>
      </c>
      <c r="N685" s="17">
        <v>33</v>
      </c>
      <c r="O685" s="15" t="s">
        <v>31</v>
      </c>
    </row>
    <row r="686" spans="1:15" x14ac:dyDescent="0.2">
      <c r="A686" s="17" t="s">
        <v>2661</v>
      </c>
      <c r="B686" s="17" t="s">
        <v>2662</v>
      </c>
      <c r="C686" s="17">
        <v>6</v>
      </c>
      <c r="D686" s="1"/>
      <c r="E686" s="1">
        <v>2150</v>
      </c>
      <c r="F686" s="1">
        <v>2440</v>
      </c>
      <c r="G686" s="1">
        <v>23</v>
      </c>
      <c r="H686" s="1"/>
      <c r="I686" s="1"/>
      <c r="J686" s="1"/>
      <c r="K686" s="1"/>
      <c r="L686" s="17" t="s">
        <v>2663</v>
      </c>
      <c r="M686" s="17" t="s">
        <v>2664</v>
      </c>
      <c r="N686" s="17">
        <v>44</v>
      </c>
      <c r="O686" s="15" t="s">
        <v>22</v>
      </c>
    </row>
    <row r="687" spans="1:15" x14ac:dyDescent="0.2">
      <c r="A687" s="17" t="s">
        <v>2665</v>
      </c>
      <c r="B687" s="17" t="s">
        <v>2666</v>
      </c>
      <c r="C687" s="17">
        <v>15</v>
      </c>
      <c r="D687" s="1"/>
      <c r="E687" s="1">
        <v>2150</v>
      </c>
      <c r="F687" s="1">
        <v>2440</v>
      </c>
      <c r="G687" s="1">
        <v>53</v>
      </c>
      <c r="H687" s="1"/>
      <c r="I687" s="1"/>
      <c r="J687" s="1"/>
      <c r="K687" s="1"/>
      <c r="L687" s="17" t="s">
        <v>2667</v>
      </c>
      <c r="M687" s="17" t="s">
        <v>2668</v>
      </c>
      <c r="N687" s="17">
        <v>44</v>
      </c>
      <c r="O687" s="15" t="s">
        <v>22</v>
      </c>
    </row>
    <row r="688" spans="1:15" x14ac:dyDescent="0.2">
      <c r="A688" s="17" t="s">
        <v>2669</v>
      </c>
      <c r="B688" s="17" t="s">
        <v>2670</v>
      </c>
      <c r="C688" s="17">
        <v>18</v>
      </c>
      <c r="D688" s="1"/>
      <c r="E688" s="1">
        <v>2150</v>
      </c>
      <c r="F688" s="1">
        <v>2440</v>
      </c>
      <c r="G688" s="1">
        <v>61</v>
      </c>
      <c r="H688" s="1"/>
      <c r="I688" s="1"/>
      <c r="J688" s="1"/>
      <c r="K688" s="1"/>
      <c r="L688" s="17" t="s">
        <v>2671</v>
      </c>
      <c r="M688" s="17" t="s">
        <v>2672</v>
      </c>
      <c r="N688" s="17">
        <v>19</v>
      </c>
      <c r="O688" s="15" t="s">
        <v>22</v>
      </c>
    </row>
    <row r="689" spans="1:15" x14ac:dyDescent="0.2">
      <c r="A689" s="17" t="s">
        <v>2673</v>
      </c>
      <c r="B689" s="17" t="s">
        <v>2674</v>
      </c>
      <c r="C689" s="17">
        <v>36</v>
      </c>
      <c r="D689" s="1"/>
      <c r="E689" s="1">
        <v>2150</v>
      </c>
      <c r="F689" s="1">
        <v>2440</v>
      </c>
      <c r="G689" s="1">
        <v>117</v>
      </c>
      <c r="H689" s="1"/>
      <c r="I689" s="1"/>
      <c r="J689" s="1"/>
      <c r="K689" s="1"/>
      <c r="L689" s="17" t="s">
        <v>2675</v>
      </c>
      <c r="M689" s="17" t="s">
        <v>2676</v>
      </c>
      <c r="N689" s="17">
        <v>33</v>
      </c>
      <c r="O689" s="15" t="s">
        <v>22</v>
      </c>
    </row>
    <row r="690" spans="1:15" x14ac:dyDescent="0.2">
      <c r="A690" s="17" t="s">
        <v>2677</v>
      </c>
      <c r="B690" s="17" t="s">
        <v>2678</v>
      </c>
      <c r="C690" s="17">
        <v>9</v>
      </c>
      <c r="D690" s="1"/>
      <c r="E690" s="1">
        <v>2150</v>
      </c>
      <c r="F690" s="1">
        <v>2440</v>
      </c>
      <c r="G690" s="1">
        <v>33</v>
      </c>
      <c r="H690" s="1"/>
      <c r="I690" s="1"/>
      <c r="J690" s="1"/>
      <c r="K690" s="1"/>
      <c r="L690" s="17" t="s">
        <v>2679</v>
      </c>
      <c r="M690" s="17" t="s">
        <v>2680</v>
      </c>
      <c r="N690" s="17">
        <v>33</v>
      </c>
      <c r="O690" s="15" t="s">
        <v>22</v>
      </c>
    </row>
    <row r="691" spans="1:15" x14ac:dyDescent="0.2">
      <c r="A691" s="17" t="s">
        <v>2681</v>
      </c>
      <c r="B691" s="17" t="s">
        <v>2682</v>
      </c>
      <c r="C691" s="17">
        <v>6</v>
      </c>
      <c r="D691" s="1"/>
      <c r="E691" s="1">
        <v>2150</v>
      </c>
      <c r="F691" s="1">
        <v>2440</v>
      </c>
      <c r="G691" s="1">
        <v>23</v>
      </c>
      <c r="H691" s="1"/>
      <c r="I691" s="1"/>
      <c r="J691" s="1"/>
      <c r="K691" s="1"/>
      <c r="L691" s="17" t="s">
        <v>2683</v>
      </c>
      <c r="M691" s="17" t="s">
        <v>2684</v>
      </c>
      <c r="N691" s="17">
        <v>19</v>
      </c>
      <c r="O691" s="15" t="s">
        <v>22</v>
      </c>
    </row>
    <row r="692" spans="1:15" x14ac:dyDescent="0.2">
      <c r="A692" s="17" t="s">
        <v>2685</v>
      </c>
      <c r="B692" s="17" t="s">
        <v>2686</v>
      </c>
      <c r="C692" s="17">
        <v>15</v>
      </c>
      <c r="D692" s="1"/>
      <c r="E692" s="1">
        <v>2150</v>
      </c>
      <c r="F692" s="1">
        <v>2440</v>
      </c>
      <c r="G692" s="1">
        <v>53</v>
      </c>
      <c r="H692" s="1"/>
      <c r="I692" s="1"/>
      <c r="J692" s="1"/>
      <c r="K692" s="1"/>
      <c r="L692" s="17" t="s">
        <v>2687</v>
      </c>
      <c r="M692" s="17" t="s">
        <v>245</v>
      </c>
      <c r="N692" s="17">
        <v>19</v>
      </c>
      <c r="O692" s="15" t="s">
        <v>31</v>
      </c>
    </row>
    <row r="693" spans="1:15" x14ac:dyDescent="0.2">
      <c r="A693" s="17" t="s">
        <v>2688</v>
      </c>
      <c r="B693" s="17" t="s">
        <v>2689</v>
      </c>
      <c r="C693" s="17">
        <v>15</v>
      </c>
      <c r="D693" s="1"/>
      <c r="E693" s="1">
        <v>2150</v>
      </c>
      <c r="F693" s="1">
        <v>2440</v>
      </c>
      <c r="G693" s="1">
        <v>53</v>
      </c>
      <c r="H693" s="1"/>
      <c r="I693" s="1"/>
      <c r="J693" s="1"/>
      <c r="K693" s="1"/>
      <c r="L693" s="17" t="s">
        <v>2690</v>
      </c>
      <c r="M693" s="17" t="s">
        <v>2691</v>
      </c>
      <c r="N693" s="17">
        <v>19</v>
      </c>
      <c r="O693" s="15" t="s">
        <v>31</v>
      </c>
    </row>
    <row r="694" spans="1:15" x14ac:dyDescent="0.2">
      <c r="A694" s="17" t="s">
        <v>2692</v>
      </c>
      <c r="B694" s="17" t="s">
        <v>2693</v>
      </c>
      <c r="C694" s="17">
        <v>15</v>
      </c>
      <c r="D694" s="1"/>
      <c r="E694" s="1">
        <v>2150</v>
      </c>
      <c r="F694" s="1">
        <v>2440</v>
      </c>
      <c r="G694" s="1">
        <v>53</v>
      </c>
      <c r="H694" s="1"/>
      <c r="I694" s="1"/>
      <c r="J694" s="1"/>
      <c r="K694" s="1"/>
      <c r="L694" s="17" t="s">
        <v>2694</v>
      </c>
      <c r="M694" s="17" t="s">
        <v>2695</v>
      </c>
      <c r="N694" s="17">
        <v>19</v>
      </c>
      <c r="O694" s="15" t="s">
        <v>31</v>
      </c>
    </row>
    <row r="695" spans="1:15" x14ac:dyDescent="0.2">
      <c r="A695" s="17" t="s">
        <v>2696</v>
      </c>
      <c r="B695" s="17" t="s">
        <v>2697</v>
      </c>
      <c r="C695" s="17">
        <v>15</v>
      </c>
      <c r="D695" s="1"/>
      <c r="E695" s="1">
        <v>2150</v>
      </c>
      <c r="F695" s="1">
        <v>2440</v>
      </c>
      <c r="G695" s="1">
        <v>53</v>
      </c>
      <c r="H695" s="1"/>
      <c r="I695" s="1"/>
      <c r="J695" s="1"/>
      <c r="K695" s="1"/>
      <c r="L695" s="17" t="s">
        <v>2698</v>
      </c>
      <c r="M695" s="17" t="s">
        <v>2699</v>
      </c>
      <c r="N695" s="17">
        <v>19</v>
      </c>
      <c r="O695" s="15" t="s">
        <v>31</v>
      </c>
    </row>
    <row r="696" spans="1:15" x14ac:dyDescent="0.2">
      <c r="A696" s="17" t="s">
        <v>2700</v>
      </c>
      <c r="B696" s="17" t="s">
        <v>2701</v>
      </c>
      <c r="C696" s="17">
        <v>18</v>
      </c>
      <c r="D696" s="1"/>
      <c r="E696" s="1">
        <v>2150</v>
      </c>
      <c r="F696" s="1">
        <v>2440</v>
      </c>
      <c r="G696" s="1">
        <v>61</v>
      </c>
      <c r="H696" s="1"/>
      <c r="I696" s="1"/>
      <c r="J696" s="1"/>
      <c r="K696" s="1"/>
      <c r="L696" s="17" t="s">
        <v>2702</v>
      </c>
      <c r="M696" s="17" t="s">
        <v>2703</v>
      </c>
      <c r="N696" s="17">
        <v>19</v>
      </c>
      <c r="O696" s="15" t="s">
        <v>31</v>
      </c>
    </row>
    <row r="697" spans="1:15" x14ac:dyDescent="0.2">
      <c r="A697" s="17" t="s">
        <v>2704</v>
      </c>
      <c r="B697" s="17" t="s">
        <v>2705</v>
      </c>
      <c r="C697" s="17">
        <v>25</v>
      </c>
      <c r="D697" s="1"/>
      <c r="E697" s="1">
        <v>2150</v>
      </c>
      <c r="F697" s="1">
        <v>2440</v>
      </c>
      <c r="G697" s="1">
        <v>83</v>
      </c>
      <c r="H697" s="1"/>
      <c r="I697" s="1"/>
      <c r="J697" s="1"/>
      <c r="K697" s="1"/>
      <c r="L697" s="17" t="s">
        <v>2706</v>
      </c>
      <c r="M697" s="17" t="s">
        <v>2707</v>
      </c>
      <c r="N697" s="17">
        <v>19</v>
      </c>
      <c r="O697" s="15" t="s">
        <v>31</v>
      </c>
    </row>
    <row r="698" spans="1:15" x14ac:dyDescent="0.2">
      <c r="A698" s="17" t="s">
        <v>2708</v>
      </c>
      <c r="B698" s="17" t="s">
        <v>2709</v>
      </c>
      <c r="C698" s="17">
        <v>6</v>
      </c>
      <c r="D698" s="1"/>
      <c r="E698" s="1">
        <v>2150</v>
      </c>
      <c r="F698" s="1">
        <v>2440</v>
      </c>
      <c r="G698" s="1">
        <v>23</v>
      </c>
      <c r="H698" s="1"/>
      <c r="I698" s="1"/>
      <c r="J698" s="1"/>
      <c r="K698" s="1"/>
      <c r="L698" s="17" t="s">
        <v>2710</v>
      </c>
      <c r="M698" s="17" t="s">
        <v>2711</v>
      </c>
      <c r="N698" s="17">
        <v>22</v>
      </c>
      <c r="O698" s="2" t="s">
        <v>431</v>
      </c>
    </row>
    <row r="699" spans="1:15" x14ac:dyDescent="0.2">
      <c r="A699" s="17" t="s">
        <v>2712</v>
      </c>
      <c r="B699" s="17" t="s">
        <v>2713</v>
      </c>
      <c r="C699" s="17">
        <v>9</v>
      </c>
      <c r="D699" s="1"/>
      <c r="E699" s="1">
        <v>2150</v>
      </c>
      <c r="F699" s="1">
        <v>2440</v>
      </c>
      <c r="G699" s="1">
        <v>33</v>
      </c>
      <c r="H699" s="1"/>
      <c r="I699" s="1"/>
      <c r="J699" s="1"/>
      <c r="K699" s="1"/>
      <c r="L699" s="17" t="s">
        <v>2714</v>
      </c>
      <c r="M699" s="17" t="s">
        <v>2715</v>
      </c>
      <c r="N699" s="17">
        <v>22</v>
      </c>
      <c r="O699" s="2" t="s">
        <v>431</v>
      </c>
    </row>
    <row r="700" spans="1:15" x14ac:dyDescent="0.2">
      <c r="A700" s="17" t="s">
        <v>2716</v>
      </c>
      <c r="B700" s="17" t="s">
        <v>2717</v>
      </c>
      <c r="C700" s="17">
        <v>15</v>
      </c>
      <c r="D700" s="1"/>
      <c r="E700" s="1">
        <v>2150</v>
      </c>
      <c r="F700" s="1">
        <v>2440</v>
      </c>
      <c r="G700" s="1">
        <v>53</v>
      </c>
      <c r="H700" s="1"/>
      <c r="I700" s="1"/>
      <c r="J700" s="1"/>
      <c r="K700" s="1"/>
      <c r="L700" s="17" t="s">
        <v>2718</v>
      </c>
      <c r="M700" s="17" t="s">
        <v>2719</v>
      </c>
      <c r="N700" s="17">
        <v>22</v>
      </c>
      <c r="O700" s="15" t="s">
        <v>31</v>
      </c>
    </row>
    <row r="701" spans="1:15" x14ac:dyDescent="0.2">
      <c r="A701" s="17" t="s">
        <v>2720</v>
      </c>
      <c r="B701" s="17" t="s">
        <v>2721</v>
      </c>
      <c r="C701" s="17">
        <v>18</v>
      </c>
      <c r="D701" s="1"/>
      <c r="E701" s="1">
        <v>2150</v>
      </c>
      <c r="F701" s="1">
        <v>2440</v>
      </c>
      <c r="G701" s="1">
        <v>61</v>
      </c>
      <c r="H701" s="1"/>
      <c r="I701" s="1"/>
      <c r="J701" s="1"/>
      <c r="K701" s="1"/>
      <c r="L701" s="17" t="s">
        <v>2722</v>
      </c>
      <c r="M701" s="17" t="s">
        <v>2723</v>
      </c>
      <c r="N701" s="17">
        <v>33</v>
      </c>
      <c r="O701" s="15" t="s">
        <v>31</v>
      </c>
    </row>
    <row r="702" spans="1:15" x14ac:dyDescent="0.2">
      <c r="A702" s="17" t="s">
        <v>2724</v>
      </c>
      <c r="B702" s="17" t="s">
        <v>2725</v>
      </c>
      <c r="C702" s="17">
        <v>9</v>
      </c>
      <c r="D702" s="1"/>
      <c r="E702" s="1">
        <v>2150</v>
      </c>
      <c r="F702" s="1">
        <v>2440</v>
      </c>
      <c r="G702" s="1">
        <v>33</v>
      </c>
      <c r="H702" s="1"/>
      <c r="I702" s="1"/>
      <c r="J702" s="1"/>
      <c r="K702" s="1"/>
      <c r="L702" s="17" t="s">
        <v>2726</v>
      </c>
      <c r="M702" s="17" t="s">
        <v>2727</v>
      </c>
      <c r="N702" s="17">
        <v>16</v>
      </c>
      <c r="O702" s="15" t="s">
        <v>31</v>
      </c>
    </row>
    <row r="703" spans="1:15" x14ac:dyDescent="0.2">
      <c r="A703" s="17" t="s">
        <v>2728</v>
      </c>
      <c r="B703" s="17" t="s">
        <v>1748</v>
      </c>
      <c r="C703" s="17">
        <v>12</v>
      </c>
      <c r="D703" s="1"/>
      <c r="E703" s="1">
        <v>2150</v>
      </c>
      <c r="F703" s="1">
        <v>2440</v>
      </c>
      <c r="G703" s="1">
        <v>41</v>
      </c>
      <c r="H703" s="1"/>
      <c r="I703" s="1"/>
      <c r="J703" s="1"/>
      <c r="K703" s="1"/>
      <c r="L703" s="17" t="s">
        <v>2729</v>
      </c>
      <c r="M703" s="17" t="s">
        <v>30</v>
      </c>
      <c r="N703" s="17">
        <v>19</v>
      </c>
      <c r="O703" s="15" t="s">
        <v>31</v>
      </c>
    </row>
    <row r="704" spans="1:15" x14ac:dyDescent="0.2">
      <c r="A704" s="17" t="s">
        <v>2730</v>
      </c>
      <c r="B704" s="17" t="s">
        <v>2731</v>
      </c>
      <c r="C704" s="17">
        <v>15</v>
      </c>
      <c r="D704" s="1"/>
      <c r="E704" s="1">
        <v>2150</v>
      </c>
      <c r="F704" s="1">
        <v>2440</v>
      </c>
      <c r="G704" s="1">
        <v>53</v>
      </c>
      <c r="H704" s="1"/>
      <c r="I704" s="1"/>
      <c r="J704" s="1"/>
      <c r="K704" s="1"/>
      <c r="L704" s="17" t="s">
        <v>2732</v>
      </c>
      <c r="M704" s="17" t="s">
        <v>2733</v>
      </c>
      <c r="N704" s="17">
        <v>19</v>
      </c>
      <c r="O704" s="15" t="s">
        <v>31</v>
      </c>
    </row>
    <row r="705" spans="1:15" x14ac:dyDescent="0.2">
      <c r="A705" s="17" t="s">
        <v>2734</v>
      </c>
      <c r="B705" s="17" t="s">
        <v>2735</v>
      </c>
      <c r="C705" s="17">
        <v>18</v>
      </c>
      <c r="D705" s="1"/>
      <c r="E705" s="1">
        <v>2150</v>
      </c>
      <c r="F705" s="1">
        <v>2440</v>
      </c>
      <c r="G705" s="1">
        <v>61</v>
      </c>
      <c r="H705" s="1"/>
      <c r="I705" s="1"/>
      <c r="J705" s="1"/>
      <c r="K705" s="1"/>
      <c r="L705" s="17" t="s">
        <v>2736</v>
      </c>
      <c r="M705" s="17" t="s">
        <v>2737</v>
      </c>
      <c r="N705" s="17">
        <v>44</v>
      </c>
      <c r="O705" s="15" t="s">
        <v>22</v>
      </c>
    </row>
    <row r="706" spans="1:15" x14ac:dyDescent="0.2">
      <c r="A706" s="17" t="s">
        <v>2738</v>
      </c>
      <c r="B706" s="17" t="s">
        <v>2739</v>
      </c>
      <c r="C706" s="17">
        <v>25</v>
      </c>
      <c r="D706" s="1"/>
      <c r="E706" s="1">
        <v>2150</v>
      </c>
      <c r="F706" s="1">
        <v>2440</v>
      </c>
      <c r="G706" s="1">
        <v>83</v>
      </c>
      <c r="H706" s="1"/>
      <c r="I706" s="1"/>
      <c r="J706" s="1"/>
      <c r="K706" s="1"/>
      <c r="L706" s="17" t="s">
        <v>2740</v>
      </c>
      <c r="M706" s="17" t="s">
        <v>2741</v>
      </c>
      <c r="N706" s="17">
        <v>19</v>
      </c>
      <c r="O706" s="15" t="s">
        <v>22</v>
      </c>
    </row>
    <row r="707" spans="1:15" x14ac:dyDescent="0.2">
      <c r="A707" s="17" t="s">
        <v>2742</v>
      </c>
      <c r="B707" s="17" t="s">
        <v>2743</v>
      </c>
      <c r="C707" s="17">
        <v>36</v>
      </c>
      <c r="D707" s="1"/>
      <c r="E707" s="1">
        <v>2150</v>
      </c>
      <c r="F707" s="1">
        <v>2440</v>
      </c>
      <c r="G707" s="1">
        <v>117</v>
      </c>
      <c r="H707" s="1"/>
      <c r="I707" s="1"/>
      <c r="J707" s="1"/>
      <c r="K707" s="1"/>
      <c r="L707" s="17" t="s">
        <v>2744</v>
      </c>
      <c r="M707" s="17" t="s">
        <v>2745</v>
      </c>
      <c r="N707" s="17">
        <v>18</v>
      </c>
      <c r="O707" s="2" t="s">
        <v>36</v>
      </c>
    </row>
    <row r="708" spans="1:15" x14ac:dyDescent="0.2">
      <c r="A708" s="17" t="s">
        <v>2746</v>
      </c>
      <c r="B708" s="17" t="s">
        <v>2747</v>
      </c>
      <c r="C708" s="17">
        <v>9</v>
      </c>
      <c r="D708" s="1"/>
      <c r="E708" s="1">
        <v>2150</v>
      </c>
      <c r="F708" s="1">
        <v>2440</v>
      </c>
      <c r="G708" s="1">
        <v>33</v>
      </c>
      <c r="H708" s="1"/>
      <c r="I708" s="1"/>
      <c r="J708" s="1"/>
      <c r="K708" s="1"/>
      <c r="L708" s="17" t="s">
        <v>2748</v>
      </c>
      <c r="M708" s="17" t="s">
        <v>2749</v>
      </c>
      <c r="N708" s="17">
        <v>33</v>
      </c>
      <c r="O708" s="15" t="s">
        <v>22</v>
      </c>
    </row>
    <row r="709" spans="1:15" x14ac:dyDescent="0.2">
      <c r="A709" s="17" t="s">
        <v>2750</v>
      </c>
      <c r="B709" s="17" t="s">
        <v>2751</v>
      </c>
      <c r="C709" s="17">
        <v>12</v>
      </c>
      <c r="D709" s="1"/>
      <c r="E709" s="1">
        <v>2150</v>
      </c>
      <c r="F709" s="1">
        <v>2440</v>
      </c>
      <c r="G709" s="1">
        <v>41</v>
      </c>
      <c r="H709" s="1"/>
      <c r="I709" s="1"/>
      <c r="J709" s="1"/>
      <c r="K709" s="1"/>
      <c r="L709" s="17" t="s">
        <v>2752</v>
      </c>
      <c r="M709" s="17" t="s">
        <v>2753</v>
      </c>
      <c r="N709" s="17">
        <v>19</v>
      </c>
      <c r="O709" s="15" t="s">
        <v>22</v>
      </c>
    </row>
    <row r="710" spans="1:15" x14ac:dyDescent="0.2">
      <c r="A710" s="17" t="s">
        <v>2754</v>
      </c>
      <c r="B710" s="17" t="s">
        <v>2755</v>
      </c>
      <c r="C710" s="17">
        <v>15</v>
      </c>
      <c r="D710" s="1"/>
      <c r="E710" s="1">
        <v>2150</v>
      </c>
      <c r="F710" s="1">
        <v>2440</v>
      </c>
      <c r="G710" s="1">
        <v>53</v>
      </c>
      <c r="H710" s="1"/>
      <c r="I710" s="1"/>
      <c r="J710" s="1"/>
      <c r="K710" s="1"/>
      <c r="L710" s="17" t="s">
        <v>2756</v>
      </c>
      <c r="M710" s="17" t="s">
        <v>2757</v>
      </c>
      <c r="N710" s="17">
        <v>19</v>
      </c>
      <c r="O710" s="15" t="s">
        <v>31</v>
      </c>
    </row>
    <row r="711" spans="1:15" x14ac:dyDescent="0.2">
      <c r="A711" s="17" t="s">
        <v>2758</v>
      </c>
      <c r="B711" s="17" t="s">
        <v>2759</v>
      </c>
      <c r="C711" s="17">
        <v>18</v>
      </c>
      <c r="D711" s="1"/>
      <c r="E711" s="1">
        <v>2150</v>
      </c>
      <c r="F711" s="1">
        <v>2440</v>
      </c>
      <c r="G711" s="1">
        <v>61</v>
      </c>
      <c r="H711" s="1"/>
      <c r="I711" s="1"/>
      <c r="J711" s="1"/>
      <c r="K711" s="1"/>
      <c r="L711" s="17" t="s">
        <v>2760</v>
      </c>
      <c r="M711" s="17" t="s">
        <v>2761</v>
      </c>
      <c r="N711" s="17">
        <v>41</v>
      </c>
      <c r="O711" s="15" t="s">
        <v>31</v>
      </c>
    </row>
    <row r="712" spans="1:15" x14ac:dyDescent="0.2">
      <c r="A712" s="17" t="s">
        <v>2762</v>
      </c>
      <c r="B712" s="17" t="s">
        <v>2763</v>
      </c>
      <c r="C712" s="17">
        <v>25</v>
      </c>
      <c r="D712" s="1"/>
      <c r="E712" s="1">
        <v>2150</v>
      </c>
      <c r="F712" s="1">
        <v>2440</v>
      </c>
      <c r="G712" s="1">
        <v>83</v>
      </c>
      <c r="H712" s="1"/>
      <c r="I712" s="1"/>
      <c r="J712" s="1"/>
      <c r="K712" s="1"/>
      <c r="L712" s="17" t="s">
        <v>2764</v>
      </c>
      <c r="M712" s="17" t="s">
        <v>2765</v>
      </c>
      <c r="N712" s="17">
        <v>41</v>
      </c>
      <c r="O712" s="15" t="s">
        <v>22</v>
      </c>
    </row>
    <row r="713" spans="1:15" x14ac:dyDescent="0.2">
      <c r="A713" s="17" t="s">
        <v>2766</v>
      </c>
      <c r="B713" s="17" t="s">
        <v>2767</v>
      </c>
      <c r="C713" s="17">
        <v>15</v>
      </c>
      <c r="D713" s="1"/>
      <c r="E713" s="1">
        <v>2150</v>
      </c>
      <c r="F713" s="1">
        <v>2440</v>
      </c>
      <c r="G713" s="1">
        <v>53</v>
      </c>
      <c r="H713" s="1"/>
      <c r="I713" s="1"/>
      <c r="J713" s="1"/>
      <c r="K713" s="1"/>
      <c r="L713" s="17" t="s">
        <v>2768</v>
      </c>
      <c r="M713" s="17" t="s">
        <v>2769</v>
      </c>
      <c r="N713" s="17">
        <v>19</v>
      </c>
      <c r="O713" s="15" t="s">
        <v>22</v>
      </c>
    </row>
    <row r="714" spans="1:15" x14ac:dyDescent="0.2">
      <c r="A714" s="17" t="s">
        <v>2770</v>
      </c>
      <c r="B714" s="17" t="s">
        <v>2771</v>
      </c>
      <c r="C714" s="17">
        <v>15</v>
      </c>
      <c r="D714" s="1"/>
      <c r="E714" s="1">
        <v>2150</v>
      </c>
      <c r="F714" s="1">
        <v>2440</v>
      </c>
      <c r="G714" s="1">
        <v>53</v>
      </c>
      <c r="H714" s="1"/>
      <c r="I714" s="1"/>
      <c r="J714" s="1"/>
      <c r="K714" s="1"/>
      <c r="L714" s="17" t="s">
        <v>2772</v>
      </c>
      <c r="M714" s="17" t="s">
        <v>2773</v>
      </c>
      <c r="N714" s="17">
        <v>19</v>
      </c>
      <c r="O714" s="15" t="s">
        <v>22</v>
      </c>
    </row>
    <row r="715" spans="1:15" x14ac:dyDescent="0.2">
      <c r="A715" s="17" t="s">
        <v>2774</v>
      </c>
      <c r="B715" s="17" t="s">
        <v>2775</v>
      </c>
      <c r="C715" s="17">
        <v>15</v>
      </c>
      <c r="D715" s="1"/>
      <c r="E715" s="1">
        <v>2150</v>
      </c>
      <c r="F715" s="1">
        <v>2440</v>
      </c>
      <c r="G715" s="1">
        <v>53</v>
      </c>
      <c r="H715" s="1"/>
      <c r="I715" s="1"/>
      <c r="J715" s="1"/>
      <c r="K715" s="1"/>
      <c r="L715" s="17" t="s">
        <v>2776</v>
      </c>
      <c r="M715" s="17" t="s">
        <v>2777</v>
      </c>
      <c r="N715" s="17">
        <v>22</v>
      </c>
      <c r="O715" s="15" t="s">
        <v>31</v>
      </c>
    </row>
    <row r="716" spans="1:15" x14ac:dyDescent="0.2">
      <c r="A716" s="17" t="s">
        <v>2778</v>
      </c>
      <c r="B716" s="17" t="s">
        <v>2779</v>
      </c>
      <c r="C716" s="17">
        <v>15</v>
      </c>
      <c r="D716" s="1"/>
      <c r="E716" s="1">
        <v>2150</v>
      </c>
      <c r="F716" s="1">
        <v>2440</v>
      </c>
      <c r="G716" s="1">
        <v>53</v>
      </c>
      <c r="H716" s="1"/>
      <c r="I716" s="1"/>
      <c r="J716" s="1"/>
      <c r="K716" s="1"/>
      <c r="L716" s="17" t="s">
        <v>2780</v>
      </c>
      <c r="M716" s="17" t="s">
        <v>2781</v>
      </c>
      <c r="N716" s="17">
        <v>22</v>
      </c>
      <c r="O716" s="15" t="s">
        <v>31</v>
      </c>
    </row>
    <row r="717" spans="1:15" x14ac:dyDescent="0.2">
      <c r="A717" s="17" t="s">
        <v>2782</v>
      </c>
      <c r="B717" s="17" t="s">
        <v>2783</v>
      </c>
      <c r="C717" s="17">
        <v>15</v>
      </c>
      <c r="D717" s="1"/>
      <c r="E717" s="1">
        <v>2150</v>
      </c>
      <c r="F717" s="1">
        <v>2440</v>
      </c>
      <c r="G717" s="1">
        <v>53</v>
      </c>
      <c r="H717" s="1"/>
      <c r="I717" s="1"/>
      <c r="J717" s="1"/>
      <c r="K717" s="1"/>
      <c r="L717" s="17" t="s">
        <v>2784</v>
      </c>
      <c r="M717" s="17" t="s">
        <v>2785</v>
      </c>
      <c r="N717" s="17">
        <v>22</v>
      </c>
      <c r="O717" s="15" t="s">
        <v>31</v>
      </c>
    </row>
    <row r="718" spans="1:15" x14ac:dyDescent="0.2">
      <c r="A718" s="17" t="s">
        <v>2786</v>
      </c>
      <c r="B718" s="17" t="s">
        <v>2787</v>
      </c>
      <c r="C718" s="17">
        <v>18</v>
      </c>
      <c r="D718" s="1"/>
      <c r="E718" s="1">
        <v>2150</v>
      </c>
      <c r="F718" s="1">
        <v>2440</v>
      </c>
      <c r="G718" s="1">
        <v>61</v>
      </c>
      <c r="H718" s="1"/>
      <c r="I718" s="1"/>
      <c r="J718" s="1"/>
      <c r="K718" s="1"/>
      <c r="L718" s="17" t="s">
        <v>2788</v>
      </c>
      <c r="M718" s="17" t="s">
        <v>2789</v>
      </c>
      <c r="N718" s="17">
        <v>22</v>
      </c>
      <c r="O718" s="15" t="s">
        <v>31</v>
      </c>
    </row>
    <row r="719" spans="1:15" x14ac:dyDescent="0.2">
      <c r="A719" s="17" t="s">
        <v>2790</v>
      </c>
      <c r="B719" s="17" t="s">
        <v>2791</v>
      </c>
      <c r="C719" s="17">
        <v>30</v>
      </c>
      <c r="D719" s="1"/>
      <c r="E719" s="1">
        <v>2150</v>
      </c>
      <c r="F719" s="1">
        <v>2440</v>
      </c>
      <c r="G719" s="1">
        <v>113</v>
      </c>
      <c r="H719" s="1"/>
      <c r="I719" s="1"/>
      <c r="J719" s="1"/>
      <c r="K719" s="1"/>
      <c r="L719" s="17" t="s">
        <v>2792</v>
      </c>
      <c r="M719" s="17" t="s">
        <v>2793</v>
      </c>
      <c r="N719" s="17">
        <v>19</v>
      </c>
      <c r="O719" s="15" t="s">
        <v>31</v>
      </c>
    </row>
    <row r="720" spans="1:15" x14ac:dyDescent="0.2">
      <c r="A720" s="17" t="s">
        <v>2794</v>
      </c>
      <c r="B720" s="17" t="s">
        <v>2795</v>
      </c>
      <c r="C720" s="17">
        <v>36</v>
      </c>
      <c r="D720" s="1"/>
      <c r="E720" s="1">
        <v>2150</v>
      </c>
      <c r="F720" s="1">
        <v>2440</v>
      </c>
      <c r="G720" s="1">
        <v>117</v>
      </c>
      <c r="H720" s="1"/>
      <c r="I720" s="1"/>
      <c r="J720" s="1"/>
      <c r="K720" s="1"/>
      <c r="L720" s="17" t="s">
        <v>2796</v>
      </c>
      <c r="M720" s="20" t="s">
        <v>2793</v>
      </c>
      <c r="N720" s="17">
        <v>41</v>
      </c>
      <c r="O720" s="15" t="s">
        <v>31</v>
      </c>
    </row>
    <row r="721" spans="1:15" x14ac:dyDescent="0.2">
      <c r="A721" s="17" t="s">
        <v>2797</v>
      </c>
      <c r="B721" s="17" t="s">
        <v>2798</v>
      </c>
      <c r="C721" s="17">
        <v>9</v>
      </c>
      <c r="D721" s="1"/>
      <c r="E721" s="1">
        <v>2150</v>
      </c>
      <c r="F721" s="1">
        <v>2440</v>
      </c>
      <c r="G721" s="1">
        <v>23</v>
      </c>
      <c r="H721" s="1"/>
      <c r="I721" s="1"/>
      <c r="J721" s="1"/>
      <c r="K721" s="1"/>
      <c r="L721" s="17" t="s">
        <v>2799</v>
      </c>
      <c r="M721" s="17" t="s">
        <v>2800</v>
      </c>
      <c r="N721" s="17">
        <v>41</v>
      </c>
      <c r="O721" s="15" t="s">
        <v>31</v>
      </c>
    </row>
    <row r="722" spans="1:15" x14ac:dyDescent="0.2">
      <c r="A722" s="17" t="s">
        <v>2801</v>
      </c>
      <c r="B722" s="17" t="s">
        <v>2802</v>
      </c>
      <c r="C722" s="17">
        <v>6</v>
      </c>
      <c r="D722" s="1"/>
      <c r="E722" s="1">
        <v>2150</v>
      </c>
      <c r="F722" s="1">
        <v>2440</v>
      </c>
      <c r="G722" s="1">
        <v>23</v>
      </c>
      <c r="H722" s="1"/>
      <c r="I722" s="1"/>
      <c r="J722" s="1"/>
      <c r="K722" s="1"/>
      <c r="L722" s="17" t="s">
        <v>2803</v>
      </c>
      <c r="M722" s="17" t="s">
        <v>2804</v>
      </c>
      <c r="N722" s="17">
        <v>41</v>
      </c>
      <c r="O722" s="15" t="s">
        <v>22</v>
      </c>
    </row>
    <row r="723" spans="1:15" x14ac:dyDescent="0.2">
      <c r="A723" s="17" t="s">
        <v>2805</v>
      </c>
      <c r="B723" s="17" t="s">
        <v>2806</v>
      </c>
      <c r="C723" s="17">
        <v>15</v>
      </c>
      <c r="D723" s="1"/>
      <c r="E723" s="1">
        <v>2150</v>
      </c>
      <c r="F723" s="1">
        <v>2440</v>
      </c>
      <c r="G723" s="1">
        <v>53</v>
      </c>
      <c r="H723" s="1"/>
      <c r="I723" s="1"/>
      <c r="J723" s="1"/>
      <c r="K723" s="1"/>
      <c r="L723" s="17" t="s">
        <v>2807</v>
      </c>
      <c r="M723" s="17" t="s">
        <v>2808</v>
      </c>
      <c r="N723" s="17">
        <v>19</v>
      </c>
      <c r="O723" s="15" t="s">
        <v>31</v>
      </c>
    </row>
    <row r="724" spans="1:15" x14ac:dyDescent="0.2">
      <c r="A724" s="17" t="s">
        <v>2809</v>
      </c>
      <c r="B724" s="17" t="s">
        <v>2810</v>
      </c>
      <c r="C724" s="17">
        <v>6</v>
      </c>
      <c r="D724" s="1"/>
      <c r="E724" s="1">
        <v>2150</v>
      </c>
      <c r="F724" s="1">
        <v>2440</v>
      </c>
      <c r="G724" s="1">
        <v>23</v>
      </c>
      <c r="H724" s="1"/>
      <c r="I724" s="1"/>
      <c r="J724" s="1"/>
      <c r="K724" s="1"/>
      <c r="L724" s="17" t="s">
        <v>2811</v>
      </c>
      <c r="M724" s="17" t="s">
        <v>1414</v>
      </c>
      <c r="N724" s="17">
        <v>22</v>
      </c>
      <c r="O724" s="15" t="s">
        <v>31</v>
      </c>
    </row>
    <row r="725" spans="1:15" x14ac:dyDescent="0.2">
      <c r="A725" s="17" t="s">
        <v>2812</v>
      </c>
      <c r="B725" s="17" t="s">
        <v>2813</v>
      </c>
      <c r="C725" s="17">
        <v>15</v>
      </c>
      <c r="D725" s="1"/>
      <c r="E725" s="1">
        <v>2150</v>
      </c>
      <c r="F725" s="1">
        <v>2440</v>
      </c>
      <c r="G725" s="1">
        <v>53</v>
      </c>
      <c r="H725" s="1"/>
      <c r="I725" s="1"/>
      <c r="J725" s="1"/>
      <c r="K725" s="1"/>
      <c r="L725" s="17" t="s">
        <v>2814</v>
      </c>
      <c r="M725" s="17" t="s">
        <v>2815</v>
      </c>
      <c r="N725" s="17">
        <v>41</v>
      </c>
      <c r="O725" s="15" t="s">
        <v>31</v>
      </c>
    </row>
    <row r="726" spans="1:15" x14ac:dyDescent="0.2">
      <c r="A726" s="17" t="s">
        <v>2816</v>
      </c>
      <c r="B726" s="17" t="s">
        <v>2817</v>
      </c>
      <c r="C726" s="17">
        <v>18</v>
      </c>
      <c r="D726" s="1"/>
      <c r="E726" s="1">
        <v>2150</v>
      </c>
      <c r="F726" s="1">
        <v>2440</v>
      </c>
      <c r="G726" s="1">
        <v>61</v>
      </c>
      <c r="H726" s="1"/>
      <c r="I726" s="1"/>
      <c r="J726" s="1"/>
      <c r="K726" s="1"/>
      <c r="L726" s="17" t="s">
        <v>2818</v>
      </c>
      <c r="M726" s="17" t="s">
        <v>2819</v>
      </c>
      <c r="N726" s="17">
        <v>22</v>
      </c>
      <c r="O726" s="15" t="s">
        <v>31</v>
      </c>
    </row>
    <row r="727" spans="1:15" x14ac:dyDescent="0.2">
      <c r="A727" s="17" t="s">
        <v>2820</v>
      </c>
      <c r="B727" s="17" t="s">
        <v>2821</v>
      </c>
      <c r="C727" s="17">
        <v>36</v>
      </c>
      <c r="D727" s="1"/>
      <c r="E727" s="1">
        <v>2150</v>
      </c>
      <c r="F727" s="1">
        <v>2440</v>
      </c>
      <c r="G727" s="1">
        <v>117</v>
      </c>
      <c r="H727" s="1"/>
      <c r="I727" s="1"/>
      <c r="J727" s="1"/>
      <c r="K727" s="1"/>
      <c r="L727" s="17" t="s">
        <v>2822</v>
      </c>
      <c r="M727" s="17" t="s">
        <v>2823</v>
      </c>
      <c r="N727" s="17">
        <v>22</v>
      </c>
      <c r="O727" s="15" t="s">
        <v>22</v>
      </c>
    </row>
    <row r="728" spans="1:15" x14ac:dyDescent="0.2">
      <c r="A728" s="17" t="s">
        <v>2824</v>
      </c>
      <c r="B728" s="17" t="s">
        <v>2825</v>
      </c>
      <c r="C728" s="17">
        <v>9</v>
      </c>
      <c r="D728" s="1"/>
      <c r="E728" s="1">
        <v>2150</v>
      </c>
      <c r="F728" s="1">
        <v>2440</v>
      </c>
      <c r="G728" s="1">
        <v>33</v>
      </c>
      <c r="H728" s="1"/>
      <c r="I728" s="1"/>
      <c r="J728" s="1"/>
      <c r="K728" s="1"/>
      <c r="L728" s="17" t="s">
        <v>2826</v>
      </c>
      <c r="M728" s="17" t="s">
        <v>2827</v>
      </c>
      <c r="N728" s="17">
        <v>41</v>
      </c>
      <c r="O728" s="15" t="s">
        <v>31</v>
      </c>
    </row>
    <row r="729" spans="1:15" x14ac:dyDescent="0.2">
      <c r="A729" s="17" t="s">
        <v>2828</v>
      </c>
      <c r="B729" s="17" t="s">
        <v>2829</v>
      </c>
      <c r="C729" s="17">
        <v>15</v>
      </c>
      <c r="D729" s="1"/>
      <c r="E729" s="1">
        <v>2150</v>
      </c>
      <c r="F729" s="1">
        <v>2440</v>
      </c>
      <c r="G729" s="1">
        <v>53</v>
      </c>
      <c r="H729" s="1"/>
      <c r="I729" s="1"/>
      <c r="J729" s="1"/>
      <c r="K729" s="1"/>
      <c r="L729" s="17" t="s">
        <v>2830</v>
      </c>
      <c r="M729" s="17" t="s">
        <v>2831</v>
      </c>
      <c r="N729" s="17">
        <v>41</v>
      </c>
      <c r="O729" s="15" t="s">
        <v>22</v>
      </c>
    </row>
    <row r="730" spans="1:15" x14ac:dyDescent="0.2">
      <c r="A730" s="17" t="s">
        <v>2832</v>
      </c>
      <c r="B730" s="17" t="s">
        <v>2833</v>
      </c>
      <c r="C730" s="17">
        <v>6</v>
      </c>
      <c r="D730" s="1"/>
      <c r="E730" s="1">
        <v>2150</v>
      </c>
      <c r="F730" s="1">
        <v>2440</v>
      </c>
      <c r="G730" s="1">
        <v>23</v>
      </c>
      <c r="H730" s="1"/>
      <c r="I730" s="1"/>
      <c r="J730" s="1"/>
      <c r="K730" s="1"/>
      <c r="L730" s="17" t="s">
        <v>2834</v>
      </c>
      <c r="M730" s="17" t="s">
        <v>2835</v>
      </c>
      <c r="N730" s="17">
        <v>33</v>
      </c>
      <c r="O730" s="15" t="s">
        <v>22</v>
      </c>
    </row>
    <row r="731" spans="1:15" x14ac:dyDescent="0.2">
      <c r="A731" s="17" t="s">
        <v>2836</v>
      </c>
      <c r="B731" s="17" t="s">
        <v>2837</v>
      </c>
      <c r="C731" s="17">
        <v>6</v>
      </c>
      <c r="D731" s="1"/>
      <c r="E731" s="1">
        <v>2150</v>
      </c>
      <c r="F731" s="1">
        <v>2440</v>
      </c>
      <c r="G731" s="1">
        <v>23</v>
      </c>
      <c r="H731" s="1"/>
      <c r="I731" s="1"/>
      <c r="J731" s="1"/>
      <c r="K731" s="1"/>
      <c r="L731" s="17" t="s">
        <v>2838</v>
      </c>
      <c r="M731" s="17" t="s">
        <v>2839</v>
      </c>
      <c r="N731" s="17">
        <v>33</v>
      </c>
      <c r="O731" s="15" t="s">
        <v>31</v>
      </c>
    </row>
    <row r="732" spans="1:15" x14ac:dyDescent="0.2">
      <c r="A732" s="17" t="s">
        <v>2840</v>
      </c>
      <c r="B732" s="17" t="s">
        <v>2841</v>
      </c>
      <c r="C732" s="17">
        <v>9</v>
      </c>
      <c r="D732" s="1"/>
      <c r="E732" s="1">
        <v>2150</v>
      </c>
      <c r="F732" s="1">
        <v>2440</v>
      </c>
      <c r="G732" s="1">
        <v>33</v>
      </c>
      <c r="H732" s="1"/>
      <c r="I732" s="1"/>
      <c r="J732" s="1"/>
      <c r="K732" s="1"/>
      <c r="L732" s="17" t="s">
        <v>2842</v>
      </c>
      <c r="M732" s="17" t="s">
        <v>2843</v>
      </c>
      <c r="N732" s="17">
        <v>41</v>
      </c>
      <c r="O732" s="15" t="s">
        <v>22</v>
      </c>
    </row>
    <row r="733" spans="1:15" x14ac:dyDescent="0.2">
      <c r="A733" s="17" t="s">
        <v>2844</v>
      </c>
      <c r="B733" s="17" t="s">
        <v>2845</v>
      </c>
      <c r="C733" s="17">
        <v>15</v>
      </c>
      <c r="D733" s="1"/>
      <c r="E733" s="1">
        <v>2150</v>
      </c>
      <c r="F733" s="1">
        <v>2440</v>
      </c>
      <c r="G733" s="1">
        <v>53</v>
      </c>
      <c r="H733" s="1"/>
      <c r="I733" s="1"/>
      <c r="J733" s="1"/>
      <c r="K733" s="1"/>
      <c r="L733" s="17" t="s">
        <v>2846</v>
      </c>
      <c r="M733" s="17" t="s">
        <v>2847</v>
      </c>
      <c r="N733" s="17">
        <v>33</v>
      </c>
      <c r="O733" s="15" t="s">
        <v>31</v>
      </c>
    </row>
    <row r="734" spans="1:15" x14ac:dyDescent="0.2">
      <c r="A734" s="17" t="s">
        <v>2848</v>
      </c>
      <c r="B734" s="17" t="s">
        <v>2849</v>
      </c>
      <c r="C734" s="17">
        <v>18</v>
      </c>
      <c r="D734" s="1"/>
      <c r="E734" s="1">
        <v>2150</v>
      </c>
      <c r="F734" s="1">
        <v>2440</v>
      </c>
      <c r="G734" s="1">
        <v>61</v>
      </c>
      <c r="H734" s="1"/>
      <c r="I734" s="1"/>
      <c r="J734" s="1"/>
      <c r="K734" s="1"/>
      <c r="L734" s="17" t="s">
        <v>2850</v>
      </c>
      <c r="M734" s="17" t="s">
        <v>2851</v>
      </c>
      <c r="N734" s="17">
        <v>33</v>
      </c>
      <c r="O734" s="15" t="s">
        <v>22</v>
      </c>
    </row>
    <row r="735" spans="1:15" x14ac:dyDescent="0.2">
      <c r="A735" s="17" t="s">
        <v>2852</v>
      </c>
      <c r="B735" s="17" t="s">
        <v>2853</v>
      </c>
      <c r="C735" s="17">
        <v>25</v>
      </c>
      <c r="D735" s="1"/>
      <c r="E735" s="1">
        <v>2150</v>
      </c>
      <c r="F735" s="1">
        <v>2440</v>
      </c>
      <c r="G735" s="1">
        <v>88</v>
      </c>
      <c r="H735" s="1"/>
      <c r="I735" s="1"/>
      <c r="J735" s="1"/>
      <c r="K735" s="1"/>
      <c r="L735" s="17" t="s">
        <v>2854</v>
      </c>
      <c r="M735" s="17" t="s">
        <v>2855</v>
      </c>
      <c r="N735" s="17">
        <v>33</v>
      </c>
      <c r="O735" s="15" t="s">
        <v>22</v>
      </c>
    </row>
    <row r="736" spans="1:15" x14ac:dyDescent="0.2">
      <c r="A736" s="17" t="s">
        <v>2856</v>
      </c>
      <c r="B736" s="17" t="s">
        <v>2857</v>
      </c>
      <c r="C736" s="17">
        <v>30</v>
      </c>
      <c r="D736" s="1"/>
      <c r="E736" s="1">
        <v>2150</v>
      </c>
      <c r="F736" s="1">
        <v>2440</v>
      </c>
      <c r="G736" s="1">
        <v>97</v>
      </c>
      <c r="H736" s="1"/>
      <c r="I736" s="1"/>
      <c r="J736" s="1"/>
      <c r="K736" s="1"/>
      <c r="L736" s="17" t="s">
        <v>2858</v>
      </c>
      <c r="M736" s="17" t="s">
        <v>2859</v>
      </c>
      <c r="N736" s="17">
        <v>22</v>
      </c>
      <c r="O736" s="15" t="s">
        <v>22</v>
      </c>
    </row>
    <row r="737" spans="1:15" x14ac:dyDescent="0.2">
      <c r="A737" s="17" t="s">
        <v>2860</v>
      </c>
      <c r="B737" s="17" t="s">
        <v>2861</v>
      </c>
      <c r="C737" s="17">
        <v>6</v>
      </c>
      <c r="D737" s="1"/>
      <c r="E737" s="1">
        <v>2150</v>
      </c>
      <c r="F737" s="1">
        <v>2440</v>
      </c>
      <c r="G737" s="1">
        <v>23</v>
      </c>
      <c r="H737" s="1"/>
      <c r="I737" s="1"/>
      <c r="J737" s="1"/>
      <c r="K737" s="1"/>
      <c r="L737" s="17" t="s">
        <v>2862</v>
      </c>
      <c r="M737" s="17" t="s">
        <v>2863</v>
      </c>
      <c r="N737" s="17">
        <v>22</v>
      </c>
      <c r="O737" s="15" t="s">
        <v>31</v>
      </c>
    </row>
    <row r="738" spans="1:15" x14ac:dyDescent="0.2">
      <c r="A738" s="17" t="s">
        <v>2864</v>
      </c>
      <c r="B738" s="17" t="s">
        <v>2865</v>
      </c>
      <c r="C738" s="17">
        <v>15</v>
      </c>
      <c r="D738" s="1"/>
      <c r="E738" s="1">
        <v>2150</v>
      </c>
      <c r="F738" s="1">
        <v>2440</v>
      </c>
      <c r="G738" s="1">
        <v>53</v>
      </c>
      <c r="H738" s="1"/>
      <c r="I738" s="1"/>
      <c r="J738" s="1"/>
      <c r="K738" s="1"/>
      <c r="L738" s="17" t="s">
        <v>2866</v>
      </c>
      <c r="M738" s="17" t="s">
        <v>2867</v>
      </c>
      <c r="N738" s="17">
        <v>41</v>
      </c>
      <c r="O738" s="15" t="s">
        <v>31</v>
      </c>
    </row>
    <row r="739" spans="1:15" x14ac:dyDescent="0.2">
      <c r="A739" s="17" t="s">
        <v>2868</v>
      </c>
      <c r="B739" s="17" t="s">
        <v>2869</v>
      </c>
      <c r="C739" s="17">
        <v>18</v>
      </c>
      <c r="D739" s="1"/>
      <c r="E739" s="1">
        <v>2150</v>
      </c>
      <c r="F739" s="1">
        <v>2440</v>
      </c>
      <c r="G739" s="1">
        <v>61</v>
      </c>
      <c r="H739" s="1"/>
      <c r="I739" s="1"/>
      <c r="J739" s="1"/>
      <c r="K739" s="1"/>
      <c r="L739" s="17" t="s">
        <v>2870</v>
      </c>
      <c r="M739" s="17" t="s">
        <v>2871</v>
      </c>
      <c r="N739" s="17">
        <v>33</v>
      </c>
      <c r="O739" s="15" t="s">
        <v>31</v>
      </c>
    </row>
    <row r="740" spans="1:15" x14ac:dyDescent="0.2">
      <c r="A740" s="17" t="s">
        <v>2872</v>
      </c>
      <c r="B740" s="17" t="s">
        <v>2873</v>
      </c>
      <c r="C740" s="17">
        <v>6</v>
      </c>
      <c r="D740" s="1"/>
      <c r="E740" s="1">
        <v>2150</v>
      </c>
      <c r="F740" s="1">
        <v>2440</v>
      </c>
      <c r="G740" s="1">
        <v>23</v>
      </c>
      <c r="H740" s="1"/>
      <c r="I740" s="1"/>
      <c r="J740" s="1"/>
      <c r="K740" s="1"/>
      <c r="L740" s="17" t="s">
        <v>2874</v>
      </c>
      <c r="M740" s="17" t="s">
        <v>2875</v>
      </c>
      <c r="N740" s="17">
        <v>33</v>
      </c>
      <c r="O740" s="15" t="s">
        <v>22</v>
      </c>
    </row>
    <row r="741" spans="1:15" x14ac:dyDescent="0.2">
      <c r="A741" s="17" t="s">
        <v>2876</v>
      </c>
      <c r="B741" s="17" t="s">
        <v>2877</v>
      </c>
      <c r="C741" s="17">
        <v>12</v>
      </c>
      <c r="D741" s="1"/>
      <c r="E741" s="1">
        <v>2150</v>
      </c>
      <c r="F741" s="1">
        <v>2440</v>
      </c>
      <c r="G741" s="1">
        <v>41</v>
      </c>
      <c r="H741" s="1"/>
      <c r="I741" s="1"/>
      <c r="J741" s="1"/>
      <c r="K741" s="1"/>
      <c r="L741" s="17" t="s">
        <v>2878</v>
      </c>
      <c r="M741" s="17" t="s">
        <v>2879</v>
      </c>
      <c r="N741" s="17">
        <v>15</v>
      </c>
      <c r="O741" s="2" t="s">
        <v>36</v>
      </c>
    </row>
    <row r="742" spans="1:15" x14ac:dyDescent="0.2">
      <c r="A742" s="17" t="s">
        <v>2880</v>
      </c>
      <c r="B742" s="17" t="s">
        <v>2881</v>
      </c>
      <c r="C742" s="17">
        <v>15</v>
      </c>
      <c r="D742" s="1"/>
      <c r="E742" s="1">
        <v>2150</v>
      </c>
      <c r="F742" s="1">
        <v>2440</v>
      </c>
      <c r="G742" s="1">
        <v>53</v>
      </c>
      <c r="H742" s="1"/>
      <c r="I742" s="1"/>
      <c r="J742" s="1"/>
      <c r="K742" s="1"/>
      <c r="L742" s="17" t="s">
        <v>2882</v>
      </c>
      <c r="M742" s="17" t="s">
        <v>2883</v>
      </c>
      <c r="N742" s="17">
        <v>33</v>
      </c>
      <c r="O742" s="15" t="s">
        <v>31</v>
      </c>
    </row>
    <row r="743" spans="1:15" x14ac:dyDescent="0.2">
      <c r="A743" s="17" t="s">
        <v>2884</v>
      </c>
      <c r="B743" s="17" t="s">
        <v>2885</v>
      </c>
      <c r="C743" s="17">
        <v>18</v>
      </c>
      <c r="D743" s="1"/>
      <c r="E743" s="1">
        <v>2150</v>
      </c>
      <c r="F743" s="1">
        <v>2440</v>
      </c>
      <c r="G743" s="1">
        <v>61</v>
      </c>
      <c r="H743" s="1"/>
      <c r="I743" s="1"/>
      <c r="J743" s="1"/>
      <c r="K743" s="1"/>
      <c r="L743" s="17" t="s">
        <v>2886</v>
      </c>
      <c r="M743" s="17" t="s">
        <v>2887</v>
      </c>
      <c r="N743" s="17">
        <v>22</v>
      </c>
      <c r="O743" s="15" t="s">
        <v>22</v>
      </c>
    </row>
    <row r="744" spans="1:15" x14ac:dyDescent="0.2">
      <c r="A744" s="17" t="s">
        <v>2888</v>
      </c>
      <c r="B744" s="17" t="s">
        <v>2889</v>
      </c>
      <c r="C744" s="17">
        <v>6</v>
      </c>
      <c r="D744" s="1"/>
      <c r="E744" s="1">
        <v>2150</v>
      </c>
      <c r="F744" s="1">
        <v>2440</v>
      </c>
      <c r="G744" s="1">
        <v>23</v>
      </c>
      <c r="H744" s="1"/>
      <c r="I744" s="1"/>
      <c r="J744" s="1"/>
      <c r="K744" s="1"/>
      <c r="L744" s="17" t="s">
        <v>2890</v>
      </c>
      <c r="M744" s="17" t="s">
        <v>960</v>
      </c>
      <c r="N744" s="17">
        <v>22</v>
      </c>
      <c r="O744" s="15" t="s">
        <v>31</v>
      </c>
    </row>
    <row r="745" spans="1:15" x14ac:dyDescent="0.2">
      <c r="A745" s="17" t="s">
        <v>2891</v>
      </c>
      <c r="B745" s="17" t="s">
        <v>2892</v>
      </c>
      <c r="C745" s="17">
        <v>9</v>
      </c>
      <c r="D745" s="1"/>
      <c r="E745" s="1">
        <v>2150</v>
      </c>
      <c r="F745" s="1">
        <v>2440</v>
      </c>
      <c r="G745" s="1">
        <v>33</v>
      </c>
      <c r="H745" s="1"/>
      <c r="I745" s="1"/>
      <c r="J745" s="1"/>
      <c r="K745" s="1"/>
      <c r="L745" s="17" t="s">
        <v>2893</v>
      </c>
      <c r="M745" s="17" t="s">
        <v>2894</v>
      </c>
      <c r="N745" s="17">
        <v>41</v>
      </c>
      <c r="O745" s="15" t="s">
        <v>31</v>
      </c>
    </row>
    <row r="746" spans="1:15" x14ac:dyDescent="0.2">
      <c r="A746" s="17" t="s">
        <v>2895</v>
      </c>
      <c r="B746" s="17" t="s">
        <v>2896</v>
      </c>
      <c r="C746" s="17">
        <v>12</v>
      </c>
      <c r="D746" s="1"/>
      <c r="E746" s="1">
        <v>2150</v>
      </c>
      <c r="F746" s="1">
        <v>2440</v>
      </c>
      <c r="G746" s="1">
        <v>41</v>
      </c>
      <c r="H746" s="1"/>
      <c r="I746" s="1"/>
      <c r="J746" s="1"/>
      <c r="K746" s="1"/>
      <c r="L746" s="17" t="s">
        <v>2897</v>
      </c>
      <c r="M746" s="17" t="s">
        <v>2898</v>
      </c>
      <c r="N746" s="17">
        <v>41</v>
      </c>
      <c r="O746" s="15" t="s">
        <v>22</v>
      </c>
    </row>
    <row r="747" spans="1:15" x14ac:dyDescent="0.2">
      <c r="A747" s="17" t="s">
        <v>2899</v>
      </c>
      <c r="B747" s="17" t="s">
        <v>2900</v>
      </c>
      <c r="C747" s="17">
        <v>15</v>
      </c>
      <c r="D747" s="1"/>
      <c r="E747" s="1">
        <v>2150</v>
      </c>
      <c r="F747" s="1">
        <v>2440</v>
      </c>
      <c r="G747" s="1">
        <v>53</v>
      </c>
      <c r="H747" s="1"/>
      <c r="I747" s="1"/>
      <c r="J747" s="1"/>
      <c r="K747" s="1"/>
      <c r="L747" s="17" t="s">
        <v>2901</v>
      </c>
      <c r="M747" s="17" t="s">
        <v>2902</v>
      </c>
      <c r="N747" s="17">
        <v>33</v>
      </c>
      <c r="O747" s="15" t="s">
        <v>22</v>
      </c>
    </row>
    <row r="748" spans="1:15" x14ac:dyDescent="0.2">
      <c r="A748" s="17" t="s">
        <v>2903</v>
      </c>
      <c r="B748" s="17" t="s">
        <v>2904</v>
      </c>
      <c r="C748" s="17">
        <v>18</v>
      </c>
      <c r="D748" s="1"/>
      <c r="E748" s="1">
        <v>2150</v>
      </c>
      <c r="F748" s="1">
        <v>2440</v>
      </c>
      <c r="G748" s="1">
        <v>61</v>
      </c>
      <c r="H748" s="1"/>
      <c r="I748" s="1"/>
      <c r="J748" s="1"/>
      <c r="K748" s="1"/>
      <c r="L748" s="17" t="s">
        <v>2905</v>
      </c>
      <c r="M748" s="17" t="s">
        <v>2906</v>
      </c>
      <c r="N748" s="17">
        <v>33</v>
      </c>
      <c r="O748" s="15" t="s">
        <v>22</v>
      </c>
    </row>
    <row r="749" spans="1:15" x14ac:dyDescent="0.2">
      <c r="A749" s="17" t="s">
        <v>2907</v>
      </c>
      <c r="B749" s="17" t="s">
        <v>2908</v>
      </c>
      <c r="C749" s="17">
        <v>15</v>
      </c>
      <c r="D749" s="1"/>
      <c r="E749" s="1">
        <v>2150</v>
      </c>
      <c r="F749" s="1">
        <v>2440</v>
      </c>
      <c r="G749" s="1">
        <v>53</v>
      </c>
      <c r="H749" s="1"/>
      <c r="I749" s="1"/>
      <c r="J749" s="1"/>
      <c r="K749" s="1"/>
      <c r="L749" s="17" t="s">
        <v>2909</v>
      </c>
      <c r="M749" s="17" t="s">
        <v>2910</v>
      </c>
      <c r="N749" s="17">
        <v>22</v>
      </c>
      <c r="O749" s="15" t="s">
        <v>22</v>
      </c>
    </row>
    <row r="750" spans="1:15" x14ac:dyDescent="0.2">
      <c r="A750" s="17" t="s">
        <v>2911</v>
      </c>
      <c r="B750" s="17" t="s">
        <v>2912</v>
      </c>
      <c r="C750" s="17">
        <v>18</v>
      </c>
      <c r="D750" s="1"/>
      <c r="E750" s="1">
        <v>2150</v>
      </c>
      <c r="F750" s="1">
        <v>2440</v>
      </c>
      <c r="G750" s="1">
        <v>61</v>
      </c>
      <c r="H750" s="1"/>
      <c r="I750" s="1"/>
      <c r="J750" s="1"/>
      <c r="K750" s="1"/>
      <c r="L750" s="17" t="s">
        <v>2913</v>
      </c>
      <c r="M750" s="17" t="s">
        <v>2914</v>
      </c>
      <c r="N750" s="17">
        <v>41</v>
      </c>
      <c r="O750" s="15" t="s">
        <v>31</v>
      </c>
    </row>
    <row r="751" spans="1:15" x14ac:dyDescent="0.2">
      <c r="A751" s="17" t="s">
        <v>2915</v>
      </c>
      <c r="B751" s="17" t="s">
        <v>2916</v>
      </c>
      <c r="C751" s="17">
        <v>15</v>
      </c>
      <c r="D751" s="1"/>
      <c r="E751" s="1">
        <v>2150</v>
      </c>
      <c r="F751" s="1">
        <v>2440</v>
      </c>
      <c r="G751" s="1">
        <v>53</v>
      </c>
      <c r="H751" s="1"/>
      <c r="I751" s="1"/>
      <c r="J751" s="1"/>
      <c r="K751" s="1"/>
      <c r="L751" s="17" t="s">
        <v>2917</v>
      </c>
      <c r="M751" s="17" t="s">
        <v>2918</v>
      </c>
      <c r="N751" s="17">
        <v>33</v>
      </c>
      <c r="O751" s="15" t="s">
        <v>22</v>
      </c>
    </row>
    <row r="752" spans="1:15" x14ac:dyDescent="0.2">
      <c r="A752" s="17" t="s">
        <v>2919</v>
      </c>
      <c r="B752" s="17" t="s">
        <v>2920</v>
      </c>
      <c r="C752" s="17">
        <v>18</v>
      </c>
      <c r="D752" s="1"/>
      <c r="E752" s="1">
        <v>2150</v>
      </c>
      <c r="F752" s="1">
        <v>2440</v>
      </c>
      <c r="G752" s="1">
        <v>61</v>
      </c>
      <c r="H752" s="1"/>
      <c r="I752" s="1"/>
      <c r="J752" s="1"/>
      <c r="K752" s="1"/>
      <c r="L752" s="17" t="s">
        <v>2921</v>
      </c>
      <c r="M752" s="17" t="s">
        <v>2922</v>
      </c>
      <c r="N752" s="17">
        <v>22</v>
      </c>
      <c r="O752" s="15" t="s">
        <v>31</v>
      </c>
    </row>
    <row r="753" spans="1:15" x14ac:dyDescent="0.2">
      <c r="A753" s="17" t="s">
        <v>2923</v>
      </c>
      <c r="B753" s="17" t="s">
        <v>2924</v>
      </c>
      <c r="C753" s="17">
        <v>6</v>
      </c>
      <c r="D753" s="1"/>
      <c r="E753" s="1">
        <v>2150</v>
      </c>
      <c r="F753" s="1">
        <v>2440</v>
      </c>
      <c r="G753" s="1">
        <v>23</v>
      </c>
      <c r="H753" s="1"/>
      <c r="I753" s="1"/>
      <c r="J753" s="1"/>
      <c r="K753" s="1"/>
      <c r="L753" s="17" t="s">
        <v>2925</v>
      </c>
      <c r="M753" s="17" t="s">
        <v>2926</v>
      </c>
      <c r="N753" s="17">
        <v>22</v>
      </c>
      <c r="O753" s="15" t="s">
        <v>31</v>
      </c>
    </row>
    <row r="754" spans="1:15" x14ac:dyDescent="0.2">
      <c r="A754" s="17" t="s">
        <v>2927</v>
      </c>
      <c r="B754" s="17" t="s">
        <v>2928</v>
      </c>
      <c r="C754" s="17">
        <v>15</v>
      </c>
      <c r="D754" s="1"/>
      <c r="E754" s="1">
        <v>2150</v>
      </c>
      <c r="F754" s="1">
        <v>2440</v>
      </c>
      <c r="G754" s="1">
        <v>53</v>
      </c>
      <c r="H754" s="1"/>
      <c r="I754" s="1"/>
      <c r="J754" s="1"/>
      <c r="K754" s="1"/>
      <c r="L754" s="17" t="s">
        <v>2929</v>
      </c>
      <c r="M754" s="17" t="s">
        <v>2930</v>
      </c>
      <c r="N754" s="17">
        <v>41</v>
      </c>
      <c r="O754" s="15" t="s">
        <v>31</v>
      </c>
    </row>
    <row r="755" spans="1:15" x14ac:dyDescent="0.2">
      <c r="A755" s="17" t="s">
        <v>2931</v>
      </c>
      <c r="B755" s="17" t="s">
        <v>2932</v>
      </c>
      <c r="C755" s="17">
        <v>15</v>
      </c>
      <c r="D755" s="1"/>
      <c r="E755" s="1">
        <v>2150</v>
      </c>
      <c r="F755" s="1">
        <v>2440</v>
      </c>
      <c r="G755" s="1">
        <v>53</v>
      </c>
      <c r="H755" s="1"/>
      <c r="I755" s="1"/>
      <c r="J755" s="1"/>
      <c r="K755" s="1"/>
      <c r="L755" s="17" t="s">
        <v>2933</v>
      </c>
      <c r="M755" s="17" t="s">
        <v>2934</v>
      </c>
      <c r="N755" s="17">
        <v>19</v>
      </c>
      <c r="O755" s="15" t="s">
        <v>31</v>
      </c>
    </row>
    <row r="756" spans="1:15" x14ac:dyDescent="0.2">
      <c r="A756" s="17" t="s">
        <v>2935</v>
      </c>
      <c r="B756" s="17" t="s">
        <v>2936</v>
      </c>
      <c r="C756" s="17">
        <v>18</v>
      </c>
      <c r="D756" s="1"/>
      <c r="E756" s="1">
        <v>2150</v>
      </c>
      <c r="F756" s="1">
        <v>2440</v>
      </c>
      <c r="G756" s="1">
        <v>61</v>
      </c>
      <c r="H756" s="1"/>
      <c r="I756" s="1"/>
      <c r="J756" s="1"/>
      <c r="K756" s="1"/>
      <c r="L756" s="17" t="s">
        <v>2937</v>
      </c>
      <c r="M756" s="17" t="s">
        <v>2938</v>
      </c>
      <c r="N756" s="17">
        <v>22</v>
      </c>
      <c r="O756" s="15" t="s">
        <v>22</v>
      </c>
    </row>
    <row r="757" spans="1:15" x14ac:dyDescent="0.2">
      <c r="A757" s="17" t="s">
        <v>2939</v>
      </c>
      <c r="B757" s="17" t="s">
        <v>2940</v>
      </c>
      <c r="C757" s="17">
        <v>6</v>
      </c>
      <c r="D757" s="1"/>
      <c r="E757" s="1">
        <v>2150</v>
      </c>
      <c r="F757" s="1">
        <v>2440</v>
      </c>
      <c r="G757" s="1">
        <v>23</v>
      </c>
      <c r="H757" s="1"/>
      <c r="I757" s="1"/>
      <c r="J757" s="1"/>
      <c r="K757" s="1"/>
      <c r="L757" s="17" t="s">
        <v>2941</v>
      </c>
      <c r="M757" s="17" t="s">
        <v>2942</v>
      </c>
      <c r="N757" s="17">
        <v>36</v>
      </c>
      <c r="O757" s="2" t="s">
        <v>36</v>
      </c>
    </row>
    <row r="758" spans="1:15" x14ac:dyDescent="0.2">
      <c r="A758" s="17" t="s">
        <v>2943</v>
      </c>
      <c r="B758" s="17" t="s">
        <v>2944</v>
      </c>
      <c r="C758" s="17">
        <v>15</v>
      </c>
      <c r="D758" s="1"/>
      <c r="E758" s="1">
        <v>2150</v>
      </c>
      <c r="F758" s="1">
        <v>2440</v>
      </c>
      <c r="G758" s="1">
        <v>53</v>
      </c>
      <c r="H758" s="1"/>
      <c r="I758" s="1"/>
      <c r="J758" s="1"/>
      <c r="K758" s="1"/>
      <c r="L758" s="17" t="s">
        <v>2945</v>
      </c>
      <c r="M758" s="17" t="s">
        <v>2946</v>
      </c>
      <c r="N758" s="17">
        <v>41</v>
      </c>
      <c r="O758" s="15" t="s">
        <v>31</v>
      </c>
    </row>
    <row r="759" spans="1:15" x14ac:dyDescent="0.2">
      <c r="A759" s="17" t="s">
        <v>2947</v>
      </c>
      <c r="B759" s="17" t="s">
        <v>2948</v>
      </c>
      <c r="C759" s="17">
        <v>18</v>
      </c>
      <c r="D759" s="1"/>
      <c r="E759" s="1">
        <v>2150</v>
      </c>
      <c r="F759" s="1">
        <v>2440</v>
      </c>
      <c r="G759" s="1">
        <v>61</v>
      </c>
      <c r="H759" s="1"/>
      <c r="I759" s="1"/>
      <c r="J759" s="1"/>
      <c r="K759" s="1"/>
      <c r="L759" s="17" t="s">
        <v>2949</v>
      </c>
      <c r="M759" s="17" t="s">
        <v>2950</v>
      </c>
      <c r="N759" s="17">
        <v>33</v>
      </c>
      <c r="O759" s="15" t="s">
        <v>31</v>
      </c>
    </row>
    <row r="760" spans="1:15" x14ac:dyDescent="0.2">
      <c r="A760" s="17" t="s">
        <v>2951</v>
      </c>
      <c r="B760" s="17" t="s">
        <v>2952</v>
      </c>
      <c r="C760" s="17">
        <v>9</v>
      </c>
      <c r="D760" s="1"/>
      <c r="E760" s="1">
        <v>2150</v>
      </c>
      <c r="F760" s="1">
        <v>2440</v>
      </c>
      <c r="G760" s="1">
        <v>33</v>
      </c>
      <c r="H760" s="1"/>
      <c r="I760" s="1"/>
      <c r="J760" s="1"/>
      <c r="K760" s="1"/>
      <c r="L760" s="17" t="s">
        <v>2953</v>
      </c>
      <c r="M760" s="17" t="s">
        <v>2954</v>
      </c>
      <c r="N760" s="17">
        <v>33</v>
      </c>
      <c r="O760" s="15" t="s">
        <v>22</v>
      </c>
    </row>
    <row r="761" spans="1:15" x14ac:dyDescent="0.2">
      <c r="A761" s="17" t="s">
        <v>2955</v>
      </c>
      <c r="B761" s="17" t="s">
        <v>2956</v>
      </c>
      <c r="C761" s="17">
        <v>6</v>
      </c>
      <c r="D761" s="1"/>
      <c r="E761" s="1">
        <v>2150</v>
      </c>
      <c r="F761" s="1">
        <v>2440</v>
      </c>
      <c r="G761" s="1">
        <v>23</v>
      </c>
      <c r="H761" s="1"/>
      <c r="I761" s="1"/>
      <c r="J761" s="1"/>
      <c r="K761" s="1"/>
      <c r="L761" s="17" t="s">
        <v>2957</v>
      </c>
      <c r="M761" s="17" t="s">
        <v>2958</v>
      </c>
      <c r="N761" s="17">
        <v>15</v>
      </c>
      <c r="O761" s="2" t="s">
        <v>36</v>
      </c>
    </row>
    <row r="762" spans="1:15" x14ac:dyDescent="0.2">
      <c r="A762" s="17" t="s">
        <v>2959</v>
      </c>
      <c r="B762" s="17" t="s">
        <v>2960</v>
      </c>
      <c r="C762" s="17">
        <v>15</v>
      </c>
      <c r="D762" s="1"/>
      <c r="E762" s="1">
        <v>2150</v>
      </c>
      <c r="F762" s="1">
        <v>2440</v>
      </c>
      <c r="G762" s="1">
        <v>53</v>
      </c>
      <c r="H762" s="1"/>
      <c r="I762" s="1"/>
      <c r="J762" s="1"/>
      <c r="K762" s="1"/>
      <c r="L762" s="17" t="s">
        <v>2961</v>
      </c>
      <c r="M762" s="17" t="s">
        <v>2962</v>
      </c>
      <c r="N762" s="17">
        <v>19</v>
      </c>
      <c r="O762" s="15" t="s">
        <v>22</v>
      </c>
    </row>
    <row r="763" spans="1:15" x14ac:dyDescent="0.2">
      <c r="A763" s="17" t="s">
        <v>2963</v>
      </c>
      <c r="B763" s="17" t="s">
        <v>2964</v>
      </c>
      <c r="C763" s="17">
        <v>18</v>
      </c>
      <c r="D763" s="1"/>
      <c r="E763" s="1">
        <v>2150</v>
      </c>
      <c r="F763" s="1">
        <v>2440</v>
      </c>
      <c r="G763" s="1">
        <v>61</v>
      </c>
      <c r="H763" s="1"/>
      <c r="I763" s="1"/>
      <c r="J763" s="1"/>
      <c r="K763" s="1"/>
      <c r="L763" s="17" t="s">
        <v>2965</v>
      </c>
      <c r="M763" s="17" t="s">
        <v>2966</v>
      </c>
      <c r="N763" s="17">
        <v>22</v>
      </c>
      <c r="O763" s="15" t="s">
        <v>22</v>
      </c>
    </row>
    <row r="764" spans="1:15" x14ac:dyDescent="0.2">
      <c r="A764" s="17" t="s">
        <v>2967</v>
      </c>
      <c r="B764" s="17" t="s">
        <v>2968</v>
      </c>
      <c r="C764" s="17">
        <v>36</v>
      </c>
      <c r="D764" s="1"/>
      <c r="E764" s="1">
        <v>2150</v>
      </c>
      <c r="F764" s="1">
        <v>2440</v>
      </c>
      <c r="G764" s="1">
        <v>117</v>
      </c>
      <c r="H764" s="1"/>
      <c r="I764" s="1"/>
      <c r="J764" s="1"/>
      <c r="K764" s="1"/>
      <c r="L764" s="17" t="s">
        <v>2969</v>
      </c>
      <c r="M764" s="17" t="s">
        <v>2970</v>
      </c>
      <c r="N764" s="17">
        <v>15</v>
      </c>
      <c r="O764" s="2" t="s">
        <v>36</v>
      </c>
    </row>
    <row r="765" spans="1:15" x14ac:dyDescent="0.2">
      <c r="A765" s="17" t="s">
        <v>2971</v>
      </c>
      <c r="B765" s="17" t="s">
        <v>2972</v>
      </c>
      <c r="C765" s="17">
        <v>9</v>
      </c>
      <c r="D765" s="1"/>
      <c r="E765" s="1">
        <v>1220</v>
      </c>
      <c r="F765" s="1">
        <v>2440</v>
      </c>
      <c r="G765" s="1">
        <v>19</v>
      </c>
      <c r="H765" s="1"/>
      <c r="I765" s="1"/>
      <c r="J765" s="1"/>
      <c r="K765" s="1"/>
      <c r="L765" s="17" t="s">
        <v>2973</v>
      </c>
      <c r="M765" s="17" t="s">
        <v>2974</v>
      </c>
      <c r="N765" s="17">
        <v>19</v>
      </c>
      <c r="O765" s="2" t="s">
        <v>36</v>
      </c>
    </row>
    <row r="766" spans="1:15" x14ac:dyDescent="0.2">
      <c r="A766" s="17" t="s">
        <v>2975</v>
      </c>
      <c r="B766" s="17" t="s">
        <v>2976</v>
      </c>
      <c r="C766" s="17">
        <v>4</v>
      </c>
      <c r="D766" s="1"/>
      <c r="E766" s="1">
        <v>1830</v>
      </c>
      <c r="F766" s="1">
        <v>2440</v>
      </c>
      <c r="G766" s="1">
        <v>14</v>
      </c>
      <c r="H766" s="1"/>
      <c r="I766" s="1"/>
      <c r="J766" s="1"/>
      <c r="K766" s="1"/>
      <c r="L766" s="17" t="s">
        <v>2977</v>
      </c>
      <c r="M766" s="17" t="s">
        <v>2978</v>
      </c>
      <c r="N766" s="17">
        <v>33</v>
      </c>
      <c r="O766" s="15" t="s">
        <v>31</v>
      </c>
    </row>
    <row r="767" spans="1:15" x14ac:dyDescent="0.2">
      <c r="A767" s="17" t="s">
        <v>2979</v>
      </c>
      <c r="B767" s="17" t="s">
        <v>2980</v>
      </c>
      <c r="C767" s="17">
        <v>36</v>
      </c>
      <c r="D767" s="1"/>
      <c r="E767" s="1">
        <v>2150</v>
      </c>
      <c r="F767" s="1">
        <v>2440</v>
      </c>
      <c r="G767" s="1">
        <v>117</v>
      </c>
      <c r="H767" s="1"/>
      <c r="I767" s="1"/>
      <c r="J767" s="1"/>
      <c r="K767" s="1"/>
      <c r="L767" s="17" t="s">
        <v>2981</v>
      </c>
      <c r="M767" s="17" t="s">
        <v>478</v>
      </c>
      <c r="N767" s="17">
        <v>22</v>
      </c>
      <c r="O767" s="15" t="s">
        <v>31</v>
      </c>
    </row>
    <row r="768" spans="1:15" x14ac:dyDescent="0.2">
      <c r="A768" s="17" t="s">
        <v>2982</v>
      </c>
      <c r="B768" s="17" t="s">
        <v>2983</v>
      </c>
      <c r="C768" s="17">
        <v>36</v>
      </c>
      <c r="D768" s="1"/>
      <c r="E768" s="1">
        <v>2150</v>
      </c>
      <c r="F768" s="1">
        <v>2440</v>
      </c>
      <c r="G768" s="1">
        <v>117</v>
      </c>
      <c r="H768" s="1"/>
      <c r="I768" s="1"/>
      <c r="J768" s="1"/>
      <c r="K768" s="1"/>
      <c r="L768" s="17" t="s">
        <v>2984</v>
      </c>
      <c r="M768" s="17" t="s">
        <v>2985</v>
      </c>
      <c r="N768" s="17">
        <v>41</v>
      </c>
      <c r="O768" s="15" t="s">
        <v>22</v>
      </c>
    </row>
    <row r="769" spans="1:15" x14ac:dyDescent="0.2">
      <c r="A769" s="17" t="s">
        <v>2986</v>
      </c>
      <c r="B769" s="17" t="s">
        <v>2987</v>
      </c>
      <c r="C769" s="17">
        <v>15</v>
      </c>
      <c r="D769" s="1"/>
      <c r="E769" s="1">
        <v>2150</v>
      </c>
      <c r="F769" s="1">
        <v>2440</v>
      </c>
      <c r="G769" s="1">
        <v>53</v>
      </c>
      <c r="H769" s="1"/>
      <c r="I769" s="1"/>
      <c r="J769" s="1"/>
      <c r="K769" s="1"/>
      <c r="L769" s="17" t="s">
        <v>2988</v>
      </c>
      <c r="M769" s="17" t="s">
        <v>2989</v>
      </c>
      <c r="N769" s="17">
        <v>33</v>
      </c>
      <c r="O769" s="15" t="s">
        <v>22</v>
      </c>
    </row>
    <row r="770" spans="1:15" x14ac:dyDescent="0.2">
      <c r="A770" s="17" t="s">
        <v>2990</v>
      </c>
      <c r="B770" s="17" t="s">
        <v>2991</v>
      </c>
      <c r="C770" s="17">
        <v>15</v>
      </c>
      <c r="D770" s="1"/>
      <c r="E770" s="1">
        <v>2150</v>
      </c>
      <c r="F770" s="1">
        <v>2440</v>
      </c>
      <c r="G770" s="1">
        <v>53</v>
      </c>
      <c r="H770" s="1"/>
      <c r="I770" s="1"/>
      <c r="J770" s="1"/>
      <c r="K770" s="1"/>
      <c r="L770" s="17" t="s">
        <v>2992</v>
      </c>
      <c r="M770" s="17" t="s">
        <v>2993</v>
      </c>
      <c r="N770" s="17">
        <v>19</v>
      </c>
      <c r="O770" s="15" t="s">
        <v>31</v>
      </c>
    </row>
    <row r="771" spans="1:15" x14ac:dyDescent="0.2">
      <c r="A771" s="17" t="s">
        <v>2994</v>
      </c>
      <c r="B771" s="17" t="s">
        <v>2995</v>
      </c>
      <c r="C771" s="17">
        <v>6</v>
      </c>
      <c r="D771" s="1"/>
      <c r="E771" s="1">
        <v>2150</v>
      </c>
      <c r="F771" s="1">
        <v>2440</v>
      </c>
      <c r="G771" s="1">
        <v>23</v>
      </c>
      <c r="H771" s="1"/>
      <c r="I771" s="1"/>
      <c r="J771" s="1"/>
      <c r="K771" s="1"/>
      <c r="L771" s="17" t="s">
        <v>2996</v>
      </c>
      <c r="M771" s="17" t="s">
        <v>2997</v>
      </c>
      <c r="N771" s="17">
        <v>19</v>
      </c>
      <c r="O771" s="15" t="s">
        <v>22</v>
      </c>
    </row>
    <row r="772" spans="1:15" x14ac:dyDescent="0.2">
      <c r="A772" s="17" t="s">
        <v>2998</v>
      </c>
      <c r="B772" s="17" t="s">
        <v>2999</v>
      </c>
      <c r="C772" s="17">
        <v>15</v>
      </c>
      <c r="D772" s="1"/>
      <c r="E772" s="1">
        <v>2150</v>
      </c>
      <c r="F772" s="1">
        <v>2440</v>
      </c>
      <c r="G772" s="1">
        <v>53</v>
      </c>
      <c r="H772" s="1"/>
      <c r="I772" s="1"/>
      <c r="J772" s="1"/>
      <c r="K772" s="1"/>
      <c r="L772" s="17" t="s">
        <v>3000</v>
      </c>
      <c r="M772" s="17" t="s">
        <v>3001</v>
      </c>
      <c r="N772" s="17">
        <v>33</v>
      </c>
      <c r="O772" s="15" t="s">
        <v>22</v>
      </c>
    </row>
    <row r="773" spans="1:15" x14ac:dyDescent="0.2">
      <c r="A773" s="17" t="s">
        <v>3002</v>
      </c>
      <c r="B773" s="17" t="s">
        <v>3003</v>
      </c>
      <c r="C773" s="17">
        <v>6</v>
      </c>
      <c r="D773" s="1"/>
      <c r="E773" s="1">
        <v>2150</v>
      </c>
      <c r="F773" s="1">
        <v>2440</v>
      </c>
      <c r="G773" s="1">
        <v>23</v>
      </c>
      <c r="H773" s="1"/>
      <c r="I773" s="1"/>
      <c r="J773" s="1"/>
      <c r="K773" s="1"/>
      <c r="L773" s="17" t="s">
        <v>3004</v>
      </c>
      <c r="M773" s="17" t="s">
        <v>3005</v>
      </c>
      <c r="N773" s="17">
        <v>33</v>
      </c>
      <c r="O773" s="15" t="s">
        <v>31</v>
      </c>
    </row>
    <row r="774" spans="1:15" x14ac:dyDescent="0.2">
      <c r="A774" s="17" t="s">
        <v>3006</v>
      </c>
      <c r="B774" s="17" t="s">
        <v>3007</v>
      </c>
      <c r="C774" s="17">
        <v>15</v>
      </c>
      <c r="D774" s="1"/>
      <c r="E774" s="1">
        <v>2150</v>
      </c>
      <c r="F774" s="1">
        <v>2440</v>
      </c>
      <c r="G774" s="1">
        <v>53</v>
      </c>
      <c r="H774" s="1"/>
      <c r="I774" s="1"/>
      <c r="J774" s="1"/>
      <c r="K774" s="1"/>
      <c r="L774" s="17" t="s">
        <v>3008</v>
      </c>
      <c r="M774" s="17" t="s">
        <v>3009</v>
      </c>
      <c r="N774" s="17">
        <v>22</v>
      </c>
      <c r="O774" s="2" t="s">
        <v>22</v>
      </c>
    </row>
    <row r="775" spans="1:15" x14ac:dyDescent="0.2">
      <c r="A775" s="17" t="s">
        <v>3010</v>
      </c>
      <c r="B775" s="17" t="s">
        <v>3011</v>
      </c>
      <c r="C775" s="17">
        <v>18</v>
      </c>
      <c r="D775" s="1"/>
      <c r="E775" s="1">
        <v>2150</v>
      </c>
      <c r="F775" s="1">
        <v>2440</v>
      </c>
      <c r="G775" s="1">
        <v>61</v>
      </c>
      <c r="H775" s="1"/>
      <c r="I775" s="1"/>
      <c r="J775" s="1"/>
      <c r="K775" s="1"/>
      <c r="L775" s="17" t="s">
        <v>3012</v>
      </c>
      <c r="M775" s="17" t="s">
        <v>3013</v>
      </c>
      <c r="N775" s="17">
        <v>33</v>
      </c>
      <c r="O775" s="2" t="s">
        <v>31</v>
      </c>
    </row>
    <row r="776" spans="1:15" x14ac:dyDescent="0.2">
      <c r="A776" s="17" t="s">
        <v>3014</v>
      </c>
      <c r="B776" s="17" t="s">
        <v>3015</v>
      </c>
      <c r="C776" s="17">
        <v>15</v>
      </c>
      <c r="D776" s="1"/>
      <c r="E776" s="1">
        <v>2150</v>
      </c>
      <c r="F776" s="1">
        <v>2440</v>
      </c>
      <c r="G776" s="1">
        <v>53</v>
      </c>
      <c r="H776" s="1"/>
      <c r="I776" s="1"/>
      <c r="J776" s="1"/>
      <c r="K776" s="1"/>
      <c r="L776" s="17" t="s">
        <v>3016</v>
      </c>
      <c r="M776" s="17" t="s">
        <v>3017</v>
      </c>
      <c r="N776" s="17">
        <v>19</v>
      </c>
      <c r="O776" s="2" t="s">
        <v>31</v>
      </c>
    </row>
    <row r="777" spans="1:15" x14ac:dyDescent="0.2">
      <c r="A777" s="17" t="s">
        <v>3018</v>
      </c>
      <c r="B777" s="17" t="s">
        <v>3019</v>
      </c>
      <c r="C777" s="17">
        <v>18</v>
      </c>
      <c r="D777" s="1"/>
      <c r="E777" s="1">
        <v>2150</v>
      </c>
      <c r="F777" s="1">
        <v>2440</v>
      </c>
      <c r="G777" s="1">
        <v>61</v>
      </c>
      <c r="H777" s="1"/>
      <c r="I777" s="1"/>
      <c r="J777" s="1"/>
      <c r="K777" s="1"/>
      <c r="L777" s="17" t="s">
        <v>2149</v>
      </c>
      <c r="M777" s="17" t="s">
        <v>3020</v>
      </c>
      <c r="N777" s="17">
        <v>22</v>
      </c>
      <c r="O777" s="2" t="s">
        <v>22</v>
      </c>
    </row>
    <row r="778" spans="1:15" x14ac:dyDescent="0.2">
      <c r="A778" s="17" t="s">
        <v>3021</v>
      </c>
      <c r="B778" s="17" t="s">
        <v>3022</v>
      </c>
      <c r="C778" s="17">
        <v>9</v>
      </c>
      <c r="D778" s="1"/>
      <c r="E778" s="1">
        <v>2150</v>
      </c>
      <c r="F778" s="1">
        <v>2440</v>
      </c>
      <c r="G778" s="1">
        <v>33</v>
      </c>
      <c r="H778" s="1"/>
      <c r="I778" s="1"/>
      <c r="J778" s="1"/>
      <c r="K778" s="1"/>
      <c r="L778" s="17" t="s">
        <v>1345</v>
      </c>
      <c r="M778" s="17" t="s">
        <v>3023</v>
      </c>
      <c r="N778" s="17">
        <v>19</v>
      </c>
      <c r="O778" s="2" t="s">
        <v>31</v>
      </c>
    </row>
    <row r="779" spans="1:15" x14ac:dyDescent="0.2">
      <c r="A779" s="17" t="s">
        <v>3024</v>
      </c>
      <c r="B779" s="17" t="s">
        <v>3025</v>
      </c>
      <c r="C779" s="17">
        <v>6</v>
      </c>
      <c r="D779" s="1"/>
      <c r="E779" s="1">
        <v>2150</v>
      </c>
      <c r="F779" s="1">
        <v>2440</v>
      </c>
      <c r="G779" s="1">
        <v>23</v>
      </c>
      <c r="H779" s="1"/>
      <c r="I779" s="1"/>
      <c r="J779" s="1"/>
      <c r="K779" s="1"/>
      <c r="L779" s="17" t="s">
        <v>1490</v>
      </c>
      <c r="M779" s="17" t="s">
        <v>3026</v>
      </c>
      <c r="N779" s="17">
        <v>22</v>
      </c>
      <c r="O779" s="2" t="s">
        <v>31</v>
      </c>
    </row>
    <row r="780" spans="1:15" x14ac:dyDescent="0.2">
      <c r="A780" s="17" t="s">
        <v>3027</v>
      </c>
      <c r="B780" s="17" t="s">
        <v>3028</v>
      </c>
      <c r="C780" s="17">
        <v>15</v>
      </c>
      <c r="D780" s="1"/>
      <c r="E780" s="1">
        <v>2150</v>
      </c>
      <c r="F780" s="1">
        <v>2440</v>
      </c>
      <c r="G780" s="1">
        <v>53</v>
      </c>
      <c r="H780" s="1"/>
      <c r="I780" s="1"/>
      <c r="J780" s="1"/>
      <c r="K780" s="1"/>
      <c r="L780" s="17" t="s">
        <v>3029</v>
      </c>
      <c r="M780" s="17" t="s">
        <v>3030</v>
      </c>
      <c r="N780" s="17">
        <v>33</v>
      </c>
      <c r="O780" s="2" t="s">
        <v>31</v>
      </c>
    </row>
    <row r="781" spans="1:15" x14ac:dyDescent="0.2">
      <c r="A781" s="17" t="s">
        <v>3031</v>
      </c>
      <c r="B781" s="17" t="s">
        <v>3032</v>
      </c>
      <c r="C781" s="17">
        <v>15</v>
      </c>
      <c r="D781" s="1"/>
      <c r="E781" s="1">
        <v>2150</v>
      </c>
      <c r="F781" s="1">
        <v>2440</v>
      </c>
      <c r="G781" s="1">
        <v>53</v>
      </c>
      <c r="H781" s="1"/>
      <c r="I781" s="1"/>
      <c r="J781" s="1"/>
      <c r="K781" s="1"/>
      <c r="L781" s="17" t="s">
        <v>3033</v>
      </c>
      <c r="M781" s="17" t="s">
        <v>3034</v>
      </c>
      <c r="N781" s="27">
        <v>22</v>
      </c>
      <c r="O781" s="2" t="s">
        <v>22</v>
      </c>
    </row>
    <row r="782" spans="1:15" x14ac:dyDescent="0.2">
      <c r="A782" s="17" t="s">
        <v>3035</v>
      </c>
      <c r="B782" s="17" t="s">
        <v>3036</v>
      </c>
      <c r="C782" s="17">
        <v>15</v>
      </c>
      <c r="D782" s="1"/>
      <c r="E782" s="1">
        <v>2150</v>
      </c>
      <c r="F782" s="1">
        <v>2440</v>
      </c>
      <c r="G782" s="1">
        <v>53</v>
      </c>
      <c r="H782" s="1"/>
      <c r="I782" s="1"/>
      <c r="J782" s="1"/>
      <c r="K782" s="1"/>
      <c r="L782" s="17" t="s">
        <v>3012</v>
      </c>
      <c r="M782" s="17" t="s">
        <v>3013</v>
      </c>
      <c r="N782" s="27">
        <v>33</v>
      </c>
      <c r="O782" s="2" t="s">
        <v>31</v>
      </c>
    </row>
    <row r="783" spans="1:15" x14ac:dyDescent="0.2">
      <c r="A783" s="17" t="s">
        <v>3037</v>
      </c>
      <c r="B783" s="17" t="s">
        <v>3038</v>
      </c>
      <c r="C783" s="17">
        <v>18</v>
      </c>
      <c r="D783" s="1"/>
      <c r="E783" s="1">
        <v>1220</v>
      </c>
      <c r="F783" s="1">
        <v>2440</v>
      </c>
      <c r="G783" s="1">
        <v>35</v>
      </c>
      <c r="H783" s="1"/>
      <c r="I783" s="1"/>
      <c r="J783" s="1"/>
      <c r="K783" s="1"/>
      <c r="L783" s="17" t="s">
        <v>3039</v>
      </c>
      <c r="M783" s="17" t="s">
        <v>3040</v>
      </c>
      <c r="N783" s="27">
        <v>33</v>
      </c>
      <c r="O783" s="2" t="s">
        <v>22</v>
      </c>
    </row>
    <row r="784" spans="1:15" x14ac:dyDescent="0.2">
      <c r="A784" s="17" t="s">
        <v>3041</v>
      </c>
      <c r="B784" s="17" t="s">
        <v>3042</v>
      </c>
      <c r="C784" s="17"/>
      <c r="D784" s="1"/>
      <c r="E784" s="1">
        <v>2150</v>
      </c>
      <c r="F784" s="1">
        <v>2440</v>
      </c>
      <c r="G784" s="1">
        <v>117</v>
      </c>
      <c r="H784" s="1"/>
      <c r="I784" s="1"/>
      <c r="J784" s="1"/>
      <c r="K784" s="1"/>
      <c r="L784" s="17" t="s">
        <v>3043</v>
      </c>
      <c r="M784" s="17" t="s">
        <v>3044</v>
      </c>
      <c r="N784" s="27">
        <v>41</v>
      </c>
      <c r="O784" s="2" t="s">
        <v>31</v>
      </c>
    </row>
    <row r="785" spans="1:15" x14ac:dyDescent="0.2">
      <c r="A785" s="17" t="s">
        <v>3045</v>
      </c>
      <c r="B785" s="17" t="s">
        <v>3046</v>
      </c>
      <c r="C785" s="17">
        <v>2.7</v>
      </c>
      <c r="D785" s="1"/>
      <c r="E785" s="1">
        <v>1220</v>
      </c>
      <c r="F785" s="1">
        <v>2440</v>
      </c>
      <c r="G785" s="1">
        <v>9</v>
      </c>
      <c r="H785" s="1"/>
      <c r="I785" s="1"/>
      <c r="J785" s="1"/>
      <c r="K785" s="1"/>
      <c r="L785" s="17" t="s">
        <v>3047</v>
      </c>
      <c r="M785" s="17" t="s">
        <v>3048</v>
      </c>
      <c r="N785" s="27">
        <v>19</v>
      </c>
      <c r="O785" s="2" t="s">
        <v>31</v>
      </c>
    </row>
    <row r="786" spans="1:15" x14ac:dyDescent="0.2">
      <c r="A786" s="17" t="s">
        <v>3049</v>
      </c>
      <c r="B786" s="17" t="s">
        <v>3050</v>
      </c>
      <c r="C786" s="17">
        <v>6</v>
      </c>
      <c r="D786" s="1"/>
      <c r="E786" s="1">
        <v>2150</v>
      </c>
      <c r="F786" s="1">
        <v>2440</v>
      </c>
      <c r="G786" s="1">
        <v>23</v>
      </c>
      <c r="H786" s="1"/>
      <c r="I786" s="1"/>
      <c r="J786" s="1"/>
      <c r="K786" s="1"/>
      <c r="L786" s="17" t="s">
        <v>3016</v>
      </c>
      <c r="M786" s="17" t="s">
        <v>3051</v>
      </c>
      <c r="N786" s="27">
        <v>19</v>
      </c>
      <c r="O786" s="2" t="s">
        <v>31</v>
      </c>
    </row>
    <row r="787" spans="1:15" x14ac:dyDescent="0.2">
      <c r="A787" s="17" t="s">
        <v>3052</v>
      </c>
      <c r="B787" s="17" t="s">
        <v>3053</v>
      </c>
      <c r="C787" s="17">
        <v>15</v>
      </c>
      <c r="D787" s="1"/>
      <c r="E787" s="1">
        <v>2150</v>
      </c>
      <c r="F787" s="1">
        <v>2440</v>
      </c>
      <c r="G787" s="1">
        <v>53</v>
      </c>
      <c r="H787" s="1"/>
      <c r="I787" s="1"/>
      <c r="J787" s="1"/>
      <c r="K787" s="1"/>
      <c r="L787" s="17" t="s">
        <v>3054</v>
      </c>
      <c r="M787" s="17" t="s">
        <v>3055</v>
      </c>
      <c r="N787" s="27">
        <v>19</v>
      </c>
      <c r="O787" s="2" t="s">
        <v>22</v>
      </c>
    </row>
    <row r="788" spans="1:15" x14ac:dyDescent="0.2">
      <c r="A788" s="17" t="s">
        <v>3056</v>
      </c>
      <c r="B788" s="17" t="s">
        <v>3057</v>
      </c>
      <c r="C788" s="17">
        <v>18</v>
      </c>
      <c r="D788" s="1"/>
      <c r="E788" s="1">
        <v>2150</v>
      </c>
      <c r="F788" s="1">
        <v>2440</v>
      </c>
      <c r="G788" s="1">
        <v>61</v>
      </c>
      <c r="H788" s="1"/>
      <c r="I788" s="1"/>
      <c r="J788" s="1"/>
      <c r="K788" s="1"/>
      <c r="L788" s="17" t="s">
        <v>3058</v>
      </c>
      <c r="M788" s="17" t="s">
        <v>3059</v>
      </c>
      <c r="N788" s="27">
        <v>33</v>
      </c>
      <c r="O788" s="2" t="s">
        <v>31</v>
      </c>
    </row>
    <row r="789" spans="1:15" x14ac:dyDescent="0.2">
      <c r="A789" s="17" t="s">
        <v>3060</v>
      </c>
      <c r="B789" s="17" t="s">
        <v>3061</v>
      </c>
      <c r="C789" s="17">
        <v>36</v>
      </c>
      <c r="D789" s="1"/>
      <c r="E789" s="1">
        <v>2150</v>
      </c>
      <c r="F789" s="1">
        <v>2440</v>
      </c>
      <c r="G789" s="1">
        <v>117</v>
      </c>
      <c r="H789" s="1"/>
      <c r="I789" s="1"/>
      <c r="J789" s="1"/>
      <c r="K789" s="1"/>
      <c r="L789" s="17" t="s">
        <v>3062</v>
      </c>
      <c r="M789" s="17" t="s">
        <v>3063</v>
      </c>
      <c r="N789" s="27">
        <v>33</v>
      </c>
      <c r="O789" s="2"/>
    </row>
    <row r="790" spans="1:15" x14ac:dyDescent="0.2">
      <c r="A790" s="17" t="s">
        <v>3064</v>
      </c>
      <c r="B790" s="17" t="s">
        <v>3065</v>
      </c>
      <c r="C790" s="17">
        <v>15</v>
      </c>
      <c r="D790" s="1"/>
      <c r="E790" s="1">
        <v>2150</v>
      </c>
      <c r="F790" s="1">
        <v>2440</v>
      </c>
      <c r="G790" s="1">
        <v>53</v>
      </c>
      <c r="H790" s="1"/>
      <c r="I790" s="1"/>
      <c r="J790" s="1"/>
      <c r="K790" s="1"/>
      <c r="L790" s="17" t="s">
        <v>3066</v>
      </c>
      <c r="M790" s="17" t="s">
        <v>3067</v>
      </c>
      <c r="N790" s="27">
        <v>19</v>
      </c>
      <c r="O790" s="2"/>
    </row>
    <row r="791" spans="1:15" x14ac:dyDescent="0.2">
      <c r="A791" s="17" t="s">
        <v>3068</v>
      </c>
      <c r="B791" s="17" t="s">
        <v>3069</v>
      </c>
      <c r="C791" s="17">
        <v>18</v>
      </c>
      <c r="D791" s="1"/>
      <c r="E791" s="1">
        <v>2150</v>
      </c>
      <c r="F791" s="1">
        <v>2440</v>
      </c>
      <c r="G791" s="1">
        <v>61</v>
      </c>
      <c r="H791" s="1"/>
      <c r="I791" s="1"/>
      <c r="J791" s="1"/>
      <c r="K791" s="1"/>
      <c r="L791" s="17" t="s">
        <v>3070</v>
      </c>
      <c r="M791" s="17" t="s">
        <v>3071</v>
      </c>
      <c r="N791" s="27">
        <v>19</v>
      </c>
      <c r="O791" s="2"/>
    </row>
    <row r="792" spans="1:15" x14ac:dyDescent="0.2">
      <c r="A792" s="17" t="s">
        <v>3072</v>
      </c>
      <c r="B792" s="17" t="s">
        <v>3073</v>
      </c>
      <c r="C792" s="17">
        <v>15</v>
      </c>
      <c r="D792" s="1"/>
      <c r="E792" s="1">
        <v>2150</v>
      </c>
      <c r="F792" s="1">
        <v>2440</v>
      </c>
      <c r="G792" s="1">
        <v>53</v>
      </c>
      <c r="H792" s="1"/>
      <c r="I792" s="1"/>
      <c r="J792" s="1"/>
      <c r="K792" s="1"/>
      <c r="L792" s="17" t="s">
        <v>3074</v>
      </c>
      <c r="M792" s="17" t="s">
        <v>3075</v>
      </c>
      <c r="N792" s="27">
        <v>22</v>
      </c>
      <c r="O792" s="2"/>
    </row>
    <row r="793" spans="1:15" x14ac:dyDescent="0.2">
      <c r="A793" s="17" t="s">
        <v>3076</v>
      </c>
      <c r="B793" s="17" t="s">
        <v>3077</v>
      </c>
      <c r="C793" s="17">
        <v>6</v>
      </c>
      <c r="D793" s="1"/>
      <c r="E793" s="1">
        <v>2150</v>
      </c>
      <c r="F793" s="1">
        <v>2440</v>
      </c>
      <c r="G793" s="1">
        <v>23</v>
      </c>
      <c r="H793" s="1"/>
      <c r="I793" s="1"/>
      <c r="J793" s="1"/>
      <c r="K793" s="1"/>
      <c r="L793" s="17" t="s">
        <v>3078</v>
      </c>
      <c r="M793" s="17" t="s">
        <v>2660</v>
      </c>
      <c r="N793" s="27">
        <v>33</v>
      </c>
      <c r="O793" s="2"/>
    </row>
    <row r="794" spans="1:15" x14ac:dyDescent="0.2">
      <c r="A794" s="17" t="s">
        <v>3079</v>
      </c>
      <c r="B794" s="17" t="s">
        <v>3080</v>
      </c>
      <c r="C794" s="17">
        <v>15</v>
      </c>
      <c r="D794" s="1"/>
      <c r="E794" s="1">
        <v>2150</v>
      </c>
      <c r="F794" s="1">
        <v>2440</v>
      </c>
      <c r="G794" s="1">
        <v>53</v>
      </c>
      <c r="H794" s="1"/>
      <c r="I794" s="1"/>
      <c r="J794" s="1"/>
      <c r="K794" s="1"/>
      <c r="L794" s="17" t="s">
        <v>3081</v>
      </c>
      <c r="M794" s="17" t="s">
        <v>3082</v>
      </c>
      <c r="N794" s="27">
        <v>19</v>
      </c>
      <c r="O794" s="2"/>
    </row>
    <row r="795" spans="1:15" x14ac:dyDescent="0.2">
      <c r="A795" s="17" t="s">
        <v>3083</v>
      </c>
      <c r="B795" s="17" t="s">
        <v>3084</v>
      </c>
      <c r="C795" s="17">
        <v>18</v>
      </c>
      <c r="D795" s="1"/>
      <c r="E795" s="1">
        <v>2150</v>
      </c>
      <c r="F795" s="1">
        <v>2440</v>
      </c>
      <c r="G795" s="1">
        <v>61</v>
      </c>
      <c r="H795" s="1"/>
      <c r="I795" s="1"/>
      <c r="J795" s="1"/>
      <c r="K795" s="1"/>
      <c r="L795" s="17" t="s">
        <v>3085</v>
      </c>
      <c r="M795" s="17" t="s">
        <v>3086</v>
      </c>
      <c r="N795" s="27">
        <v>22</v>
      </c>
      <c r="O795" s="2"/>
    </row>
    <row r="796" spans="1:15" x14ac:dyDescent="0.2">
      <c r="A796" s="17" t="s">
        <v>3087</v>
      </c>
      <c r="B796" s="17" t="s">
        <v>3088</v>
      </c>
      <c r="C796" s="17">
        <v>15</v>
      </c>
      <c r="D796" s="1"/>
      <c r="E796" s="1">
        <v>2150</v>
      </c>
      <c r="F796" s="1">
        <v>2440</v>
      </c>
      <c r="G796" s="1">
        <v>53</v>
      </c>
      <c r="H796" s="1"/>
      <c r="I796" s="1"/>
      <c r="J796" s="1"/>
      <c r="K796" s="1"/>
      <c r="L796" s="17" t="s">
        <v>3089</v>
      </c>
      <c r="M796" s="17" t="s">
        <v>3090</v>
      </c>
      <c r="N796" s="27">
        <v>33</v>
      </c>
      <c r="O796" s="2"/>
    </row>
    <row r="797" spans="1:15" x14ac:dyDescent="0.2">
      <c r="A797" s="17" t="s">
        <v>3091</v>
      </c>
      <c r="B797" s="17" t="s">
        <v>3092</v>
      </c>
      <c r="C797" s="17">
        <v>6</v>
      </c>
      <c r="D797" s="1"/>
      <c r="E797" s="1">
        <v>2150</v>
      </c>
      <c r="F797" s="1">
        <v>2440</v>
      </c>
      <c r="G797" s="1">
        <v>23</v>
      </c>
      <c r="H797" s="1"/>
      <c r="I797" s="1"/>
      <c r="J797" s="1"/>
      <c r="K797" s="1"/>
      <c r="L797" s="17" t="s">
        <v>3093</v>
      </c>
      <c r="M797" s="17" t="s">
        <v>3094</v>
      </c>
      <c r="N797" s="27">
        <v>41</v>
      </c>
      <c r="O797" s="2"/>
    </row>
    <row r="798" spans="1:15" x14ac:dyDescent="0.2">
      <c r="A798" s="17" t="s">
        <v>3095</v>
      </c>
      <c r="B798" s="17" t="s">
        <v>3096</v>
      </c>
      <c r="C798" s="17">
        <v>15</v>
      </c>
      <c r="D798" s="1"/>
      <c r="E798" s="1">
        <v>2150</v>
      </c>
      <c r="F798" s="1">
        <v>2440</v>
      </c>
      <c r="G798" s="1">
        <v>53</v>
      </c>
      <c r="H798" s="1"/>
      <c r="I798" s="1"/>
      <c r="J798" s="1"/>
      <c r="K798" s="1"/>
      <c r="L798" s="17" t="s">
        <v>3097</v>
      </c>
      <c r="M798" s="17" t="s">
        <v>3098</v>
      </c>
      <c r="N798" s="27">
        <v>19</v>
      </c>
      <c r="O798" s="2"/>
    </row>
    <row r="799" spans="1:15" x14ac:dyDescent="0.2">
      <c r="A799" s="17" t="s">
        <v>3099</v>
      </c>
      <c r="B799" s="17" t="s">
        <v>3100</v>
      </c>
      <c r="C799" s="17">
        <v>15</v>
      </c>
      <c r="D799" s="1"/>
      <c r="E799" s="1">
        <v>2150</v>
      </c>
      <c r="F799" s="1">
        <v>2440</v>
      </c>
      <c r="G799" s="1">
        <v>53</v>
      </c>
      <c r="H799" s="1"/>
      <c r="I799" s="1"/>
      <c r="J799" s="1"/>
      <c r="K799" s="1"/>
      <c r="L799" s="17" t="s">
        <v>3101</v>
      </c>
      <c r="M799" s="17" t="s">
        <v>3102</v>
      </c>
      <c r="N799" s="27">
        <v>22</v>
      </c>
      <c r="O799" s="2"/>
    </row>
    <row r="800" spans="1:15" x14ac:dyDescent="0.2">
      <c r="A800" s="17" t="s">
        <v>3103</v>
      </c>
      <c r="B800" s="17" t="s">
        <v>3104</v>
      </c>
      <c r="C800" s="17">
        <v>18</v>
      </c>
      <c r="D800" s="1"/>
      <c r="E800" s="1">
        <v>2150</v>
      </c>
      <c r="F800" s="1">
        <v>2440</v>
      </c>
      <c r="G800" s="1">
        <v>61</v>
      </c>
      <c r="H800" s="1"/>
      <c r="I800" s="1"/>
      <c r="J800" s="1"/>
      <c r="K800" s="1"/>
      <c r="L800" s="17" t="s">
        <v>3105</v>
      </c>
      <c r="M800" s="17" t="s">
        <v>3106</v>
      </c>
      <c r="N800" s="27">
        <v>33</v>
      </c>
      <c r="O800" s="2"/>
    </row>
    <row r="801" spans="1:15" x14ac:dyDescent="0.2">
      <c r="A801" s="17" t="s">
        <v>3107</v>
      </c>
      <c r="B801" s="17" t="s">
        <v>3108</v>
      </c>
      <c r="C801" s="17">
        <v>6</v>
      </c>
      <c r="D801" s="1"/>
      <c r="E801" s="1">
        <v>2150</v>
      </c>
      <c r="F801" s="1">
        <v>2440</v>
      </c>
      <c r="G801" s="1">
        <v>23</v>
      </c>
      <c r="H801" s="1"/>
      <c r="I801" s="1"/>
      <c r="J801" s="1"/>
      <c r="K801" s="1"/>
      <c r="L801" s="17" t="s">
        <v>3109</v>
      </c>
      <c r="M801" s="17" t="s">
        <v>3110</v>
      </c>
      <c r="N801" s="27">
        <v>41</v>
      </c>
      <c r="O801" s="2"/>
    </row>
    <row r="802" spans="1:15" x14ac:dyDescent="0.2">
      <c r="A802" s="17" t="s">
        <v>3111</v>
      </c>
      <c r="B802" s="17" t="s">
        <v>3112</v>
      </c>
      <c r="C802" s="17">
        <v>15</v>
      </c>
      <c r="D802" s="1"/>
      <c r="E802" s="1">
        <v>2150</v>
      </c>
      <c r="F802" s="1">
        <v>2440</v>
      </c>
      <c r="G802" s="1">
        <v>53</v>
      </c>
      <c r="H802" s="1"/>
      <c r="I802" s="1"/>
      <c r="J802" s="1"/>
      <c r="K802" s="1"/>
      <c r="L802" s="17" t="s">
        <v>3113</v>
      </c>
      <c r="M802" s="17" t="s">
        <v>3114</v>
      </c>
      <c r="N802" s="27">
        <v>19</v>
      </c>
      <c r="O802" s="2"/>
    </row>
    <row r="803" spans="1:15" x14ac:dyDescent="0.2">
      <c r="A803" s="17" t="s">
        <v>3115</v>
      </c>
      <c r="B803" s="17" t="s">
        <v>3116</v>
      </c>
      <c r="C803" s="17">
        <v>18</v>
      </c>
      <c r="D803" s="1"/>
      <c r="E803" s="1">
        <v>2150</v>
      </c>
      <c r="F803" s="1">
        <v>2440</v>
      </c>
      <c r="G803" s="1">
        <v>61</v>
      </c>
      <c r="H803" s="1"/>
      <c r="I803" s="1"/>
      <c r="J803" s="1"/>
      <c r="K803" s="1"/>
      <c r="L803" s="17" t="s">
        <v>3117</v>
      </c>
      <c r="M803" s="17" t="s">
        <v>3118</v>
      </c>
      <c r="N803" s="27">
        <v>33</v>
      </c>
      <c r="O803" s="2"/>
    </row>
    <row r="804" spans="1:15" x14ac:dyDescent="0.2">
      <c r="A804" s="17" t="s">
        <v>3119</v>
      </c>
      <c r="B804" s="17" t="s">
        <v>3120</v>
      </c>
      <c r="C804" s="17">
        <v>25</v>
      </c>
      <c r="D804" s="1"/>
      <c r="E804" s="1">
        <v>2150</v>
      </c>
      <c r="F804" s="1">
        <v>2440</v>
      </c>
      <c r="G804" s="1">
        <v>88</v>
      </c>
      <c r="H804" s="1"/>
      <c r="I804" s="1"/>
      <c r="J804" s="1"/>
      <c r="K804" s="1"/>
      <c r="L804" s="17" t="s">
        <v>3121</v>
      </c>
      <c r="M804" s="17" t="s">
        <v>3122</v>
      </c>
      <c r="N804" s="27">
        <v>19</v>
      </c>
      <c r="O804" s="2"/>
    </row>
    <row r="805" spans="1:15" x14ac:dyDescent="0.2">
      <c r="A805" s="17" t="s">
        <v>3123</v>
      </c>
      <c r="B805" s="17" t="s">
        <v>3124</v>
      </c>
      <c r="C805" s="17">
        <v>36</v>
      </c>
      <c r="D805" s="1"/>
      <c r="E805" s="1">
        <v>2150</v>
      </c>
      <c r="F805" s="1">
        <v>2440</v>
      </c>
      <c r="G805" s="1">
        <v>117</v>
      </c>
      <c r="H805" s="1"/>
      <c r="I805" s="1"/>
      <c r="J805" s="1"/>
      <c r="K805" s="1"/>
      <c r="L805" s="17" t="s">
        <v>3125</v>
      </c>
      <c r="M805" s="17" t="s">
        <v>3126</v>
      </c>
      <c r="N805" s="27">
        <v>22</v>
      </c>
      <c r="O805" s="2"/>
    </row>
    <row r="806" spans="1:15" x14ac:dyDescent="0.2">
      <c r="A806" s="17" t="s">
        <v>3127</v>
      </c>
      <c r="B806" s="17" t="s">
        <v>3128</v>
      </c>
      <c r="C806" s="26">
        <v>15</v>
      </c>
      <c r="D806" s="1"/>
      <c r="E806" s="1">
        <v>2150</v>
      </c>
      <c r="F806" s="1">
        <v>2440</v>
      </c>
      <c r="G806" s="1">
        <v>53</v>
      </c>
      <c r="H806" s="1"/>
      <c r="I806" s="1"/>
      <c r="J806" s="1"/>
      <c r="K806" s="1"/>
      <c r="L806" s="17" t="s">
        <v>3129</v>
      </c>
      <c r="M806" s="17" t="s">
        <v>3130</v>
      </c>
      <c r="N806" s="27">
        <v>33</v>
      </c>
      <c r="O806" s="2"/>
    </row>
    <row r="807" spans="1:15" x14ac:dyDescent="0.2">
      <c r="A807" s="17" t="s">
        <v>3131</v>
      </c>
      <c r="B807" s="17" t="s">
        <v>3132</v>
      </c>
      <c r="C807" s="17">
        <v>15</v>
      </c>
      <c r="D807" s="1"/>
      <c r="E807" s="1">
        <v>2150</v>
      </c>
      <c r="F807" s="1">
        <v>2440</v>
      </c>
      <c r="G807" s="1">
        <v>53</v>
      </c>
      <c r="H807" s="1"/>
      <c r="I807" s="1"/>
      <c r="J807" s="1"/>
      <c r="K807" s="1"/>
      <c r="L807" s="17" t="s">
        <v>3133</v>
      </c>
      <c r="M807" s="17" t="s">
        <v>3134</v>
      </c>
      <c r="N807" s="27">
        <v>41</v>
      </c>
      <c r="O807" s="2"/>
    </row>
    <row r="808" spans="1:15" x14ac:dyDescent="0.2">
      <c r="A808" s="17" t="s">
        <v>3135</v>
      </c>
      <c r="B808" s="17" t="s">
        <v>3136</v>
      </c>
      <c r="C808" s="17">
        <v>15</v>
      </c>
      <c r="D808" s="1"/>
      <c r="E808" s="1">
        <v>2150</v>
      </c>
      <c r="F808" s="1">
        <v>2440</v>
      </c>
      <c r="G808" s="1">
        <v>53</v>
      </c>
      <c r="H808" s="1"/>
      <c r="I808" s="1"/>
      <c r="J808" s="1"/>
      <c r="K808" s="1"/>
      <c r="L808" s="17" t="s">
        <v>3137</v>
      </c>
      <c r="M808" s="17" t="s">
        <v>3138</v>
      </c>
      <c r="N808" s="27">
        <v>22</v>
      </c>
      <c r="O808" s="2"/>
    </row>
    <row r="809" spans="1:15" x14ac:dyDescent="0.2">
      <c r="A809" s="17" t="s">
        <v>3139</v>
      </c>
      <c r="B809" s="17" t="s">
        <v>3140</v>
      </c>
      <c r="C809" s="17">
        <v>36</v>
      </c>
      <c r="D809" s="1"/>
      <c r="E809" s="1">
        <v>2150</v>
      </c>
      <c r="F809" s="1">
        <v>2440</v>
      </c>
      <c r="G809" s="1">
        <v>117</v>
      </c>
      <c r="H809" s="1"/>
      <c r="I809" s="1"/>
      <c r="J809" s="1"/>
      <c r="K809" s="1"/>
      <c r="L809" s="17" t="s">
        <v>3141</v>
      </c>
      <c r="M809" s="17" t="s">
        <v>3142</v>
      </c>
      <c r="N809" s="27">
        <v>33</v>
      </c>
      <c r="O809" s="2"/>
    </row>
    <row r="810" spans="1:15" x14ac:dyDescent="0.2">
      <c r="A810" s="17" t="s">
        <v>3143</v>
      </c>
      <c r="B810" s="17" t="s">
        <v>3144</v>
      </c>
      <c r="C810" s="17">
        <v>6</v>
      </c>
      <c r="D810" s="1"/>
      <c r="E810" s="1">
        <v>2150</v>
      </c>
      <c r="F810" s="1">
        <v>2440</v>
      </c>
      <c r="G810" s="1">
        <v>23</v>
      </c>
      <c r="H810" s="1"/>
      <c r="I810" s="1"/>
      <c r="J810" s="1"/>
      <c r="K810" s="1"/>
      <c r="L810" s="17" t="s">
        <v>3145</v>
      </c>
      <c r="M810" s="17" t="s">
        <v>3146</v>
      </c>
      <c r="N810" s="27">
        <v>41</v>
      </c>
      <c r="O810" s="2"/>
    </row>
    <row r="811" spans="1:15" x14ac:dyDescent="0.2">
      <c r="A811" s="17" t="s">
        <v>3147</v>
      </c>
      <c r="B811" s="17" t="s">
        <v>3148</v>
      </c>
      <c r="C811" s="17">
        <v>15</v>
      </c>
      <c r="D811" s="1"/>
      <c r="E811" s="1">
        <v>2150</v>
      </c>
      <c r="F811" s="1">
        <v>2440</v>
      </c>
      <c r="G811" s="1">
        <v>53</v>
      </c>
      <c r="H811" s="1"/>
      <c r="I811" s="1"/>
      <c r="J811" s="1"/>
      <c r="K811" s="1"/>
      <c r="L811" s="17" t="s">
        <v>3149</v>
      </c>
      <c r="M811" s="17" t="s">
        <v>3150</v>
      </c>
      <c r="N811" s="27">
        <v>19</v>
      </c>
      <c r="O811" s="2"/>
    </row>
    <row r="812" spans="1:15" x14ac:dyDescent="0.2">
      <c r="A812" s="17" t="s">
        <v>3151</v>
      </c>
      <c r="B812" s="17" t="s">
        <v>3152</v>
      </c>
      <c r="C812" s="17">
        <v>6</v>
      </c>
      <c r="D812" s="1"/>
      <c r="E812" s="1">
        <v>2150</v>
      </c>
      <c r="F812" s="1">
        <v>2440</v>
      </c>
      <c r="G812" s="1">
        <v>23</v>
      </c>
      <c r="H812" s="1"/>
      <c r="I812" s="1"/>
      <c r="J812" s="1"/>
      <c r="K812" s="1"/>
      <c r="L812" s="17" t="s">
        <v>3153</v>
      </c>
      <c r="M812" s="17" t="s">
        <v>3154</v>
      </c>
      <c r="N812" s="27">
        <v>22</v>
      </c>
      <c r="O812" s="2"/>
    </row>
    <row r="813" spans="1:15" x14ac:dyDescent="0.2">
      <c r="A813" s="17" t="s">
        <v>3155</v>
      </c>
      <c r="B813" s="17" t="s">
        <v>3156</v>
      </c>
      <c r="C813" s="17">
        <v>15</v>
      </c>
      <c r="D813" s="1"/>
      <c r="E813" s="1">
        <v>2150</v>
      </c>
      <c r="F813" s="1">
        <v>2440</v>
      </c>
      <c r="G813" s="1">
        <v>53</v>
      </c>
      <c r="H813" s="1"/>
      <c r="I813" s="1"/>
      <c r="J813" s="1"/>
      <c r="K813" s="1"/>
      <c r="L813" s="17" t="s">
        <v>3157</v>
      </c>
      <c r="M813" s="17" t="s">
        <v>3158</v>
      </c>
      <c r="N813" s="27">
        <v>33</v>
      </c>
      <c r="O813" s="2"/>
    </row>
    <row r="814" spans="1:15" x14ac:dyDescent="0.2">
      <c r="A814" s="17" t="s">
        <v>3159</v>
      </c>
      <c r="B814" s="17" t="s">
        <v>3160</v>
      </c>
      <c r="C814" s="17">
        <v>18</v>
      </c>
      <c r="D814" s="1"/>
      <c r="E814" s="1">
        <v>2150</v>
      </c>
      <c r="F814" s="1">
        <v>2440</v>
      </c>
      <c r="G814" s="1">
        <v>61</v>
      </c>
      <c r="H814" s="1"/>
      <c r="I814" s="1"/>
      <c r="J814" s="1"/>
      <c r="K814" s="1"/>
      <c r="L814" s="17" t="s">
        <v>3161</v>
      </c>
      <c r="M814" s="17" t="s">
        <v>3162</v>
      </c>
      <c r="N814" s="27">
        <v>41</v>
      </c>
      <c r="O814" s="2"/>
    </row>
    <row r="815" spans="1:15" x14ac:dyDescent="0.2">
      <c r="A815" s="17" t="s">
        <v>3163</v>
      </c>
      <c r="B815" s="17" t="s">
        <v>3164</v>
      </c>
      <c r="C815" s="26">
        <v>15</v>
      </c>
      <c r="D815" s="1"/>
      <c r="E815" s="1">
        <v>2150</v>
      </c>
      <c r="F815" s="1">
        <v>2440</v>
      </c>
      <c r="G815" s="1">
        <v>53</v>
      </c>
      <c r="H815" s="1"/>
      <c r="I815" s="1"/>
      <c r="J815" s="1"/>
      <c r="K815" s="1"/>
      <c r="L815" s="17" t="s">
        <v>3165</v>
      </c>
      <c r="M815" s="17" t="s">
        <v>3166</v>
      </c>
      <c r="N815" s="27">
        <v>19</v>
      </c>
      <c r="O815" s="2"/>
    </row>
    <row r="816" spans="1:15" x14ac:dyDescent="0.2">
      <c r="A816" s="17" t="s">
        <v>3167</v>
      </c>
      <c r="B816" s="17" t="s">
        <v>3168</v>
      </c>
      <c r="C816" s="26">
        <v>6</v>
      </c>
      <c r="D816" s="1"/>
      <c r="E816" s="1">
        <v>2150</v>
      </c>
      <c r="F816" s="1">
        <v>2440</v>
      </c>
      <c r="G816" s="1">
        <v>23</v>
      </c>
      <c r="H816" s="1"/>
      <c r="I816" s="1"/>
      <c r="J816" s="1"/>
      <c r="K816" s="1"/>
      <c r="L816" s="17" t="s">
        <v>3169</v>
      </c>
      <c r="M816" s="17" t="s">
        <v>3170</v>
      </c>
      <c r="N816" s="27">
        <v>22</v>
      </c>
      <c r="O816" s="2"/>
    </row>
    <row r="817" spans="1:15" x14ac:dyDescent="0.2">
      <c r="A817" s="17" t="s">
        <v>3171</v>
      </c>
      <c r="B817" s="17" t="s">
        <v>3172</v>
      </c>
      <c r="C817" s="26">
        <v>9</v>
      </c>
      <c r="D817" s="1"/>
      <c r="E817" s="1">
        <v>2150</v>
      </c>
      <c r="F817" s="1">
        <v>2440</v>
      </c>
      <c r="G817" s="1">
        <v>33</v>
      </c>
      <c r="H817" s="1"/>
      <c r="I817" s="1"/>
      <c r="J817" s="1"/>
      <c r="K817" s="1"/>
      <c r="L817" s="17" t="s">
        <v>3173</v>
      </c>
      <c r="M817" s="17" t="s">
        <v>3174</v>
      </c>
      <c r="N817" s="27">
        <v>33</v>
      </c>
      <c r="O817" s="2"/>
    </row>
    <row r="818" spans="1:15" x14ac:dyDescent="0.2">
      <c r="A818" s="17" t="s">
        <v>3175</v>
      </c>
      <c r="B818" s="17" t="s">
        <v>3176</v>
      </c>
      <c r="C818" s="26">
        <v>15</v>
      </c>
      <c r="D818" s="1"/>
      <c r="E818" s="1">
        <v>2150</v>
      </c>
      <c r="F818" s="1">
        <v>2440</v>
      </c>
      <c r="G818" s="1">
        <v>53</v>
      </c>
      <c r="H818" s="1"/>
      <c r="I818" s="1"/>
      <c r="J818" s="1"/>
      <c r="K818" s="1"/>
      <c r="L818" s="17" t="s">
        <v>3177</v>
      </c>
      <c r="M818" s="17" t="s">
        <v>3178</v>
      </c>
      <c r="N818" s="27">
        <v>41</v>
      </c>
      <c r="O818" s="2"/>
    </row>
    <row r="819" spans="1:15" x14ac:dyDescent="0.2">
      <c r="A819" s="17" t="s">
        <v>3179</v>
      </c>
      <c r="B819" s="17" t="s">
        <v>3180</v>
      </c>
      <c r="C819" s="26">
        <v>18</v>
      </c>
      <c r="D819" s="1"/>
      <c r="E819" s="1">
        <v>2150</v>
      </c>
      <c r="F819" s="1">
        <v>2440</v>
      </c>
      <c r="G819" s="1">
        <v>61</v>
      </c>
      <c r="H819" s="1"/>
      <c r="I819" s="1"/>
      <c r="J819" s="1"/>
      <c r="K819" s="1"/>
      <c r="L819" s="17" t="s">
        <v>3181</v>
      </c>
      <c r="M819" s="17" t="s">
        <v>3182</v>
      </c>
      <c r="N819" s="27">
        <v>22</v>
      </c>
      <c r="O819" s="2"/>
    </row>
    <row r="820" spans="1:15" x14ac:dyDescent="0.2">
      <c r="A820" s="17" t="s">
        <v>3183</v>
      </c>
      <c r="B820" s="17" t="s">
        <v>3184</v>
      </c>
      <c r="C820" s="26">
        <v>25</v>
      </c>
      <c r="D820" s="1"/>
      <c r="E820" s="1">
        <v>2150</v>
      </c>
      <c r="F820" s="1">
        <v>2440</v>
      </c>
      <c r="G820" s="1">
        <v>88</v>
      </c>
      <c r="H820" s="1"/>
      <c r="I820" s="1"/>
      <c r="J820" s="1"/>
      <c r="K820" s="1"/>
      <c r="L820" s="17" t="s">
        <v>3185</v>
      </c>
      <c r="M820" s="17" t="s">
        <v>3186</v>
      </c>
      <c r="N820" s="27">
        <v>19</v>
      </c>
      <c r="O820" s="2"/>
    </row>
    <row r="821" spans="1:15" x14ac:dyDescent="0.2">
      <c r="A821" s="17" t="s">
        <v>3187</v>
      </c>
      <c r="B821" s="17" t="s">
        <v>3188</v>
      </c>
      <c r="C821" s="17">
        <v>36</v>
      </c>
      <c r="D821" s="1"/>
      <c r="E821" s="1">
        <v>2150</v>
      </c>
      <c r="F821" s="1">
        <v>2440</v>
      </c>
      <c r="G821" s="1">
        <v>117</v>
      </c>
      <c r="H821" s="1"/>
      <c r="I821" s="1"/>
      <c r="J821" s="1"/>
      <c r="K821" s="1"/>
      <c r="L821" s="17" t="s">
        <v>3189</v>
      </c>
      <c r="M821" s="17" t="s">
        <v>3190</v>
      </c>
      <c r="N821" s="27">
        <v>33</v>
      </c>
      <c r="O821" s="2"/>
    </row>
    <row r="822" spans="1:15" x14ac:dyDescent="0.2">
      <c r="A822" s="17" t="s">
        <v>3191</v>
      </c>
      <c r="B822" s="17" t="s">
        <v>3192</v>
      </c>
      <c r="C822" s="17">
        <v>9</v>
      </c>
      <c r="D822" s="1"/>
      <c r="E822" s="1">
        <v>2150</v>
      </c>
      <c r="F822" s="1">
        <v>2440</v>
      </c>
      <c r="G822" s="1">
        <v>33</v>
      </c>
      <c r="H822" s="1"/>
      <c r="I822" s="1"/>
      <c r="J822" s="1"/>
      <c r="K822" s="1"/>
      <c r="L822" s="17" t="s">
        <v>3193</v>
      </c>
      <c r="M822" s="17" t="s">
        <v>3194</v>
      </c>
      <c r="N822" s="27">
        <v>19</v>
      </c>
      <c r="O822" s="2"/>
    </row>
    <row r="823" spans="1:15" x14ac:dyDescent="0.2">
      <c r="A823" s="17" t="s">
        <v>3195</v>
      </c>
      <c r="B823" s="17" t="s">
        <v>3196</v>
      </c>
      <c r="C823" s="17">
        <v>15</v>
      </c>
      <c r="D823" s="1"/>
      <c r="E823" s="1">
        <v>2150</v>
      </c>
      <c r="F823" s="1">
        <v>2440</v>
      </c>
      <c r="G823" s="1">
        <v>53</v>
      </c>
      <c r="H823" s="1"/>
      <c r="I823" s="1"/>
      <c r="J823" s="1"/>
      <c r="K823" s="1"/>
      <c r="L823" s="17" t="s">
        <v>3197</v>
      </c>
      <c r="M823" s="17" t="s">
        <v>3198</v>
      </c>
      <c r="N823" s="27">
        <v>22</v>
      </c>
      <c r="O823" s="2"/>
    </row>
    <row r="824" spans="1:15" x14ac:dyDescent="0.2">
      <c r="A824" s="17" t="s">
        <v>3199</v>
      </c>
      <c r="B824" s="17" t="s">
        <v>3200</v>
      </c>
      <c r="C824" s="17">
        <v>6</v>
      </c>
      <c r="D824" s="1"/>
      <c r="E824" s="1">
        <v>2150</v>
      </c>
      <c r="F824" s="1">
        <v>2440</v>
      </c>
      <c r="G824" s="1">
        <v>23</v>
      </c>
      <c r="H824" s="1"/>
      <c r="I824" s="1"/>
      <c r="J824" s="1"/>
      <c r="K824" s="1"/>
      <c r="L824" s="17" t="s">
        <v>3201</v>
      </c>
      <c r="M824" s="17" t="s">
        <v>3202</v>
      </c>
      <c r="N824" s="27">
        <v>33</v>
      </c>
      <c r="O824" s="2"/>
    </row>
    <row r="825" spans="1:15" x14ac:dyDescent="0.2">
      <c r="A825" s="17" t="s">
        <v>3203</v>
      </c>
      <c r="B825" s="17" t="s">
        <v>3204</v>
      </c>
      <c r="C825" s="17">
        <v>9</v>
      </c>
      <c r="D825" s="1"/>
      <c r="E825" s="1">
        <v>2150</v>
      </c>
      <c r="F825" s="1">
        <v>2440</v>
      </c>
      <c r="G825" s="1">
        <v>33</v>
      </c>
      <c r="H825" s="1"/>
      <c r="I825" s="1"/>
      <c r="J825" s="1"/>
      <c r="K825" s="1"/>
      <c r="L825" s="17" t="s">
        <v>3205</v>
      </c>
      <c r="M825" s="17" t="s">
        <v>3206</v>
      </c>
      <c r="N825" s="27">
        <v>41</v>
      </c>
      <c r="O825" s="2"/>
    </row>
    <row r="826" spans="1:15" x14ac:dyDescent="0.2">
      <c r="A826" s="17" t="s">
        <v>3207</v>
      </c>
      <c r="B826" s="17" t="s">
        <v>3208</v>
      </c>
      <c r="C826" s="17">
        <v>15</v>
      </c>
      <c r="D826" s="1"/>
      <c r="E826" s="1">
        <v>2150</v>
      </c>
      <c r="F826" s="1">
        <v>2440</v>
      </c>
      <c r="G826" s="1">
        <v>53</v>
      </c>
      <c r="H826" s="1"/>
      <c r="I826" s="1"/>
      <c r="J826" s="1"/>
      <c r="K826" s="1"/>
      <c r="L826" s="17" t="s">
        <v>3209</v>
      </c>
      <c r="M826" s="17" t="s">
        <v>3210</v>
      </c>
      <c r="N826" s="27">
        <v>41</v>
      </c>
      <c r="O826" s="2"/>
    </row>
    <row r="827" spans="1:15" x14ac:dyDescent="0.2">
      <c r="A827" s="17" t="s">
        <v>3211</v>
      </c>
      <c r="B827" s="17" t="s">
        <v>3212</v>
      </c>
      <c r="C827" s="17">
        <v>18</v>
      </c>
      <c r="D827" s="1"/>
      <c r="E827" s="1">
        <v>2150</v>
      </c>
      <c r="F827" s="1">
        <v>2440</v>
      </c>
      <c r="G827" s="1">
        <v>61</v>
      </c>
      <c r="H827" s="1"/>
      <c r="I827" s="1"/>
      <c r="J827" s="1"/>
      <c r="K827" s="1"/>
      <c r="L827" s="17" t="s">
        <v>3213</v>
      </c>
      <c r="M827" s="17" t="s">
        <v>3214</v>
      </c>
      <c r="N827" s="27">
        <v>19</v>
      </c>
      <c r="O827" s="2"/>
    </row>
    <row r="828" spans="1:15" x14ac:dyDescent="0.2">
      <c r="A828" s="17" t="s">
        <v>3215</v>
      </c>
      <c r="B828" s="17" t="s">
        <v>3216</v>
      </c>
      <c r="C828" s="17">
        <v>25</v>
      </c>
      <c r="D828" s="1"/>
      <c r="E828" s="1">
        <v>2150</v>
      </c>
      <c r="F828" s="1">
        <v>2440</v>
      </c>
      <c r="G828" s="1">
        <v>88</v>
      </c>
      <c r="H828" s="1"/>
      <c r="I828" s="1"/>
      <c r="J828" s="1"/>
      <c r="K828" s="1"/>
      <c r="L828" s="17" t="s">
        <v>3217</v>
      </c>
      <c r="M828" s="17" t="s">
        <v>3218</v>
      </c>
      <c r="N828" s="27">
        <v>33</v>
      </c>
      <c r="O828" s="2"/>
    </row>
    <row r="829" spans="1:15" x14ac:dyDescent="0.2">
      <c r="A829" s="17" t="s">
        <v>3219</v>
      </c>
      <c r="B829" s="17" t="s">
        <v>3220</v>
      </c>
      <c r="C829" s="17">
        <v>36</v>
      </c>
      <c r="D829" s="1"/>
      <c r="E829" s="1">
        <v>2150</v>
      </c>
      <c r="F829" s="1">
        <v>2440</v>
      </c>
      <c r="G829" s="1">
        <v>117</v>
      </c>
      <c r="H829" s="1"/>
      <c r="I829" s="1"/>
      <c r="J829" s="1"/>
      <c r="K829" s="1"/>
      <c r="L829" s="17" t="s">
        <v>3221</v>
      </c>
      <c r="M829" s="17" t="s">
        <v>3222</v>
      </c>
      <c r="N829" s="27">
        <v>19</v>
      </c>
      <c r="O829" s="2"/>
    </row>
    <row r="830" spans="1:15" x14ac:dyDescent="0.2">
      <c r="A830" s="17" t="s">
        <v>3223</v>
      </c>
      <c r="B830" s="17" t="s">
        <v>3224</v>
      </c>
      <c r="C830" s="17">
        <v>9</v>
      </c>
      <c r="D830" s="1"/>
      <c r="E830" s="1">
        <v>2150</v>
      </c>
      <c r="F830" s="1">
        <v>2440</v>
      </c>
      <c r="G830" s="1">
        <v>33</v>
      </c>
      <c r="H830" s="1"/>
      <c r="I830" s="1"/>
      <c r="J830" s="1"/>
      <c r="K830" s="1"/>
      <c r="L830" s="17" t="s">
        <v>3225</v>
      </c>
      <c r="M830" s="17" t="s">
        <v>3226</v>
      </c>
      <c r="N830" s="27">
        <v>22</v>
      </c>
      <c r="O830" s="2"/>
    </row>
    <row r="831" spans="1:15" x14ac:dyDescent="0.2">
      <c r="A831" s="17" t="s">
        <v>3227</v>
      </c>
      <c r="B831" s="17" t="s">
        <v>3228</v>
      </c>
      <c r="C831" s="17">
        <v>15</v>
      </c>
      <c r="D831" s="1"/>
      <c r="E831" s="1">
        <v>2150</v>
      </c>
      <c r="F831" s="1">
        <v>2440</v>
      </c>
      <c r="G831" s="1">
        <v>53</v>
      </c>
      <c r="H831" s="1"/>
      <c r="I831" s="1"/>
      <c r="J831" s="1"/>
      <c r="K831" s="1"/>
      <c r="L831" s="17" t="s">
        <v>3229</v>
      </c>
      <c r="M831" s="17" t="s">
        <v>3230</v>
      </c>
      <c r="N831" s="27">
        <v>33</v>
      </c>
      <c r="O831" s="2"/>
    </row>
    <row r="832" spans="1:15" x14ac:dyDescent="0.2">
      <c r="A832" s="17" t="s">
        <v>3231</v>
      </c>
      <c r="B832" s="17" t="s">
        <v>3232</v>
      </c>
      <c r="C832" s="17">
        <v>18</v>
      </c>
      <c r="D832" s="1"/>
      <c r="E832" s="1">
        <v>2150</v>
      </c>
      <c r="F832" s="1">
        <v>2440</v>
      </c>
      <c r="G832" s="1">
        <v>61</v>
      </c>
      <c r="H832" s="1"/>
      <c r="I832" s="1"/>
      <c r="J832" s="1"/>
      <c r="K832" s="1"/>
      <c r="L832" s="17" t="s">
        <v>3233</v>
      </c>
      <c r="M832" s="17" t="s">
        <v>3234</v>
      </c>
      <c r="N832" s="27">
        <v>41</v>
      </c>
      <c r="O832" s="2"/>
    </row>
    <row r="833" spans="1:15" x14ac:dyDescent="0.2">
      <c r="A833" s="22" t="s">
        <v>3235</v>
      </c>
      <c r="B833" s="17" t="s">
        <v>3236</v>
      </c>
      <c r="C833" s="17">
        <v>36</v>
      </c>
      <c r="D833" s="1"/>
      <c r="E833" s="1">
        <v>2150</v>
      </c>
      <c r="F833" s="1">
        <v>2440</v>
      </c>
      <c r="G833" s="1">
        <v>117</v>
      </c>
      <c r="H833" s="1"/>
      <c r="I833" s="1"/>
      <c r="J833" s="1"/>
      <c r="K833" s="1"/>
      <c r="L833" s="17" t="s">
        <v>3237</v>
      </c>
      <c r="M833" s="17" t="s">
        <v>3238</v>
      </c>
      <c r="N833" s="27">
        <v>22</v>
      </c>
      <c r="O833" s="2"/>
    </row>
    <row r="834" spans="1:15" x14ac:dyDescent="0.2">
      <c r="A834" s="17" t="s">
        <v>3239</v>
      </c>
      <c r="B834" s="17" t="s">
        <v>3240</v>
      </c>
      <c r="C834" s="17">
        <v>6</v>
      </c>
      <c r="D834" s="1"/>
      <c r="E834" s="1">
        <v>2150</v>
      </c>
      <c r="F834" s="1">
        <v>2440</v>
      </c>
      <c r="G834" s="1">
        <v>23</v>
      </c>
      <c r="H834" s="1"/>
      <c r="I834" s="1"/>
      <c r="J834" s="1"/>
      <c r="K834" s="1"/>
      <c r="L834" s="17" t="s">
        <v>3241</v>
      </c>
      <c r="M834" s="17" t="s">
        <v>3242</v>
      </c>
      <c r="N834" s="27">
        <v>41</v>
      </c>
      <c r="O834" s="2"/>
    </row>
    <row r="835" spans="1:15" x14ac:dyDescent="0.2">
      <c r="A835" s="17" t="s">
        <v>3243</v>
      </c>
      <c r="B835" s="17" t="s">
        <v>3244</v>
      </c>
      <c r="C835" s="17">
        <v>15</v>
      </c>
      <c r="D835" s="1"/>
      <c r="E835" s="1">
        <v>2150</v>
      </c>
      <c r="F835" s="1">
        <v>2440</v>
      </c>
      <c r="G835" s="1">
        <v>53</v>
      </c>
      <c r="H835" s="1"/>
      <c r="I835" s="1"/>
      <c r="J835" s="1"/>
      <c r="K835" s="1"/>
      <c r="L835" s="17" t="s">
        <v>3245</v>
      </c>
      <c r="M835" s="17" t="s">
        <v>3246</v>
      </c>
      <c r="N835" s="27">
        <v>33</v>
      </c>
      <c r="O835" s="2"/>
    </row>
    <row r="836" spans="1:15" x14ac:dyDescent="0.2">
      <c r="A836" s="17" t="s">
        <v>3247</v>
      </c>
      <c r="B836" s="17" t="s">
        <v>3248</v>
      </c>
      <c r="C836" s="17">
        <v>18</v>
      </c>
      <c r="D836" s="1"/>
      <c r="E836" s="1">
        <v>2150</v>
      </c>
      <c r="F836" s="1">
        <v>2440</v>
      </c>
      <c r="G836" s="1">
        <v>61</v>
      </c>
      <c r="H836" s="1"/>
      <c r="I836" s="1"/>
      <c r="J836" s="1"/>
      <c r="K836" s="1"/>
      <c r="L836" s="17" t="s">
        <v>3249</v>
      </c>
      <c r="M836" s="17" t="s">
        <v>3250</v>
      </c>
      <c r="N836" s="27">
        <v>19</v>
      </c>
      <c r="O836" s="2"/>
    </row>
    <row r="837" spans="1:15" x14ac:dyDescent="0.2">
      <c r="A837" s="17" t="s">
        <v>3251</v>
      </c>
      <c r="B837" s="17" t="s">
        <v>3252</v>
      </c>
      <c r="C837" s="17">
        <v>36</v>
      </c>
      <c r="D837" s="1"/>
      <c r="E837" s="1">
        <v>2150</v>
      </c>
      <c r="F837" s="1">
        <v>2440</v>
      </c>
      <c r="G837" s="1">
        <v>117</v>
      </c>
      <c r="H837" s="1"/>
      <c r="I837" s="1"/>
      <c r="J837" s="1"/>
      <c r="K837" s="1"/>
      <c r="L837" s="17" t="s">
        <v>3253</v>
      </c>
      <c r="M837" s="17" t="s">
        <v>3254</v>
      </c>
      <c r="N837" s="27">
        <v>22</v>
      </c>
      <c r="O837" s="2"/>
    </row>
    <row r="838" spans="1:15" x14ac:dyDescent="0.2">
      <c r="A838" s="17" t="s">
        <v>3255</v>
      </c>
      <c r="B838" s="17" t="s">
        <v>3256</v>
      </c>
      <c r="C838" s="17">
        <v>6</v>
      </c>
      <c r="D838" s="1"/>
      <c r="E838" s="1">
        <v>2150</v>
      </c>
      <c r="F838" s="1">
        <v>2440</v>
      </c>
      <c r="G838" s="1">
        <v>23</v>
      </c>
      <c r="H838" s="1"/>
      <c r="I838" s="1"/>
      <c r="J838" s="1"/>
      <c r="K838" s="1"/>
      <c r="L838" s="17" t="s">
        <v>3257</v>
      </c>
      <c r="M838" s="17" t="s">
        <v>3258</v>
      </c>
      <c r="N838" s="27">
        <v>33</v>
      </c>
      <c r="O838" s="2"/>
    </row>
    <row r="839" spans="1:15" x14ac:dyDescent="0.2">
      <c r="A839" s="17" t="s">
        <v>3259</v>
      </c>
      <c r="B839" s="17" t="s">
        <v>3260</v>
      </c>
      <c r="C839" s="17">
        <v>9</v>
      </c>
      <c r="D839" s="1"/>
      <c r="E839" s="1">
        <v>2150</v>
      </c>
      <c r="F839" s="1">
        <v>2440</v>
      </c>
      <c r="G839" s="1">
        <v>33</v>
      </c>
      <c r="H839" s="1"/>
      <c r="I839" s="1"/>
      <c r="J839" s="1"/>
      <c r="K839" s="1"/>
      <c r="L839" s="17" t="s">
        <v>3261</v>
      </c>
      <c r="M839" s="17" t="s">
        <v>3262</v>
      </c>
      <c r="N839" s="27">
        <v>41</v>
      </c>
      <c r="O839" s="2"/>
    </row>
    <row r="840" spans="1:15" x14ac:dyDescent="0.2">
      <c r="A840" s="17" t="s">
        <v>3263</v>
      </c>
      <c r="B840" s="17" t="s">
        <v>3264</v>
      </c>
      <c r="C840" s="17">
        <v>15</v>
      </c>
      <c r="D840" s="1"/>
      <c r="E840" s="1">
        <v>2150</v>
      </c>
      <c r="F840" s="1">
        <v>2440</v>
      </c>
      <c r="G840" s="1">
        <v>53</v>
      </c>
      <c r="H840" s="1"/>
      <c r="I840" s="1"/>
      <c r="J840" s="1"/>
      <c r="K840" s="1"/>
      <c r="L840" s="17" t="s">
        <v>3265</v>
      </c>
      <c r="M840" s="17" t="s">
        <v>3266</v>
      </c>
      <c r="N840" s="27">
        <v>22</v>
      </c>
      <c r="O840" s="2"/>
    </row>
    <row r="841" spans="1:15" x14ac:dyDescent="0.2">
      <c r="A841" s="17" t="s">
        <v>3267</v>
      </c>
      <c r="B841" s="17" t="s">
        <v>3268</v>
      </c>
      <c r="C841" s="17">
        <v>15</v>
      </c>
      <c r="D841" s="1"/>
      <c r="E841" s="1">
        <v>2150</v>
      </c>
      <c r="F841" s="1">
        <v>2440</v>
      </c>
      <c r="G841" s="1">
        <v>53</v>
      </c>
      <c r="H841" s="1"/>
      <c r="I841" s="1"/>
      <c r="J841" s="1"/>
      <c r="K841" s="1"/>
      <c r="L841" s="17" t="s">
        <v>3269</v>
      </c>
      <c r="M841" s="17" t="s">
        <v>3270</v>
      </c>
      <c r="N841" s="27">
        <v>33</v>
      </c>
      <c r="O841" s="2"/>
    </row>
    <row r="842" spans="1:15" x14ac:dyDescent="0.2">
      <c r="A842" s="17" t="s">
        <v>3271</v>
      </c>
      <c r="B842" s="17" t="s">
        <v>3272</v>
      </c>
      <c r="C842" s="17">
        <v>18</v>
      </c>
      <c r="D842" s="1"/>
      <c r="E842" s="1">
        <v>2150</v>
      </c>
      <c r="F842" s="1">
        <v>2440</v>
      </c>
      <c r="G842" s="1">
        <v>61</v>
      </c>
      <c r="H842" s="1"/>
      <c r="I842" s="1"/>
      <c r="J842" s="1"/>
      <c r="K842" s="1"/>
      <c r="L842" s="17" t="s">
        <v>3273</v>
      </c>
      <c r="M842" s="17" t="s">
        <v>3274</v>
      </c>
      <c r="N842" s="27">
        <v>41</v>
      </c>
      <c r="O842" s="2"/>
    </row>
    <row r="843" spans="1:15" x14ac:dyDescent="0.2">
      <c r="A843" s="17" t="s">
        <v>3275</v>
      </c>
      <c r="B843" s="17" t="s">
        <v>3276</v>
      </c>
      <c r="C843" s="17">
        <v>15</v>
      </c>
      <c r="D843" s="1"/>
      <c r="E843" s="1">
        <v>2150</v>
      </c>
      <c r="F843" s="1">
        <v>2440</v>
      </c>
      <c r="G843" s="1">
        <v>53</v>
      </c>
      <c r="H843" s="1"/>
      <c r="I843" s="1"/>
      <c r="J843" s="1"/>
      <c r="K843" s="1"/>
      <c r="L843" s="17" t="s">
        <v>3277</v>
      </c>
      <c r="M843" s="17" t="s">
        <v>3278</v>
      </c>
      <c r="N843" s="27">
        <v>19</v>
      </c>
      <c r="O843" s="2"/>
    </row>
    <row r="844" spans="1:15" x14ac:dyDescent="0.2">
      <c r="A844" s="17" t="s">
        <v>3279</v>
      </c>
      <c r="B844" s="17" t="s">
        <v>3280</v>
      </c>
      <c r="C844" s="17">
        <v>18</v>
      </c>
      <c r="D844" s="11"/>
      <c r="E844" s="1">
        <v>2150</v>
      </c>
      <c r="F844" s="1">
        <v>2440</v>
      </c>
      <c r="G844" s="1">
        <v>61</v>
      </c>
      <c r="H844" s="1"/>
      <c r="I844" s="1"/>
      <c r="J844" s="1"/>
      <c r="K844" s="1"/>
      <c r="L844" s="17" t="s">
        <v>3281</v>
      </c>
      <c r="M844" s="17" t="s">
        <v>3282</v>
      </c>
      <c r="N844" s="27">
        <v>33</v>
      </c>
      <c r="O844" s="2"/>
    </row>
    <row r="845" spans="1:15" x14ac:dyDescent="0.2">
      <c r="A845" s="17" t="s">
        <v>3283</v>
      </c>
      <c r="B845" s="17" t="s">
        <v>3284</v>
      </c>
      <c r="C845" s="17">
        <v>6</v>
      </c>
      <c r="D845" s="11"/>
      <c r="E845" s="1">
        <v>2150</v>
      </c>
      <c r="F845" s="1">
        <v>2440</v>
      </c>
      <c r="G845" s="1">
        <v>23</v>
      </c>
      <c r="H845" s="1"/>
      <c r="I845" s="1"/>
      <c r="J845" s="1"/>
      <c r="K845" s="1"/>
      <c r="L845" s="17" t="s">
        <v>3285</v>
      </c>
      <c r="M845" s="17" t="s">
        <v>3286</v>
      </c>
      <c r="N845" s="27">
        <v>41</v>
      </c>
      <c r="O845" s="2"/>
    </row>
    <row r="846" spans="1:15" x14ac:dyDescent="0.2">
      <c r="A846" s="17" t="s">
        <v>3287</v>
      </c>
      <c r="B846" s="17" t="s">
        <v>3288</v>
      </c>
      <c r="C846" s="17">
        <v>15</v>
      </c>
      <c r="D846" s="11"/>
      <c r="E846" s="1">
        <v>2150</v>
      </c>
      <c r="F846" s="1">
        <v>2440</v>
      </c>
      <c r="G846" s="1">
        <v>53</v>
      </c>
      <c r="H846" s="1"/>
      <c r="I846" s="1"/>
      <c r="J846" s="1"/>
      <c r="K846" s="1"/>
      <c r="L846" s="17" t="s">
        <v>3289</v>
      </c>
      <c r="M846" s="17" t="s">
        <v>3290</v>
      </c>
      <c r="N846" s="27">
        <v>19</v>
      </c>
      <c r="O846" s="2"/>
    </row>
    <row r="847" spans="1:15" x14ac:dyDescent="0.2">
      <c r="A847" s="17" t="s">
        <v>3291</v>
      </c>
      <c r="B847" s="17" t="s">
        <v>3292</v>
      </c>
      <c r="C847" s="17">
        <v>18</v>
      </c>
      <c r="D847" s="11"/>
      <c r="E847" s="1">
        <v>2150</v>
      </c>
      <c r="F847" s="1">
        <v>2440</v>
      </c>
      <c r="G847" s="1">
        <v>61</v>
      </c>
      <c r="H847" s="11"/>
      <c r="I847" s="11"/>
      <c r="J847" s="11"/>
      <c r="K847" s="11"/>
      <c r="L847" s="17" t="s">
        <v>3293</v>
      </c>
      <c r="M847" s="17" t="s">
        <v>3294</v>
      </c>
      <c r="N847" s="27">
        <v>22</v>
      </c>
      <c r="O847" s="2"/>
    </row>
    <row r="848" spans="1:15" x14ac:dyDescent="0.2">
      <c r="A848" s="17" t="s">
        <v>3295</v>
      </c>
      <c r="B848" s="17" t="s">
        <v>3296</v>
      </c>
      <c r="C848" s="17">
        <v>36</v>
      </c>
      <c r="D848" s="11"/>
      <c r="E848" s="1">
        <v>2150</v>
      </c>
      <c r="F848" s="1">
        <v>2440</v>
      </c>
      <c r="G848" s="1">
        <v>117</v>
      </c>
      <c r="H848" s="11"/>
      <c r="I848" s="11"/>
      <c r="J848" s="11"/>
      <c r="K848" s="11"/>
      <c r="L848" s="17" t="s">
        <v>3297</v>
      </c>
      <c r="M848" s="17" t="s">
        <v>3298</v>
      </c>
      <c r="N848" s="27">
        <v>33</v>
      </c>
      <c r="O848" s="2"/>
    </row>
    <row r="849" spans="1:15" x14ac:dyDescent="0.2">
      <c r="A849" s="17" t="s">
        <v>3299</v>
      </c>
      <c r="B849" s="17" t="s">
        <v>3300</v>
      </c>
      <c r="C849" s="17">
        <v>15</v>
      </c>
      <c r="D849" s="11"/>
      <c r="E849" s="1">
        <v>2150</v>
      </c>
      <c r="F849" s="1">
        <v>2440</v>
      </c>
      <c r="G849" s="1">
        <v>53</v>
      </c>
      <c r="H849" s="11"/>
      <c r="I849" s="11"/>
      <c r="J849" s="11"/>
      <c r="K849" s="11"/>
      <c r="L849" s="17" t="s">
        <v>3301</v>
      </c>
      <c r="M849" s="17" t="s">
        <v>3302</v>
      </c>
      <c r="N849" s="27">
        <v>41</v>
      </c>
      <c r="O849" s="2"/>
    </row>
    <row r="850" spans="1:15" x14ac:dyDescent="0.2">
      <c r="A850" s="17" t="s">
        <v>3303</v>
      </c>
      <c r="B850" s="17" t="s">
        <v>3304</v>
      </c>
      <c r="C850" s="17">
        <v>15</v>
      </c>
      <c r="D850" s="11"/>
      <c r="E850" s="1">
        <v>2150</v>
      </c>
      <c r="F850" s="1">
        <v>2440</v>
      </c>
      <c r="G850" s="1">
        <v>53</v>
      </c>
      <c r="H850" s="11"/>
      <c r="I850" s="11"/>
      <c r="J850" s="11"/>
      <c r="K850" s="11"/>
      <c r="L850" s="17" t="s">
        <v>3305</v>
      </c>
      <c r="M850" s="17" t="s">
        <v>3306</v>
      </c>
      <c r="N850" s="27">
        <v>19</v>
      </c>
      <c r="O850" s="2"/>
    </row>
    <row r="851" spans="1:15" x14ac:dyDescent="0.2">
      <c r="A851" s="17" t="s">
        <v>3307</v>
      </c>
      <c r="B851" s="17" t="s">
        <v>3308</v>
      </c>
      <c r="C851" s="17">
        <v>18</v>
      </c>
      <c r="D851" s="11"/>
      <c r="E851" s="1">
        <v>2150</v>
      </c>
      <c r="F851" s="1">
        <v>2440</v>
      </c>
      <c r="G851" s="1">
        <v>61</v>
      </c>
      <c r="H851" s="11"/>
      <c r="I851" s="11"/>
      <c r="J851" s="11"/>
      <c r="K851" s="11"/>
      <c r="L851" s="17" t="s">
        <v>3309</v>
      </c>
      <c r="M851" s="17" t="s">
        <v>3310</v>
      </c>
      <c r="N851" s="27">
        <v>22</v>
      </c>
      <c r="O851" s="2"/>
    </row>
    <row r="852" spans="1:15" x14ac:dyDescent="0.2">
      <c r="A852" s="17" t="s">
        <v>3311</v>
      </c>
      <c r="B852" s="17" t="s">
        <v>3312</v>
      </c>
      <c r="C852" s="17">
        <v>6</v>
      </c>
      <c r="D852" s="11"/>
      <c r="E852" s="1">
        <v>2150</v>
      </c>
      <c r="F852" s="1">
        <v>2440</v>
      </c>
      <c r="G852" s="1">
        <v>23</v>
      </c>
      <c r="H852" s="11"/>
      <c r="I852" s="11"/>
      <c r="J852" s="11"/>
      <c r="K852" s="11"/>
      <c r="L852" s="17" t="s">
        <v>3313</v>
      </c>
      <c r="M852" s="17" t="s">
        <v>3314</v>
      </c>
      <c r="N852" s="27">
        <v>33</v>
      </c>
      <c r="O852" s="2"/>
    </row>
    <row r="853" spans="1:15" x14ac:dyDescent="0.2">
      <c r="A853" s="17" t="s">
        <v>3315</v>
      </c>
      <c r="B853" s="17" t="s">
        <v>3316</v>
      </c>
      <c r="C853" s="17">
        <v>9</v>
      </c>
      <c r="D853" s="11"/>
      <c r="E853" s="1">
        <v>2150</v>
      </c>
      <c r="F853" s="1">
        <v>2440</v>
      </c>
      <c r="G853" s="1">
        <v>33</v>
      </c>
      <c r="H853" s="11"/>
      <c r="I853" s="11"/>
      <c r="J853" s="11"/>
      <c r="K853" s="11"/>
      <c r="L853" s="17" t="s">
        <v>3317</v>
      </c>
      <c r="M853" s="17" t="s">
        <v>3318</v>
      </c>
      <c r="N853" s="27">
        <v>41</v>
      </c>
      <c r="O853" s="2"/>
    </row>
    <row r="854" spans="1:15" x14ac:dyDescent="0.2">
      <c r="A854" s="17" t="s">
        <v>3319</v>
      </c>
      <c r="B854" s="17" t="s">
        <v>3320</v>
      </c>
      <c r="C854" s="17">
        <v>15</v>
      </c>
      <c r="D854" s="11"/>
      <c r="E854" s="1">
        <v>2150</v>
      </c>
      <c r="F854" s="1">
        <v>2440</v>
      </c>
      <c r="G854" s="1">
        <v>53</v>
      </c>
      <c r="H854" s="11"/>
      <c r="I854" s="11"/>
      <c r="J854" s="11"/>
      <c r="K854" s="11"/>
      <c r="L854" s="17" t="s">
        <v>3321</v>
      </c>
      <c r="M854" s="17" t="s">
        <v>3322</v>
      </c>
      <c r="N854" s="27">
        <v>41</v>
      </c>
      <c r="O854" s="2"/>
    </row>
    <row r="855" spans="1:15" x14ac:dyDescent="0.2">
      <c r="A855" s="17" t="s">
        <v>3323</v>
      </c>
      <c r="B855" s="17" t="s">
        <v>3324</v>
      </c>
      <c r="C855" s="17">
        <v>18</v>
      </c>
      <c r="D855" s="11"/>
      <c r="E855" s="1">
        <v>2150</v>
      </c>
      <c r="F855" s="1">
        <v>2440</v>
      </c>
      <c r="G855" s="1">
        <v>61</v>
      </c>
      <c r="H855" s="11"/>
      <c r="I855" s="11"/>
      <c r="J855" s="11"/>
      <c r="K855" s="11"/>
      <c r="L855" s="17" t="s">
        <v>3325</v>
      </c>
      <c r="M855" s="17" t="s">
        <v>3326</v>
      </c>
      <c r="N855" s="27">
        <v>19</v>
      </c>
      <c r="O855" s="2"/>
    </row>
    <row r="856" spans="1:15" x14ac:dyDescent="0.2">
      <c r="A856" s="17" t="s">
        <v>3327</v>
      </c>
      <c r="B856" s="17" t="s">
        <v>3328</v>
      </c>
      <c r="C856" s="17">
        <v>36</v>
      </c>
      <c r="D856" s="11"/>
      <c r="E856" s="1">
        <v>2150</v>
      </c>
      <c r="F856" s="1">
        <v>2440</v>
      </c>
      <c r="G856" s="1">
        <v>117</v>
      </c>
      <c r="H856" s="11"/>
      <c r="I856" s="11"/>
      <c r="J856" s="11"/>
      <c r="K856" s="11"/>
      <c r="L856" s="17" t="s">
        <v>3329</v>
      </c>
      <c r="M856" s="17" t="s">
        <v>3330</v>
      </c>
      <c r="N856" s="27">
        <v>22</v>
      </c>
      <c r="O856" s="2"/>
    </row>
    <row r="857" spans="1:15" x14ac:dyDescent="0.2">
      <c r="A857" s="17" t="s">
        <v>3331</v>
      </c>
      <c r="B857" s="17" t="s">
        <v>3332</v>
      </c>
      <c r="C857" s="17">
        <v>15</v>
      </c>
      <c r="D857" s="11"/>
      <c r="E857" s="1">
        <v>2150</v>
      </c>
      <c r="F857" s="1">
        <v>2440</v>
      </c>
      <c r="G857" s="1">
        <v>53</v>
      </c>
      <c r="H857" s="11"/>
      <c r="I857" s="11"/>
      <c r="J857" s="11"/>
      <c r="K857" s="11"/>
      <c r="L857" s="17" t="s">
        <v>3333</v>
      </c>
      <c r="M857" s="17" t="s">
        <v>3334</v>
      </c>
      <c r="N857" s="27">
        <v>41</v>
      </c>
      <c r="O857" s="2"/>
    </row>
    <row r="858" spans="1:15" x14ac:dyDescent="0.2">
      <c r="A858" s="17" t="s">
        <v>3335</v>
      </c>
      <c r="B858" s="17" t="s">
        <v>3336</v>
      </c>
      <c r="C858" s="17">
        <v>18</v>
      </c>
      <c r="D858" s="11"/>
      <c r="E858" s="1">
        <v>2150</v>
      </c>
      <c r="F858" s="1">
        <v>2440</v>
      </c>
      <c r="G858" s="1">
        <v>61</v>
      </c>
      <c r="H858" s="11"/>
      <c r="I858" s="11"/>
      <c r="J858" s="11"/>
      <c r="K858" s="11"/>
      <c r="L858" s="17" t="s">
        <v>3337</v>
      </c>
      <c r="M858" s="17" t="s">
        <v>3338</v>
      </c>
      <c r="N858" s="27">
        <v>19</v>
      </c>
      <c r="O858" s="2"/>
    </row>
    <row r="859" spans="1:15" x14ac:dyDescent="0.2">
      <c r="A859" s="17" t="s">
        <v>3339</v>
      </c>
      <c r="B859" s="17" t="s">
        <v>3340</v>
      </c>
      <c r="C859" s="17">
        <v>6</v>
      </c>
      <c r="D859" s="11"/>
      <c r="E859" s="1">
        <v>2150</v>
      </c>
      <c r="F859" s="1">
        <v>2440</v>
      </c>
      <c r="G859" s="1">
        <v>23</v>
      </c>
      <c r="H859" s="11"/>
      <c r="I859" s="11"/>
      <c r="J859" s="11"/>
      <c r="K859" s="11"/>
      <c r="L859" s="17" t="s">
        <v>3341</v>
      </c>
      <c r="M859" s="17" t="s">
        <v>3342</v>
      </c>
      <c r="N859" s="27">
        <v>33</v>
      </c>
      <c r="O859" s="2"/>
    </row>
    <row r="860" spans="1:15" x14ac:dyDescent="0.2">
      <c r="A860" s="17" t="s">
        <v>3343</v>
      </c>
      <c r="B860" s="17" t="s">
        <v>3344</v>
      </c>
      <c r="C860" s="17">
        <v>15</v>
      </c>
      <c r="D860" s="11"/>
      <c r="E860" s="1">
        <v>2150</v>
      </c>
      <c r="F860" s="1">
        <v>2440</v>
      </c>
      <c r="G860" s="1">
        <v>53</v>
      </c>
      <c r="H860" s="11"/>
      <c r="I860" s="11"/>
      <c r="J860" s="11"/>
      <c r="K860" s="11"/>
      <c r="L860" s="17" t="s">
        <v>3345</v>
      </c>
      <c r="M860" s="17" t="s">
        <v>3346</v>
      </c>
      <c r="N860" s="27">
        <v>19</v>
      </c>
      <c r="O860" s="2"/>
    </row>
    <row r="861" spans="1:15" x14ac:dyDescent="0.2">
      <c r="A861" s="17" t="s">
        <v>3347</v>
      </c>
      <c r="B861" s="17" t="s">
        <v>3348</v>
      </c>
      <c r="C861" s="17">
        <v>18</v>
      </c>
      <c r="D861" s="11"/>
      <c r="E861" s="1">
        <v>2150</v>
      </c>
      <c r="F861" s="1">
        <v>2440</v>
      </c>
      <c r="G861" s="1">
        <v>61</v>
      </c>
      <c r="H861" s="11"/>
      <c r="I861" s="11"/>
      <c r="J861" s="11"/>
      <c r="K861" s="11"/>
      <c r="L861" s="17" t="s">
        <v>3349</v>
      </c>
      <c r="M861" s="17" t="s">
        <v>3350</v>
      </c>
      <c r="N861" s="27">
        <v>22</v>
      </c>
      <c r="O861" s="2"/>
    </row>
    <row r="862" spans="1:15" x14ac:dyDescent="0.2">
      <c r="A862" s="17" t="s">
        <v>3351</v>
      </c>
      <c r="B862" s="17" t="s">
        <v>3352</v>
      </c>
      <c r="C862" s="17">
        <v>6</v>
      </c>
      <c r="D862" s="11"/>
      <c r="E862" s="1">
        <v>2150</v>
      </c>
      <c r="F862" s="1">
        <v>2440</v>
      </c>
      <c r="G862" s="1">
        <v>23</v>
      </c>
      <c r="H862" s="11"/>
      <c r="I862" s="11"/>
      <c r="J862" s="11"/>
      <c r="K862" s="11"/>
      <c r="L862" s="17" t="s">
        <v>3353</v>
      </c>
      <c r="M862" s="17" t="s">
        <v>3354</v>
      </c>
      <c r="N862" s="27">
        <v>33</v>
      </c>
      <c r="O862" s="2"/>
    </row>
    <row r="863" spans="1:15" x14ac:dyDescent="0.2">
      <c r="A863" s="17" t="s">
        <v>3355</v>
      </c>
      <c r="B863" s="17" t="s">
        <v>3356</v>
      </c>
      <c r="C863" s="17">
        <v>9</v>
      </c>
      <c r="D863" s="11"/>
      <c r="E863" s="1">
        <v>2150</v>
      </c>
      <c r="F863" s="1">
        <v>2440</v>
      </c>
      <c r="G863" s="1">
        <v>33</v>
      </c>
      <c r="H863" s="11"/>
      <c r="I863" s="11"/>
      <c r="J863" s="11"/>
      <c r="K863" s="11"/>
      <c r="L863" s="17" t="s">
        <v>3357</v>
      </c>
      <c r="M863" s="17" t="s">
        <v>3358</v>
      </c>
      <c r="N863" s="27">
        <v>41</v>
      </c>
      <c r="O863" s="2"/>
    </row>
    <row r="864" spans="1:15" x14ac:dyDescent="0.2">
      <c r="A864" s="17" t="s">
        <v>3359</v>
      </c>
      <c r="B864" s="17" t="s">
        <v>3360</v>
      </c>
      <c r="C864" s="17">
        <v>15</v>
      </c>
      <c r="D864" s="1"/>
      <c r="E864" s="1">
        <v>2150</v>
      </c>
      <c r="F864" s="1">
        <v>2440</v>
      </c>
      <c r="G864" s="1">
        <v>53</v>
      </c>
      <c r="H864" s="11"/>
      <c r="I864" s="11"/>
      <c r="J864" s="11"/>
      <c r="K864" s="11"/>
      <c r="L864" s="17" t="s">
        <v>3361</v>
      </c>
      <c r="M864" s="17" t="s">
        <v>3362</v>
      </c>
      <c r="N864" s="27">
        <v>41</v>
      </c>
      <c r="O864" s="2"/>
    </row>
    <row r="865" spans="1:15" x14ac:dyDescent="0.2">
      <c r="A865" s="17" t="s">
        <v>3363</v>
      </c>
      <c r="B865" s="17" t="s">
        <v>3364</v>
      </c>
      <c r="C865" s="17">
        <v>18</v>
      </c>
      <c r="D865" s="1"/>
      <c r="E865" s="1">
        <v>2150</v>
      </c>
      <c r="F865" s="1">
        <v>2440</v>
      </c>
      <c r="G865" s="1">
        <v>61</v>
      </c>
      <c r="H865" s="11"/>
      <c r="I865" s="11"/>
      <c r="J865" s="11"/>
      <c r="K865" s="11"/>
      <c r="L865" s="17" t="s">
        <v>3365</v>
      </c>
      <c r="M865" s="17" t="s">
        <v>3366</v>
      </c>
      <c r="N865" s="27">
        <v>19</v>
      </c>
      <c r="O865" s="2"/>
    </row>
    <row r="866" spans="1:15" x14ac:dyDescent="0.2">
      <c r="A866" s="17" t="s">
        <v>3367</v>
      </c>
      <c r="B866" s="17" t="s">
        <v>3368</v>
      </c>
      <c r="C866" s="17">
        <v>25</v>
      </c>
      <c r="D866" s="1"/>
      <c r="E866" s="1">
        <v>2150</v>
      </c>
      <c r="F866" s="1">
        <v>2440</v>
      </c>
      <c r="G866" s="1">
        <v>88</v>
      </c>
      <c r="H866" s="11"/>
      <c r="I866" s="11"/>
      <c r="J866" s="11"/>
      <c r="K866" s="11"/>
      <c r="L866" s="17" t="s">
        <v>3369</v>
      </c>
      <c r="M866" s="17" t="s">
        <v>3370</v>
      </c>
      <c r="N866" s="27">
        <v>22</v>
      </c>
      <c r="O866" s="2"/>
    </row>
    <row r="867" spans="1:15" x14ac:dyDescent="0.2">
      <c r="A867" s="17" t="s">
        <v>3371</v>
      </c>
      <c r="B867" s="17" t="s">
        <v>3372</v>
      </c>
      <c r="C867" s="17">
        <v>36</v>
      </c>
      <c r="D867" s="11"/>
      <c r="E867" s="1">
        <v>2150</v>
      </c>
      <c r="F867" s="1">
        <v>2440</v>
      </c>
      <c r="G867" s="1">
        <v>117</v>
      </c>
      <c r="H867" s="1"/>
      <c r="I867" s="1"/>
      <c r="J867" s="1"/>
      <c r="K867" s="1"/>
      <c r="L867" s="17" t="s">
        <v>3373</v>
      </c>
      <c r="M867" s="17" t="s">
        <v>3374</v>
      </c>
      <c r="N867" s="27">
        <v>33</v>
      </c>
      <c r="O867" s="2"/>
    </row>
    <row r="868" spans="1:15" x14ac:dyDescent="0.2">
      <c r="A868" s="17" t="s">
        <v>3375</v>
      </c>
      <c r="B868" s="17" t="s">
        <v>3376</v>
      </c>
      <c r="C868" s="17">
        <v>15</v>
      </c>
      <c r="D868" s="11"/>
      <c r="E868" s="1">
        <v>2150</v>
      </c>
      <c r="F868" s="1">
        <v>2440</v>
      </c>
      <c r="G868" s="1">
        <v>53</v>
      </c>
      <c r="H868" s="1"/>
      <c r="I868" s="1"/>
      <c r="J868" s="1"/>
      <c r="K868" s="1"/>
      <c r="L868" s="17" t="s">
        <v>3377</v>
      </c>
      <c r="M868" s="17" t="s">
        <v>3378</v>
      </c>
      <c r="N868" s="27">
        <v>41</v>
      </c>
      <c r="O868" s="2"/>
    </row>
    <row r="869" spans="1:15" x14ac:dyDescent="0.2">
      <c r="A869" s="17" t="s">
        <v>3379</v>
      </c>
      <c r="B869" s="17" t="s">
        <v>3380</v>
      </c>
      <c r="C869" s="17">
        <v>6</v>
      </c>
      <c r="D869" s="11"/>
      <c r="E869" s="1">
        <v>2150</v>
      </c>
      <c r="F869" s="1">
        <v>2440</v>
      </c>
      <c r="G869" s="1">
        <v>23</v>
      </c>
      <c r="H869" s="1"/>
      <c r="I869" s="1"/>
      <c r="J869" s="1"/>
      <c r="K869" s="1"/>
      <c r="L869" s="17" t="s">
        <v>3381</v>
      </c>
      <c r="M869" s="17" t="s">
        <v>3382</v>
      </c>
      <c r="N869" s="27">
        <v>33</v>
      </c>
      <c r="O869" s="2"/>
    </row>
    <row r="870" spans="1:15" x14ac:dyDescent="0.2">
      <c r="A870" s="17" t="s">
        <v>3383</v>
      </c>
      <c r="B870" s="17" t="s">
        <v>3384</v>
      </c>
      <c r="C870" s="17">
        <v>15</v>
      </c>
      <c r="D870" s="11"/>
      <c r="E870" s="1">
        <v>2150</v>
      </c>
      <c r="F870" s="1">
        <v>2440</v>
      </c>
      <c r="G870" s="1">
        <v>53</v>
      </c>
      <c r="H870" s="11"/>
      <c r="I870" s="11"/>
      <c r="J870" s="11"/>
      <c r="K870" s="11"/>
      <c r="L870" s="17" t="s">
        <v>3385</v>
      </c>
      <c r="M870" s="17" t="s">
        <v>3386</v>
      </c>
      <c r="N870" s="27">
        <v>33</v>
      </c>
      <c r="O870" s="2"/>
    </row>
    <row r="871" spans="1:15" x14ac:dyDescent="0.2">
      <c r="A871" s="17" t="s">
        <v>3387</v>
      </c>
      <c r="B871" s="17" t="s">
        <v>3388</v>
      </c>
      <c r="C871" s="17">
        <v>18</v>
      </c>
      <c r="D871" s="11"/>
      <c r="E871" s="1">
        <v>2150</v>
      </c>
      <c r="F871" s="1">
        <v>2440</v>
      </c>
      <c r="G871" s="1">
        <v>61</v>
      </c>
      <c r="H871" s="11"/>
      <c r="I871" s="11"/>
      <c r="J871" s="11"/>
      <c r="K871" s="11"/>
      <c r="L871" s="17" t="s">
        <v>3389</v>
      </c>
      <c r="M871" s="17" t="s">
        <v>3390</v>
      </c>
      <c r="N871" s="27">
        <v>19</v>
      </c>
      <c r="O871" s="2"/>
    </row>
    <row r="872" spans="1:15" x14ac:dyDescent="0.2">
      <c r="A872" s="17" t="s">
        <v>3391</v>
      </c>
      <c r="B872" s="17" t="s">
        <v>3392</v>
      </c>
      <c r="C872" s="17">
        <v>25</v>
      </c>
      <c r="D872" s="11"/>
      <c r="E872" s="1">
        <v>2150</v>
      </c>
      <c r="F872" s="1">
        <v>2440</v>
      </c>
      <c r="G872" s="1">
        <v>88</v>
      </c>
      <c r="H872" s="11"/>
      <c r="I872" s="11"/>
      <c r="J872" s="11"/>
      <c r="K872" s="11"/>
      <c r="L872" s="17" t="s">
        <v>3393</v>
      </c>
      <c r="M872" s="17" t="s">
        <v>3394</v>
      </c>
      <c r="N872" s="27">
        <v>22</v>
      </c>
      <c r="O872" s="2"/>
    </row>
    <row r="873" spans="1:15" x14ac:dyDescent="0.2">
      <c r="A873" s="17" t="s">
        <v>3395</v>
      </c>
      <c r="B873" s="17" t="s">
        <v>3396</v>
      </c>
      <c r="C873" s="17">
        <v>36</v>
      </c>
      <c r="D873" s="11"/>
      <c r="E873" s="1">
        <v>2150</v>
      </c>
      <c r="F873" s="1">
        <v>2440</v>
      </c>
      <c r="G873" s="1">
        <v>117</v>
      </c>
      <c r="H873" s="11"/>
      <c r="I873" s="11"/>
      <c r="J873" s="11"/>
      <c r="K873" s="11"/>
      <c r="L873" s="17" t="s">
        <v>3397</v>
      </c>
      <c r="M873" s="17" t="s">
        <v>3398</v>
      </c>
      <c r="N873" s="27">
        <v>33</v>
      </c>
      <c r="O873" s="2"/>
    </row>
    <row r="874" spans="1:15" x14ac:dyDescent="0.2">
      <c r="A874" s="17" t="s">
        <v>3399</v>
      </c>
      <c r="B874" s="17" t="s">
        <v>3400</v>
      </c>
      <c r="C874" s="17">
        <v>9</v>
      </c>
      <c r="D874" s="11"/>
      <c r="E874" s="1">
        <v>2150</v>
      </c>
      <c r="F874" s="1">
        <v>2440</v>
      </c>
      <c r="G874" s="1">
        <v>33</v>
      </c>
      <c r="H874" s="11"/>
      <c r="I874" s="11"/>
      <c r="J874" s="11"/>
      <c r="K874" s="11"/>
      <c r="L874" s="17" t="s">
        <v>3401</v>
      </c>
      <c r="M874" s="17" t="s">
        <v>3402</v>
      </c>
      <c r="N874" s="27">
        <v>41</v>
      </c>
      <c r="O874" s="2"/>
    </row>
    <row r="875" spans="1:15" x14ac:dyDescent="0.2">
      <c r="A875" s="17" t="s">
        <v>3403</v>
      </c>
      <c r="B875" s="17" t="s">
        <v>3404</v>
      </c>
      <c r="C875" s="17">
        <v>15</v>
      </c>
      <c r="D875" s="11"/>
      <c r="E875" s="1">
        <v>2150</v>
      </c>
      <c r="F875" s="1">
        <v>2440</v>
      </c>
      <c r="G875" s="1">
        <v>53</v>
      </c>
      <c r="H875" s="11"/>
      <c r="I875" s="11"/>
      <c r="J875" s="11"/>
      <c r="K875" s="11"/>
      <c r="L875" s="17" t="s">
        <v>3405</v>
      </c>
      <c r="M875" s="17" t="s">
        <v>3406</v>
      </c>
      <c r="N875" s="27">
        <v>19</v>
      </c>
      <c r="O875" s="2"/>
    </row>
    <row r="876" spans="1:15" x14ac:dyDescent="0.2">
      <c r="A876" s="17" t="s">
        <v>3407</v>
      </c>
      <c r="B876" s="17" t="s">
        <v>3408</v>
      </c>
      <c r="C876" s="17">
        <v>6</v>
      </c>
      <c r="D876" s="11"/>
      <c r="E876" s="1">
        <v>2150</v>
      </c>
      <c r="F876" s="1">
        <v>2440</v>
      </c>
      <c r="G876" s="1">
        <v>23</v>
      </c>
      <c r="H876" s="11"/>
      <c r="I876" s="11"/>
      <c r="J876" s="11"/>
      <c r="K876" s="11"/>
      <c r="L876" s="17" t="s">
        <v>3409</v>
      </c>
      <c r="M876" s="17" t="s">
        <v>3410</v>
      </c>
      <c r="N876" s="27">
        <v>22</v>
      </c>
      <c r="O876" s="2"/>
    </row>
    <row r="877" spans="1:15" x14ac:dyDescent="0.2">
      <c r="A877" s="17" t="s">
        <v>3411</v>
      </c>
      <c r="B877" s="17" t="s">
        <v>3412</v>
      </c>
      <c r="C877" s="17">
        <v>15</v>
      </c>
      <c r="D877" s="11"/>
      <c r="E877" s="1">
        <v>2150</v>
      </c>
      <c r="F877" s="1">
        <v>2440</v>
      </c>
      <c r="G877" s="1">
        <v>53</v>
      </c>
      <c r="H877" s="11"/>
      <c r="I877" s="11"/>
      <c r="J877" s="11"/>
      <c r="K877" s="11"/>
      <c r="L877" s="17" t="s">
        <v>3413</v>
      </c>
      <c r="M877" s="17" t="s">
        <v>3414</v>
      </c>
      <c r="N877" s="27">
        <v>33</v>
      </c>
      <c r="O877" s="2"/>
    </row>
    <row r="878" spans="1:15" x14ac:dyDescent="0.2">
      <c r="A878" s="17" t="s">
        <v>3415</v>
      </c>
      <c r="B878" s="17" t="s">
        <v>3416</v>
      </c>
      <c r="C878" s="17">
        <v>18</v>
      </c>
      <c r="D878" s="11"/>
      <c r="E878" s="1">
        <v>2150</v>
      </c>
      <c r="F878" s="1">
        <v>2440</v>
      </c>
      <c r="G878" s="1">
        <v>61</v>
      </c>
      <c r="H878" s="11"/>
      <c r="I878" s="11"/>
      <c r="J878" s="11"/>
      <c r="K878" s="11"/>
      <c r="L878" s="17" t="s">
        <v>3417</v>
      </c>
      <c r="M878" s="17" t="s">
        <v>3418</v>
      </c>
      <c r="N878" s="27">
        <v>41</v>
      </c>
      <c r="O878" s="2"/>
    </row>
    <row r="879" spans="1:15" x14ac:dyDescent="0.2">
      <c r="A879" s="17" t="s">
        <v>3419</v>
      </c>
      <c r="B879" s="17" t="s">
        <v>3420</v>
      </c>
      <c r="C879" s="17">
        <v>6</v>
      </c>
      <c r="D879" s="11"/>
      <c r="E879" s="1">
        <v>2150</v>
      </c>
      <c r="F879" s="1">
        <v>2440</v>
      </c>
      <c r="G879" s="1">
        <v>23</v>
      </c>
      <c r="H879" s="11"/>
      <c r="I879" s="11"/>
      <c r="J879" s="11"/>
      <c r="K879" s="11"/>
      <c r="L879" s="17" t="s">
        <v>3421</v>
      </c>
      <c r="M879" s="17" t="s">
        <v>3422</v>
      </c>
      <c r="N879" s="27">
        <v>41</v>
      </c>
      <c r="O879" s="2"/>
    </row>
    <row r="880" spans="1:15" x14ac:dyDescent="0.2">
      <c r="A880" s="17" t="s">
        <v>3423</v>
      </c>
      <c r="B880" s="17" t="s">
        <v>3424</v>
      </c>
      <c r="C880" s="17">
        <v>15</v>
      </c>
      <c r="D880" s="11"/>
      <c r="E880" s="1">
        <v>2150</v>
      </c>
      <c r="F880" s="1">
        <v>2440</v>
      </c>
      <c r="G880" s="1">
        <v>53</v>
      </c>
      <c r="H880" s="11"/>
      <c r="I880" s="11"/>
      <c r="J880" s="11"/>
      <c r="K880" s="11"/>
      <c r="L880" s="17" t="s">
        <v>3425</v>
      </c>
      <c r="M880" s="17" t="s">
        <v>3426</v>
      </c>
      <c r="N880" s="27">
        <v>22</v>
      </c>
      <c r="O880" s="2"/>
    </row>
    <row r="881" spans="1:15" x14ac:dyDescent="0.2">
      <c r="A881" s="17" t="s">
        <v>3427</v>
      </c>
      <c r="B881" s="17" t="s">
        <v>3428</v>
      </c>
      <c r="C881" s="17">
        <v>18</v>
      </c>
      <c r="D881" s="11"/>
      <c r="E881" s="1">
        <v>2150</v>
      </c>
      <c r="F881" s="1">
        <v>2440</v>
      </c>
      <c r="G881" s="1">
        <v>61</v>
      </c>
      <c r="H881" s="11"/>
      <c r="I881" s="11"/>
      <c r="J881" s="11"/>
      <c r="K881" s="11"/>
      <c r="L881" s="17" t="s">
        <v>3429</v>
      </c>
      <c r="M881" s="17" t="s">
        <v>3430</v>
      </c>
      <c r="N881" s="27">
        <v>22</v>
      </c>
      <c r="O881" s="2"/>
    </row>
    <row r="882" spans="1:15" x14ac:dyDescent="0.2">
      <c r="A882" s="17" t="s">
        <v>3431</v>
      </c>
      <c r="B882" s="17" t="s">
        <v>3432</v>
      </c>
      <c r="C882" s="17">
        <v>36</v>
      </c>
      <c r="D882" s="11"/>
      <c r="E882" s="1">
        <v>2150</v>
      </c>
      <c r="F882" s="1">
        <v>2440</v>
      </c>
      <c r="G882" s="1">
        <v>117</v>
      </c>
      <c r="H882" s="11"/>
      <c r="I882" s="11"/>
      <c r="J882" s="11"/>
      <c r="K882" s="11"/>
      <c r="L882" s="17" t="s">
        <v>3433</v>
      </c>
      <c r="M882" s="17" t="s">
        <v>3434</v>
      </c>
      <c r="N882" s="27">
        <v>22</v>
      </c>
      <c r="O882" s="2"/>
    </row>
    <row r="883" spans="1:15" x14ac:dyDescent="0.2">
      <c r="A883" s="17" t="s">
        <v>3435</v>
      </c>
      <c r="B883" s="17" t="s">
        <v>3436</v>
      </c>
      <c r="C883" s="17">
        <v>9</v>
      </c>
      <c r="D883" s="11"/>
      <c r="E883" s="1">
        <v>2150</v>
      </c>
      <c r="F883" s="1">
        <v>2440</v>
      </c>
      <c r="G883" s="1">
        <v>33</v>
      </c>
      <c r="H883" s="11"/>
      <c r="I883" s="11"/>
      <c r="J883" s="11"/>
      <c r="K883" s="11"/>
      <c r="L883" s="17" t="s">
        <v>3437</v>
      </c>
      <c r="M883" s="17" t="s">
        <v>3438</v>
      </c>
      <c r="N883" s="27">
        <v>22</v>
      </c>
      <c r="O883" s="2"/>
    </row>
    <row r="884" spans="1:15" x14ac:dyDescent="0.2">
      <c r="A884" s="17" t="s">
        <v>3439</v>
      </c>
      <c r="B884" s="17" t="s">
        <v>3440</v>
      </c>
      <c r="C884" s="17">
        <v>15</v>
      </c>
      <c r="D884" s="28"/>
      <c r="E884" s="1">
        <v>2150</v>
      </c>
      <c r="F884" s="1">
        <v>2440</v>
      </c>
      <c r="G884" s="1">
        <v>53</v>
      </c>
      <c r="H884" s="11"/>
      <c r="I884" s="11"/>
      <c r="J884" s="11"/>
      <c r="K884" s="11"/>
      <c r="L884" s="17" t="s">
        <v>3441</v>
      </c>
      <c r="M884" s="17" t="s">
        <v>3442</v>
      </c>
      <c r="N884" s="27">
        <v>22</v>
      </c>
      <c r="O884" s="2"/>
    </row>
    <row r="885" spans="1:15" x14ac:dyDescent="0.2">
      <c r="A885" s="17" t="s">
        <v>3443</v>
      </c>
      <c r="B885" s="17" t="s">
        <v>3444</v>
      </c>
      <c r="C885" s="17">
        <v>15</v>
      </c>
      <c r="D885" s="11"/>
      <c r="E885" s="1">
        <v>2150</v>
      </c>
      <c r="F885" s="1">
        <v>2440</v>
      </c>
      <c r="G885" s="1">
        <v>52</v>
      </c>
      <c r="H885" s="11"/>
      <c r="I885" s="11"/>
      <c r="J885" s="11"/>
      <c r="K885" s="11"/>
      <c r="L885" s="17" t="s">
        <v>3445</v>
      </c>
      <c r="M885" s="17" t="s">
        <v>3446</v>
      </c>
      <c r="N885" s="27">
        <v>22</v>
      </c>
      <c r="O885" s="2"/>
    </row>
    <row r="886" spans="1:15" x14ac:dyDescent="0.2">
      <c r="A886" s="17" t="s">
        <v>3447</v>
      </c>
      <c r="B886" s="17" t="s">
        <v>3448</v>
      </c>
      <c r="C886" s="17">
        <v>36</v>
      </c>
      <c r="D886" s="11"/>
      <c r="E886" s="1">
        <v>2150</v>
      </c>
      <c r="F886" s="1">
        <v>2440</v>
      </c>
      <c r="G886" s="1">
        <v>117</v>
      </c>
      <c r="H886" s="11"/>
      <c r="I886" s="11"/>
      <c r="J886" s="11"/>
      <c r="K886" s="11"/>
      <c r="L886" s="17" t="s">
        <v>3449</v>
      </c>
      <c r="M886" s="17" t="s">
        <v>3450</v>
      </c>
      <c r="N886" s="27">
        <v>22</v>
      </c>
      <c r="O886" s="2"/>
    </row>
    <row r="887" spans="1:15" x14ac:dyDescent="0.2">
      <c r="A887" s="17" t="s">
        <v>3451</v>
      </c>
      <c r="B887" s="17" t="s">
        <v>3452</v>
      </c>
      <c r="C887" s="17">
        <v>9</v>
      </c>
      <c r="D887" s="11"/>
      <c r="E887" s="1">
        <v>2150</v>
      </c>
      <c r="F887" s="1">
        <v>2440</v>
      </c>
      <c r="G887" s="1">
        <v>33</v>
      </c>
      <c r="H887" s="28"/>
      <c r="I887" s="28"/>
      <c r="J887" s="28"/>
      <c r="K887" s="28"/>
      <c r="L887" s="17" t="s">
        <v>3453</v>
      </c>
      <c r="M887" s="17" t="s">
        <v>3454</v>
      </c>
      <c r="N887" s="27">
        <v>22</v>
      </c>
      <c r="O887" s="2"/>
    </row>
    <row r="888" spans="1:15" x14ac:dyDescent="0.2">
      <c r="A888" s="17" t="s">
        <v>3455</v>
      </c>
      <c r="B888" s="17" t="s">
        <v>3456</v>
      </c>
      <c r="C888" s="17">
        <v>15</v>
      </c>
      <c r="D888" s="11"/>
      <c r="E888" s="1">
        <v>2150</v>
      </c>
      <c r="F888" s="1">
        <v>2440</v>
      </c>
      <c r="G888" s="1">
        <v>53</v>
      </c>
      <c r="H888" s="11"/>
      <c r="I888" s="11"/>
      <c r="J888" s="11"/>
      <c r="K888" s="11"/>
      <c r="L888" s="17" t="s">
        <v>3457</v>
      </c>
      <c r="M888" s="17" t="s">
        <v>3458</v>
      </c>
      <c r="N888" s="27">
        <v>22</v>
      </c>
      <c r="O888" s="2"/>
    </row>
    <row r="889" spans="1:15" x14ac:dyDescent="0.2">
      <c r="A889" s="17" t="s">
        <v>3459</v>
      </c>
      <c r="B889" s="17" t="s">
        <v>3460</v>
      </c>
      <c r="C889" s="17">
        <v>15</v>
      </c>
      <c r="D889" s="1"/>
      <c r="E889" s="1">
        <v>2150</v>
      </c>
      <c r="F889" s="1">
        <v>2440</v>
      </c>
      <c r="G889" s="1">
        <v>53</v>
      </c>
      <c r="H889" s="11"/>
      <c r="I889" s="11"/>
      <c r="J889" s="11"/>
      <c r="K889" s="11"/>
      <c r="L889" s="17" t="s">
        <v>3461</v>
      </c>
      <c r="M889" s="17" t="s">
        <v>3462</v>
      </c>
      <c r="N889" s="27">
        <v>22</v>
      </c>
      <c r="O889" s="2"/>
    </row>
    <row r="890" spans="1:15" x14ac:dyDescent="0.2">
      <c r="A890" s="17" t="s">
        <v>3463</v>
      </c>
      <c r="B890" s="17" t="s">
        <v>3464</v>
      </c>
      <c r="C890" s="17">
        <v>18</v>
      </c>
      <c r="D890" s="11"/>
      <c r="E890" s="1">
        <v>2150</v>
      </c>
      <c r="F890" s="1">
        <v>2440</v>
      </c>
      <c r="G890" s="1">
        <v>61</v>
      </c>
      <c r="H890" s="11"/>
      <c r="I890" s="11"/>
      <c r="J890" s="11"/>
      <c r="K890" s="11"/>
      <c r="L890" s="17" t="s">
        <v>3465</v>
      </c>
      <c r="M890" s="17" t="s">
        <v>3466</v>
      </c>
      <c r="N890" s="27">
        <v>22</v>
      </c>
      <c r="O890" s="2"/>
    </row>
    <row r="891" spans="1:15" x14ac:dyDescent="0.2">
      <c r="A891" s="17" t="s">
        <v>3467</v>
      </c>
      <c r="B891" s="17" t="s">
        <v>3468</v>
      </c>
      <c r="C891" s="17">
        <v>36</v>
      </c>
      <c r="E891" s="1">
        <v>2150</v>
      </c>
      <c r="F891" s="1">
        <v>2440</v>
      </c>
      <c r="G891" s="1">
        <v>117</v>
      </c>
      <c r="H891" s="11"/>
      <c r="I891" s="11"/>
      <c r="J891" s="11"/>
      <c r="K891" s="11"/>
      <c r="L891" s="17" t="s">
        <v>3469</v>
      </c>
      <c r="M891" s="17" t="s">
        <v>3470</v>
      </c>
      <c r="N891" s="27">
        <v>22</v>
      </c>
      <c r="O891" s="2"/>
    </row>
    <row r="892" spans="1:15" x14ac:dyDescent="0.2">
      <c r="A892" s="17" t="s">
        <v>3471</v>
      </c>
      <c r="B892" s="17" t="s">
        <v>3472</v>
      </c>
      <c r="C892" s="17">
        <v>6</v>
      </c>
      <c r="D892" s="11"/>
      <c r="E892" s="1">
        <v>2150</v>
      </c>
      <c r="F892" s="1">
        <v>2440</v>
      </c>
      <c r="G892" s="1">
        <v>23</v>
      </c>
      <c r="H892" s="1"/>
      <c r="I892" s="1"/>
      <c r="J892" s="1"/>
      <c r="K892" s="1"/>
      <c r="L892" s="17" t="s">
        <v>3473</v>
      </c>
      <c r="M892" s="17" t="s">
        <v>3474</v>
      </c>
      <c r="N892" s="27">
        <v>15</v>
      </c>
      <c r="O892" s="2"/>
    </row>
    <row r="893" spans="1:15" x14ac:dyDescent="0.2">
      <c r="A893" s="17" t="s">
        <v>3475</v>
      </c>
      <c r="B893" s="17" t="s">
        <v>3476</v>
      </c>
      <c r="C893" s="17">
        <v>15</v>
      </c>
      <c r="E893" s="1">
        <v>2150</v>
      </c>
      <c r="F893" s="1">
        <v>2440</v>
      </c>
      <c r="G893" s="1">
        <v>53</v>
      </c>
      <c r="H893" s="11"/>
      <c r="I893" s="11"/>
      <c r="J893" s="11"/>
      <c r="K893" s="11"/>
      <c r="L893" s="17" t="s">
        <v>3477</v>
      </c>
      <c r="M893" s="17" t="s">
        <v>3478</v>
      </c>
      <c r="N893" s="27">
        <v>18</v>
      </c>
      <c r="O893" s="2"/>
    </row>
    <row r="894" spans="1:15" x14ac:dyDescent="0.2">
      <c r="A894" s="17" t="s">
        <v>3479</v>
      </c>
      <c r="B894" s="17" t="s">
        <v>3480</v>
      </c>
      <c r="C894" s="17">
        <v>18</v>
      </c>
      <c r="E894" s="1">
        <v>2150</v>
      </c>
      <c r="F894" s="1">
        <v>2440</v>
      </c>
      <c r="G894" s="1">
        <v>61</v>
      </c>
      <c r="L894" s="17" t="s">
        <v>3481</v>
      </c>
      <c r="M894" s="17" t="s">
        <v>3482</v>
      </c>
      <c r="N894" s="27">
        <v>18</v>
      </c>
      <c r="O894" s="2"/>
    </row>
    <row r="895" spans="1:15" x14ac:dyDescent="0.2">
      <c r="A895" s="17" t="s">
        <v>3483</v>
      </c>
      <c r="B895" s="17" t="s">
        <v>3484</v>
      </c>
      <c r="C895" s="17">
        <v>36</v>
      </c>
      <c r="E895" s="1">
        <v>2150</v>
      </c>
      <c r="F895" s="1">
        <v>2440</v>
      </c>
      <c r="G895" s="1">
        <v>117</v>
      </c>
      <c r="H895" s="11"/>
      <c r="I895" s="11"/>
      <c r="J895" s="11"/>
      <c r="K895" s="11"/>
      <c r="L895" s="17" t="s">
        <v>3485</v>
      </c>
      <c r="M895" s="17" t="s">
        <v>3486</v>
      </c>
      <c r="N895" s="27">
        <v>19</v>
      </c>
      <c r="O895" s="2"/>
    </row>
    <row r="896" spans="1:15" x14ac:dyDescent="0.2">
      <c r="A896" s="17" t="s">
        <v>3487</v>
      </c>
      <c r="B896" s="17" t="s">
        <v>3488</v>
      </c>
      <c r="C896" s="17">
        <v>9</v>
      </c>
      <c r="E896" s="1">
        <v>2150</v>
      </c>
      <c r="F896" s="1">
        <v>2440</v>
      </c>
      <c r="G896" s="1">
        <v>33</v>
      </c>
      <c r="L896" s="17" t="s">
        <v>3489</v>
      </c>
      <c r="M896" s="17" t="s">
        <v>3490</v>
      </c>
      <c r="N896" s="27">
        <v>22</v>
      </c>
      <c r="O896" s="2"/>
    </row>
    <row r="897" spans="1:15" x14ac:dyDescent="0.2">
      <c r="A897" s="17" t="s">
        <v>3491</v>
      </c>
      <c r="B897" s="17" t="s">
        <v>3492</v>
      </c>
      <c r="C897" s="17">
        <v>15</v>
      </c>
      <c r="E897" s="1">
        <v>2150</v>
      </c>
      <c r="F897" s="1">
        <v>2440</v>
      </c>
      <c r="G897" s="1">
        <v>53</v>
      </c>
      <c r="L897" s="17" t="s">
        <v>3493</v>
      </c>
      <c r="M897" s="17" t="s">
        <v>3494</v>
      </c>
      <c r="N897" s="27">
        <v>33</v>
      </c>
      <c r="O897" s="2"/>
    </row>
    <row r="898" spans="1:15" x14ac:dyDescent="0.2">
      <c r="A898" s="17" t="s">
        <v>3495</v>
      </c>
      <c r="B898" s="17" t="s">
        <v>3496</v>
      </c>
      <c r="C898" s="17">
        <v>15</v>
      </c>
      <c r="E898" s="1">
        <v>2150</v>
      </c>
      <c r="F898" s="1">
        <v>2440</v>
      </c>
      <c r="G898" s="1">
        <v>52</v>
      </c>
      <c r="L898" s="17" t="s">
        <v>3497</v>
      </c>
      <c r="M898" s="17" t="s">
        <v>3498</v>
      </c>
      <c r="N898" s="27">
        <v>41</v>
      </c>
      <c r="O898" s="2"/>
    </row>
    <row r="899" spans="1:15" x14ac:dyDescent="0.2">
      <c r="A899" s="17" t="s">
        <v>3499</v>
      </c>
      <c r="B899" s="17" t="s">
        <v>3500</v>
      </c>
      <c r="C899" s="17">
        <v>6</v>
      </c>
      <c r="E899" s="1">
        <v>1830</v>
      </c>
      <c r="F899" s="1">
        <v>2440</v>
      </c>
      <c r="G899" s="1">
        <v>23</v>
      </c>
      <c r="L899" s="17" t="s">
        <v>3501</v>
      </c>
      <c r="M899" s="17" t="s">
        <v>3502</v>
      </c>
      <c r="N899" s="27">
        <v>22</v>
      </c>
      <c r="O899" s="2"/>
    </row>
    <row r="900" spans="1:15" x14ac:dyDescent="0.2">
      <c r="A900" s="17" t="s">
        <v>3503</v>
      </c>
      <c r="B900" s="17" t="s">
        <v>3504</v>
      </c>
      <c r="C900" s="17">
        <v>15</v>
      </c>
      <c r="E900" s="1">
        <v>2150</v>
      </c>
      <c r="F900" s="1">
        <v>2440</v>
      </c>
      <c r="G900" s="1">
        <v>52</v>
      </c>
      <c r="L900" s="17" t="s">
        <v>3505</v>
      </c>
      <c r="M900" s="17" t="s">
        <v>3506</v>
      </c>
      <c r="N900" s="27">
        <v>19</v>
      </c>
      <c r="O900" s="2"/>
    </row>
    <row r="901" spans="1:15" x14ac:dyDescent="0.2">
      <c r="A901" s="17" t="s">
        <v>3507</v>
      </c>
      <c r="B901" s="17" t="s">
        <v>3508</v>
      </c>
      <c r="C901" s="17">
        <v>18</v>
      </c>
      <c r="E901" s="1">
        <v>2150</v>
      </c>
      <c r="F901" s="1">
        <v>2440</v>
      </c>
      <c r="G901" s="1">
        <v>61</v>
      </c>
      <c r="L901" s="17" t="s">
        <v>3509</v>
      </c>
      <c r="M901" s="17" t="s">
        <v>3510</v>
      </c>
      <c r="N901" s="27">
        <v>22</v>
      </c>
      <c r="O901" s="2"/>
    </row>
    <row r="902" spans="1:15" x14ac:dyDescent="0.2">
      <c r="A902" s="17" t="s">
        <v>3511</v>
      </c>
      <c r="B902" s="17" t="s">
        <v>3512</v>
      </c>
      <c r="C902" s="17">
        <v>15</v>
      </c>
      <c r="E902" s="1">
        <v>2150</v>
      </c>
      <c r="F902" s="1">
        <v>2440</v>
      </c>
      <c r="G902" s="1">
        <v>52</v>
      </c>
      <c r="L902" s="17" t="s">
        <v>3513</v>
      </c>
      <c r="M902" s="17" t="s">
        <v>3514</v>
      </c>
      <c r="N902" s="27">
        <v>33</v>
      </c>
      <c r="O902" s="2"/>
    </row>
    <row r="903" spans="1:15" x14ac:dyDescent="0.2">
      <c r="A903" s="17" t="s">
        <v>3515</v>
      </c>
      <c r="B903" s="17" t="s">
        <v>3516</v>
      </c>
      <c r="C903" s="17">
        <v>15</v>
      </c>
      <c r="E903" s="1">
        <v>1830</v>
      </c>
      <c r="F903" s="1">
        <v>2440</v>
      </c>
      <c r="G903" s="1">
        <v>41</v>
      </c>
      <c r="L903" s="17" t="s">
        <v>3517</v>
      </c>
      <c r="M903" s="17" t="s">
        <v>3518</v>
      </c>
      <c r="N903" s="27">
        <v>41</v>
      </c>
      <c r="O903" s="2"/>
    </row>
    <row r="904" spans="1:15" x14ac:dyDescent="0.2">
      <c r="A904" s="17" t="s">
        <v>3519</v>
      </c>
      <c r="B904" s="17" t="s">
        <v>3520</v>
      </c>
      <c r="C904" s="17">
        <v>15</v>
      </c>
      <c r="E904" s="1">
        <v>2150</v>
      </c>
      <c r="F904" s="1">
        <v>2440</v>
      </c>
      <c r="G904" s="1">
        <v>50</v>
      </c>
      <c r="L904" s="17" t="s">
        <v>3521</v>
      </c>
      <c r="M904" s="17" t="s">
        <v>3522</v>
      </c>
      <c r="N904" s="27">
        <v>19</v>
      </c>
      <c r="O904" s="2"/>
    </row>
    <row r="905" spans="1:15" x14ac:dyDescent="0.2">
      <c r="A905" s="17" t="s">
        <v>3523</v>
      </c>
      <c r="B905" s="17" t="s">
        <v>3524</v>
      </c>
      <c r="C905" s="17">
        <v>15</v>
      </c>
      <c r="E905" s="1">
        <v>2150</v>
      </c>
      <c r="F905" s="1">
        <v>2440</v>
      </c>
      <c r="G905" s="1">
        <v>52</v>
      </c>
      <c r="L905" s="17" t="s">
        <v>3525</v>
      </c>
      <c r="M905" s="17" t="s">
        <v>3526</v>
      </c>
      <c r="N905" s="27">
        <v>22</v>
      </c>
      <c r="O905" s="2"/>
    </row>
    <row r="906" spans="1:15" x14ac:dyDescent="0.2">
      <c r="A906" s="17" t="s">
        <v>3527</v>
      </c>
      <c r="B906" s="17" t="s">
        <v>3528</v>
      </c>
      <c r="C906" s="17">
        <v>15</v>
      </c>
      <c r="E906" s="1">
        <v>2150</v>
      </c>
      <c r="F906" s="1">
        <v>2440</v>
      </c>
      <c r="G906" s="1">
        <v>52</v>
      </c>
      <c r="L906" s="17" t="s">
        <v>3529</v>
      </c>
      <c r="M906" s="17" t="s">
        <v>3530</v>
      </c>
      <c r="N906" s="27">
        <v>33</v>
      </c>
      <c r="O906" s="2"/>
    </row>
    <row r="907" spans="1:15" x14ac:dyDescent="0.2">
      <c r="A907" s="17" t="s">
        <v>3531</v>
      </c>
      <c r="B907" s="17" t="s">
        <v>3532</v>
      </c>
      <c r="C907" s="17">
        <v>15</v>
      </c>
      <c r="E907" s="1">
        <v>2150</v>
      </c>
      <c r="F907" s="1">
        <v>2440</v>
      </c>
      <c r="G907" s="1">
        <v>56</v>
      </c>
      <c r="L907" s="17" t="s">
        <v>3533</v>
      </c>
      <c r="M907" s="17" t="s">
        <v>3534</v>
      </c>
      <c r="N907" s="27">
        <v>41</v>
      </c>
      <c r="O907" s="2"/>
    </row>
    <row r="908" spans="1:15" x14ac:dyDescent="0.2">
      <c r="A908" s="17" t="s">
        <v>3535</v>
      </c>
      <c r="B908" s="17" t="s">
        <v>3536</v>
      </c>
      <c r="C908" s="17">
        <v>18</v>
      </c>
      <c r="E908" s="1">
        <v>2150</v>
      </c>
      <c r="F908" s="1">
        <v>2440</v>
      </c>
      <c r="G908" s="1">
        <v>67</v>
      </c>
      <c r="L908" s="17" t="s">
        <v>3537</v>
      </c>
      <c r="M908" s="17" t="s">
        <v>3538</v>
      </c>
      <c r="N908" s="27">
        <v>41</v>
      </c>
      <c r="O908" s="2"/>
    </row>
    <row r="909" spans="1:15" x14ac:dyDescent="0.2">
      <c r="A909" s="17" t="s">
        <v>3539</v>
      </c>
      <c r="B909" s="17" t="s">
        <v>3540</v>
      </c>
      <c r="C909" s="17">
        <v>15</v>
      </c>
      <c r="E909" s="1">
        <v>2150</v>
      </c>
      <c r="F909" s="1">
        <v>2440</v>
      </c>
      <c r="G909" s="1">
        <v>56</v>
      </c>
      <c r="L909" s="17" t="s">
        <v>3541</v>
      </c>
      <c r="M909" s="17" t="s">
        <v>3542</v>
      </c>
      <c r="N909" s="27">
        <v>19</v>
      </c>
      <c r="O909" s="2"/>
    </row>
    <row r="910" spans="1:15" x14ac:dyDescent="0.2">
      <c r="A910" s="17" t="s">
        <v>3543</v>
      </c>
      <c r="B910" s="17" t="s">
        <v>3544</v>
      </c>
      <c r="C910" s="17">
        <v>15</v>
      </c>
      <c r="E910" s="1">
        <v>1830</v>
      </c>
      <c r="F910" s="1">
        <v>2440</v>
      </c>
      <c r="G910" s="1">
        <v>41</v>
      </c>
      <c r="L910" s="17" t="s">
        <v>3545</v>
      </c>
      <c r="M910" s="17" t="s">
        <v>3546</v>
      </c>
      <c r="N910" s="27">
        <v>22</v>
      </c>
      <c r="O910" s="2"/>
    </row>
    <row r="911" spans="1:15" x14ac:dyDescent="0.2">
      <c r="A911" s="17" t="s">
        <v>3547</v>
      </c>
      <c r="B911" s="17" t="s">
        <v>3548</v>
      </c>
      <c r="C911" s="17">
        <v>15</v>
      </c>
      <c r="D911" s="11"/>
      <c r="E911" s="1">
        <v>1830</v>
      </c>
      <c r="F911" s="1">
        <v>2440</v>
      </c>
      <c r="G911" s="1">
        <v>41</v>
      </c>
      <c r="L911" s="17" t="s">
        <v>3549</v>
      </c>
      <c r="M911" s="17" t="s">
        <v>3550</v>
      </c>
      <c r="N911" s="27">
        <v>41</v>
      </c>
      <c r="O911" s="2"/>
    </row>
    <row r="912" spans="1:15" x14ac:dyDescent="0.2">
      <c r="A912" s="17" t="s">
        <v>3551</v>
      </c>
      <c r="B912" s="17" t="s">
        <v>3552</v>
      </c>
      <c r="C912" s="17">
        <v>15</v>
      </c>
      <c r="D912" s="11"/>
      <c r="E912" s="1">
        <v>2150</v>
      </c>
      <c r="F912" s="1">
        <v>2440</v>
      </c>
      <c r="G912" s="1">
        <v>56</v>
      </c>
      <c r="L912" s="17" t="s">
        <v>3553</v>
      </c>
      <c r="M912" s="17" t="s">
        <v>3554</v>
      </c>
      <c r="N912" s="27">
        <v>19</v>
      </c>
      <c r="O912" s="2"/>
    </row>
    <row r="913" spans="1:15" x14ac:dyDescent="0.2">
      <c r="A913" s="17" t="s">
        <v>3555</v>
      </c>
      <c r="B913" s="29" t="s">
        <v>3556</v>
      </c>
      <c r="C913" s="17">
        <v>4</v>
      </c>
      <c r="E913" s="1">
        <v>2150</v>
      </c>
      <c r="F913" s="1">
        <v>2440</v>
      </c>
      <c r="G913" s="1">
        <v>117</v>
      </c>
      <c r="L913" s="17" t="s">
        <v>3557</v>
      </c>
      <c r="M913" s="17" t="s">
        <v>3558</v>
      </c>
      <c r="N913" s="27">
        <v>22</v>
      </c>
      <c r="O913" s="2"/>
    </row>
    <row r="914" spans="1:15" x14ac:dyDescent="0.2">
      <c r="A914" s="17" t="s">
        <v>3559</v>
      </c>
      <c r="B914" s="17" t="s">
        <v>3560</v>
      </c>
      <c r="C914" s="17">
        <v>19</v>
      </c>
      <c r="E914" s="1">
        <v>1830</v>
      </c>
      <c r="F914" s="1">
        <v>2440</v>
      </c>
      <c r="G914" s="1">
        <v>55</v>
      </c>
      <c r="H914" s="11"/>
      <c r="I914" s="11"/>
      <c r="J914" s="11"/>
      <c r="K914" s="11"/>
      <c r="L914" s="17" t="s">
        <v>3561</v>
      </c>
      <c r="M914" s="17" t="s">
        <v>3562</v>
      </c>
      <c r="N914" s="27">
        <v>33</v>
      </c>
      <c r="O914" s="2"/>
    </row>
    <row r="915" spans="1:15" x14ac:dyDescent="0.2">
      <c r="A915" s="17" t="s">
        <v>3563</v>
      </c>
      <c r="B915" s="17" t="s">
        <v>3564</v>
      </c>
      <c r="C915" s="17">
        <v>30</v>
      </c>
      <c r="E915" s="1">
        <v>1830</v>
      </c>
      <c r="F915" s="1">
        <v>2440</v>
      </c>
      <c r="G915" s="1">
        <v>80</v>
      </c>
      <c r="H915" s="11"/>
      <c r="I915" s="11"/>
      <c r="J915" s="11"/>
      <c r="K915" s="11"/>
      <c r="L915" s="17" t="s">
        <v>3565</v>
      </c>
      <c r="M915" s="17" t="s">
        <v>3566</v>
      </c>
      <c r="N915" s="27">
        <v>41</v>
      </c>
      <c r="O915" s="2"/>
    </row>
    <row r="916" spans="1:15" x14ac:dyDescent="0.2">
      <c r="A916" s="17" t="s">
        <v>3567</v>
      </c>
      <c r="B916" s="17" t="s">
        <v>3568</v>
      </c>
      <c r="C916" s="17">
        <v>19</v>
      </c>
      <c r="E916" s="1">
        <v>1530</v>
      </c>
      <c r="F916" s="1">
        <v>2440</v>
      </c>
      <c r="G916" s="1">
        <v>46</v>
      </c>
      <c r="H916" s="1"/>
      <c r="I916" s="1"/>
      <c r="J916" s="1"/>
      <c r="K916" s="1"/>
      <c r="L916" s="17" t="s">
        <v>3569</v>
      </c>
      <c r="M916" s="17" t="s">
        <v>3570</v>
      </c>
      <c r="N916" s="27">
        <v>22</v>
      </c>
      <c r="O916" s="2"/>
    </row>
    <row r="917" spans="1:15" x14ac:dyDescent="0.2">
      <c r="A917" s="17" t="s">
        <v>3571</v>
      </c>
      <c r="B917" s="17" t="s">
        <v>3572</v>
      </c>
      <c r="C917" s="17">
        <v>30</v>
      </c>
      <c r="E917" s="1">
        <v>1530</v>
      </c>
      <c r="F917" s="1">
        <v>2440</v>
      </c>
      <c r="G917" s="1">
        <v>59</v>
      </c>
      <c r="H917" s="1"/>
      <c r="I917" s="1"/>
      <c r="J917" s="1"/>
      <c r="K917" s="1"/>
      <c r="L917" s="17" t="s">
        <v>3573</v>
      </c>
      <c r="M917" s="17" t="s">
        <v>3574</v>
      </c>
      <c r="N917" s="27">
        <v>19</v>
      </c>
      <c r="O917" s="2"/>
    </row>
    <row r="918" spans="1:15" x14ac:dyDescent="0.2">
      <c r="A918" s="17" t="s">
        <v>3575</v>
      </c>
      <c r="B918" s="17" t="s">
        <v>3576</v>
      </c>
      <c r="C918" s="17">
        <v>19</v>
      </c>
      <c r="E918" s="1">
        <v>1830</v>
      </c>
      <c r="F918" s="1">
        <v>2440</v>
      </c>
      <c r="G918" s="1">
        <v>55</v>
      </c>
      <c r="H918" s="1"/>
      <c r="I918" s="1"/>
      <c r="J918" s="1"/>
      <c r="K918" s="1"/>
      <c r="L918" s="17" t="s">
        <v>3577</v>
      </c>
      <c r="M918" s="17" t="s">
        <v>3578</v>
      </c>
      <c r="N918" s="27">
        <v>22</v>
      </c>
      <c r="O918" s="2"/>
    </row>
    <row r="919" spans="1:15" x14ac:dyDescent="0.2">
      <c r="A919" s="17" t="s">
        <v>3579</v>
      </c>
      <c r="B919" s="17" t="s">
        <v>3580</v>
      </c>
      <c r="C919" s="17">
        <v>30</v>
      </c>
      <c r="D919" s="1"/>
      <c r="E919" s="1">
        <v>1830</v>
      </c>
      <c r="F919" s="1">
        <v>2440</v>
      </c>
      <c r="G919" s="1">
        <v>80</v>
      </c>
      <c r="H919" s="1"/>
      <c r="I919" s="1"/>
      <c r="J919" s="1"/>
      <c r="K919" s="1"/>
      <c r="L919" s="17" t="s">
        <v>3581</v>
      </c>
      <c r="M919" s="17" t="s">
        <v>3582</v>
      </c>
      <c r="N919" s="27">
        <v>33</v>
      </c>
      <c r="O919" s="2"/>
    </row>
    <row r="920" spans="1:15" x14ac:dyDescent="0.2">
      <c r="A920" s="17" t="s">
        <v>3583</v>
      </c>
      <c r="B920" s="17" t="s">
        <v>3584</v>
      </c>
      <c r="C920" s="17">
        <v>15</v>
      </c>
      <c r="D920" s="1"/>
      <c r="E920" s="1">
        <v>1830</v>
      </c>
      <c r="F920" s="1">
        <v>2440</v>
      </c>
      <c r="G920" s="1">
        <v>41</v>
      </c>
      <c r="H920" s="1"/>
      <c r="I920" s="1"/>
      <c r="J920" s="1"/>
      <c r="K920" s="1"/>
      <c r="L920" s="17" t="s">
        <v>3585</v>
      </c>
      <c r="M920" s="17" t="s">
        <v>3586</v>
      </c>
      <c r="N920" s="27">
        <v>41</v>
      </c>
      <c r="O920" s="2"/>
    </row>
    <row r="921" spans="1:15" x14ac:dyDescent="0.2">
      <c r="A921" s="17" t="s">
        <v>3587</v>
      </c>
      <c r="B921" s="17" t="s">
        <v>3588</v>
      </c>
      <c r="C921" s="17">
        <v>4</v>
      </c>
      <c r="D921" s="1"/>
      <c r="E921" s="1">
        <v>1830</v>
      </c>
      <c r="F921" s="1">
        <v>2440</v>
      </c>
      <c r="G921" s="1">
        <v>12</v>
      </c>
      <c r="H921" s="1"/>
      <c r="I921" s="1"/>
      <c r="J921" s="1"/>
      <c r="K921" s="1"/>
      <c r="L921" s="17" t="s">
        <v>3589</v>
      </c>
      <c r="M921" s="17" t="s">
        <v>3590</v>
      </c>
      <c r="N921" s="27">
        <v>19</v>
      </c>
      <c r="O921" s="2"/>
    </row>
    <row r="922" spans="1:15" x14ac:dyDescent="0.2">
      <c r="A922" s="17" t="s">
        <v>3591</v>
      </c>
      <c r="B922" s="17" t="s">
        <v>3592</v>
      </c>
      <c r="C922" s="17">
        <v>19</v>
      </c>
      <c r="D922" s="1"/>
      <c r="E922" s="1">
        <v>1830</v>
      </c>
      <c r="F922" s="1">
        <v>2440</v>
      </c>
      <c r="G922" s="1">
        <v>55</v>
      </c>
      <c r="H922" s="1"/>
      <c r="I922" s="1"/>
      <c r="J922" s="1"/>
      <c r="K922" s="1"/>
      <c r="L922" s="17" t="s">
        <v>3593</v>
      </c>
      <c r="M922" s="17" t="s">
        <v>3594</v>
      </c>
      <c r="N922" s="27">
        <v>22</v>
      </c>
      <c r="O922" s="2"/>
    </row>
    <row r="923" spans="1:15" x14ac:dyDescent="0.2">
      <c r="A923" s="17" t="s">
        <v>3595</v>
      </c>
      <c r="B923" s="17" t="s">
        <v>3596</v>
      </c>
      <c r="C923" s="17">
        <v>4</v>
      </c>
      <c r="D923" s="1"/>
      <c r="E923" s="1">
        <v>1830</v>
      </c>
      <c r="F923" s="1">
        <v>2440</v>
      </c>
      <c r="G923" s="1">
        <v>14</v>
      </c>
      <c r="H923" s="1"/>
      <c r="I923" s="1"/>
      <c r="J923" s="1"/>
      <c r="K923" s="1"/>
      <c r="L923" s="17" t="s">
        <v>3597</v>
      </c>
      <c r="M923" s="17" t="s">
        <v>3598</v>
      </c>
      <c r="N923" s="27">
        <v>33</v>
      </c>
      <c r="O923" s="2"/>
    </row>
    <row r="924" spans="1:15" x14ac:dyDescent="0.2">
      <c r="A924" s="17" t="s">
        <v>3599</v>
      </c>
      <c r="B924" s="17" t="s">
        <v>3600</v>
      </c>
      <c r="C924" s="17">
        <v>19</v>
      </c>
      <c r="D924" s="1"/>
      <c r="E924" s="1">
        <v>1530</v>
      </c>
      <c r="F924" s="1">
        <v>2440</v>
      </c>
      <c r="G924" s="1">
        <v>46</v>
      </c>
      <c r="H924" s="1"/>
      <c r="I924" s="1"/>
      <c r="J924" s="1"/>
      <c r="K924" s="1"/>
      <c r="L924" s="17" t="s">
        <v>3601</v>
      </c>
      <c r="M924" s="17" t="s">
        <v>3602</v>
      </c>
      <c r="N924" s="27">
        <v>41</v>
      </c>
      <c r="O924" s="2"/>
    </row>
    <row r="925" spans="1:15" x14ac:dyDescent="0.2">
      <c r="A925" s="17" t="s">
        <v>3603</v>
      </c>
      <c r="B925" s="17" t="s">
        <v>3604</v>
      </c>
      <c r="C925" s="17">
        <v>36</v>
      </c>
      <c r="D925" s="1"/>
      <c r="E925" s="1">
        <v>1530</v>
      </c>
      <c r="F925" s="1">
        <v>2440</v>
      </c>
      <c r="G925" s="1">
        <v>83</v>
      </c>
      <c r="H925" s="1"/>
      <c r="I925" s="1"/>
      <c r="J925" s="1"/>
      <c r="K925" s="1"/>
      <c r="L925" s="17" t="s">
        <v>3605</v>
      </c>
      <c r="M925" s="17" t="s">
        <v>3606</v>
      </c>
      <c r="N925" s="27">
        <v>19</v>
      </c>
      <c r="O925" s="2"/>
    </row>
    <row r="926" spans="1:15" x14ac:dyDescent="0.2">
      <c r="A926" s="17" t="s">
        <v>3607</v>
      </c>
      <c r="B926" s="17" t="s">
        <v>3608</v>
      </c>
      <c r="C926" s="17">
        <v>15</v>
      </c>
      <c r="D926" s="1"/>
      <c r="E926" s="1">
        <v>1830</v>
      </c>
      <c r="F926" s="1">
        <v>2440</v>
      </c>
      <c r="G926" s="1">
        <v>41</v>
      </c>
      <c r="H926" s="1"/>
      <c r="I926" s="1"/>
      <c r="J926" s="1"/>
      <c r="K926" s="1"/>
      <c r="L926" s="17" t="s">
        <v>3609</v>
      </c>
      <c r="M926" s="17" t="s">
        <v>3610</v>
      </c>
      <c r="N926" s="27">
        <v>33</v>
      </c>
      <c r="O926" s="2"/>
    </row>
    <row r="927" spans="1:15" x14ac:dyDescent="0.2">
      <c r="A927" s="17" t="s">
        <v>3611</v>
      </c>
      <c r="B927" s="17" t="s">
        <v>3612</v>
      </c>
      <c r="C927" s="17">
        <v>19</v>
      </c>
      <c r="D927" s="1"/>
      <c r="E927" s="1">
        <v>1830</v>
      </c>
      <c r="F927" s="1">
        <v>2440</v>
      </c>
      <c r="G927" s="1">
        <v>55</v>
      </c>
      <c r="H927" s="1"/>
      <c r="I927" s="1"/>
      <c r="J927" s="1"/>
      <c r="K927" s="1"/>
      <c r="L927" s="17" t="s">
        <v>3613</v>
      </c>
      <c r="M927" s="17" t="s">
        <v>3614</v>
      </c>
      <c r="N927" s="27">
        <v>41</v>
      </c>
      <c r="O927" s="2"/>
    </row>
    <row r="928" spans="1:15" x14ac:dyDescent="0.2">
      <c r="A928" s="17" t="s">
        <v>3615</v>
      </c>
      <c r="B928" s="17" t="s">
        <v>3616</v>
      </c>
      <c r="C928" s="17">
        <v>4</v>
      </c>
      <c r="D928" s="1"/>
      <c r="E928" s="1">
        <v>1830</v>
      </c>
      <c r="F928" s="1">
        <v>2440</v>
      </c>
      <c r="G928" s="1">
        <v>14</v>
      </c>
      <c r="H928" s="1"/>
      <c r="I928" s="1"/>
      <c r="J928" s="1"/>
      <c r="K928" s="1"/>
      <c r="L928" s="17" t="s">
        <v>3617</v>
      </c>
      <c r="M928" s="17" t="s">
        <v>3618</v>
      </c>
      <c r="N928" s="27">
        <v>19</v>
      </c>
      <c r="O928" s="2"/>
    </row>
    <row r="929" spans="1:15" x14ac:dyDescent="0.2">
      <c r="A929" s="17" t="s">
        <v>3619</v>
      </c>
      <c r="B929" s="17" t="s">
        <v>3620</v>
      </c>
      <c r="C929" s="17">
        <v>36</v>
      </c>
      <c r="D929" s="1"/>
      <c r="E929" s="1">
        <v>1530</v>
      </c>
      <c r="F929" s="1">
        <v>2440</v>
      </c>
      <c r="G929" s="1">
        <v>83</v>
      </c>
      <c r="H929" s="1"/>
      <c r="I929" s="1"/>
      <c r="J929" s="1"/>
      <c r="K929" s="1"/>
      <c r="L929" s="17" t="s">
        <v>3621</v>
      </c>
      <c r="M929" s="17" t="s">
        <v>3622</v>
      </c>
      <c r="N929" s="27">
        <v>22</v>
      </c>
      <c r="O929" s="2"/>
    </row>
    <row r="930" spans="1:15" x14ac:dyDescent="0.2">
      <c r="A930" s="17" t="s">
        <v>3623</v>
      </c>
      <c r="B930" s="17" t="s">
        <v>3624</v>
      </c>
      <c r="C930" s="17">
        <v>15</v>
      </c>
      <c r="D930" s="1"/>
      <c r="E930" s="1">
        <v>2150</v>
      </c>
      <c r="F930" s="1">
        <v>2440</v>
      </c>
      <c r="G930" s="1">
        <v>44</v>
      </c>
      <c r="H930" s="1"/>
      <c r="I930" s="1"/>
      <c r="J930" s="1"/>
      <c r="K930" s="1"/>
      <c r="L930" s="17" t="s">
        <v>3625</v>
      </c>
      <c r="M930" s="17" t="s">
        <v>3626</v>
      </c>
      <c r="N930" s="27">
        <v>33</v>
      </c>
      <c r="O930" s="2"/>
    </row>
    <row r="931" spans="1:15" x14ac:dyDescent="0.2">
      <c r="A931" s="17" t="s">
        <v>3627</v>
      </c>
      <c r="B931" s="17" t="s">
        <v>3628</v>
      </c>
      <c r="C931" s="17">
        <v>19</v>
      </c>
      <c r="D931" s="1"/>
      <c r="E931" s="1">
        <v>2150</v>
      </c>
      <c r="F931" s="1">
        <v>2440</v>
      </c>
      <c r="G931" s="1">
        <v>117</v>
      </c>
      <c r="H931" s="1"/>
      <c r="I931" s="1"/>
      <c r="J931" s="1"/>
      <c r="K931" s="1"/>
      <c r="L931" s="17" t="s">
        <v>3629</v>
      </c>
      <c r="M931" s="17" t="s">
        <v>3630</v>
      </c>
      <c r="N931" s="27">
        <v>41</v>
      </c>
      <c r="O931" s="2"/>
    </row>
    <row r="932" spans="1:15" x14ac:dyDescent="0.2">
      <c r="A932" s="17" t="s">
        <v>3631</v>
      </c>
      <c r="B932" s="17" t="s">
        <v>3632</v>
      </c>
      <c r="C932" s="17">
        <v>36</v>
      </c>
      <c r="D932" s="1"/>
      <c r="E932" s="1">
        <v>1830</v>
      </c>
      <c r="F932" s="1">
        <v>2440</v>
      </c>
      <c r="G932" s="1">
        <v>99</v>
      </c>
      <c r="H932" s="1"/>
      <c r="I932" s="1"/>
      <c r="J932" s="1"/>
      <c r="K932" s="1"/>
      <c r="L932" s="17" t="s">
        <v>3633</v>
      </c>
      <c r="M932" s="17" t="s">
        <v>3634</v>
      </c>
      <c r="N932" s="27">
        <v>19</v>
      </c>
      <c r="O932" s="2"/>
    </row>
    <row r="933" spans="1:15" x14ac:dyDescent="0.2">
      <c r="A933" s="17" t="s">
        <v>3635</v>
      </c>
      <c r="B933" s="17" t="s">
        <v>3636</v>
      </c>
      <c r="C933" s="17">
        <v>19</v>
      </c>
      <c r="D933" s="1"/>
      <c r="E933" s="1">
        <v>1830</v>
      </c>
      <c r="F933" s="1">
        <v>2440</v>
      </c>
      <c r="G933" s="1">
        <v>55</v>
      </c>
      <c r="H933" s="1"/>
      <c r="I933" s="1"/>
      <c r="J933" s="1"/>
      <c r="K933" s="1"/>
      <c r="L933" s="17" t="s">
        <v>3637</v>
      </c>
      <c r="M933" s="17" t="s">
        <v>3638</v>
      </c>
      <c r="N933" s="27">
        <v>33</v>
      </c>
      <c r="O933" s="2"/>
    </row>
    <row r="934" spans="1:15" x14ac:dyDescent="0.2">
      <c r="A934" s="17" t="s">
        <v>3639</v>
      </c>
      <c r="B934" s="17" t="s">
        <v>3640</v>
      </c>
      <c r="C934" s="17">
        <v>19</v>
      </c>
      <c r="D934" s="1"/>
      <c r="E934" s="1">
        <v>1830</v>
      </c>
      <c r="F934" s="1">
        <v>2440</v>
      </c>
      <c r="G934" s="1">
        <v>55</v>
      </c>
      <c r="H934" s="1"/>
      <c r="I934" s="1"/>
      <c r="J934" s="1"/>
      <c r="K934" s="1"/>
      <c r="L934" s="17" t="s">
        <v>3641</v>
      </c>
      <c r="M934" s="17" t="s">
        <v>3642</v>
      </c>
      <c r="N934" s="27">
        <v>33</v>
      </c>
      <c r="O934" s="2"/>
    </row>
    <row r="935" spans="1:15" x14ac:dyDescent="0.2">
      <c r="A935" s="17" t="s">
        <v>3643</v>
      </c>
      <c r="B935" s="17" t="s">
        <v>3644</v>
      </c>
      <c r="C935" s="17">
        <v>4</v>
      </c>
      <c r="D935" s="1"/>
      <c r="E935" s="1">
        <v>1530</v>
      </c>
      <c r="F935" s="1">
        <v>2440</v>
      </c>
      <c r="G935" s="1">
        <v>11</v>
      </c>
      <c r="H935" s="1"/>
      <c r="I935" s="1"/>
      <c r="J935" s="1"/>
      <c r="K935" s="1"/>
      <c r="L935" s="17" t="s">
        <v>3645</v>
      </c>
      <c r="M935" s="17" t="s">
        <v>3646</v>
      </c>
      <c r="N935" s="27">
        <v>41</v>
      </c>
      <c r="O935" s="2"/>
    </row>
    <row r="936" spans="1:15" x14ac:dyDescent="0.2">
      <c r="A936" s="17" t="s">
        <v>3647</v>
      </c>
      <c r="B936" s="17" t="s">
        <v>3648</v>
      </c>
      <c r="C936" s="17">
        <v>15</v>
      </c>
      <c r="D936" s="1"/>
      <c r="E936" s="1">
        <v>1530</v>
      </c>
      <c r="F936" s="1">
        <v>2440</v>
      </c>
      <c r="G936" s="1">
        <v>37</v>
      </c>
      <c r="H936" s="1"/>
      <c r="I936" s="1"/>
      <c r="J936" s="1"/>
      <c r="K936" s="1"/>
      <c r="L936" s="17" t="s">
        <v>3649</v>
      </c>
      <c r="M936" s="17" t="s">
        <v>3650</v>
      </c>
      <c r="N936" s="27">
        <v>19</v>
      </c>
      <c r="O936" s="2"/>
    </row>
    <row r="937" spans="1:15" x14ac:dyDescent="0.2">
      <c r="A937" s="17" t="s">
        <v>3651</v>
      </c>
      <c r="B937" s="17" t="s">
        <v>3652</v>
      </c>
      <c r="C937" s="17">
        <v>18</v>
      </c>
      <c r="D937" s="1"/>
      <c r="E937" s="1">
        <v>1530</v>
      </c>
      <c r="F937" s="1">
        <v>2440</v>
      </c>
      <c r="G937" s="1">
        <v>43</v>
      </c>
      <c r="H937" s="1"/>
      <c r="I937" s="1"/>
      <c r="J937" s="1"/>
      <c r="K937" s="1"/>
      <c r="L937" s="17" t="s">
        <v>3653</v>
      </c>
      <c r="M937" s="17" t="s">
        <v>3654</v>
      </c>
      <c r="N937" s="27">
        <v>22</v>
      </c>
      <c r="O937" s="2"/>
    </row>
    <row r="938" spans="1:15" x14ac:dyDescent="0.2">
      <c r="A938" s="17" t="s">
        <v>3655</v>
      </c>
      <c r="B938" s="17" t="s">
        <v>3656</v>
      </c>
      <c r="C938" s="17">
        <v>30</v>
      </c>
      <c r="D938" s="1"/>
      <c r="E938" s="1">
        <v>1530</v>
      </c>
      <c r="F938" s="1">
        <v>2440</v>
      </c>
      <c r="G938" s="1">
        <v>69</v>
      </c>
      <c r="H938" s="1"/>
      <c r="I938" s="1"/>
      <c r="J938" s="1"/>
      <c r="K938" s="1"/>
      <c r="L938" s="17" t="s">
        <v>3657</v>
      </c>
      <c r="M938" s="17" t="s">
        <v>3658</v>
      </c>
      <c r="N938" s="27">
        <v>33</v>
      </c>
      <c r="O938" s="2"/>
    </row>
    <row r="939" spans="1:15" x14ac:dyDescent="0.2">
      <c r="A939" s="17" t="s">
        <v>3659</v>
      </c>
      <c r="B939" s="17" t="s">
        <v>3660</v>
      </c>
      <c r="C939" s="17">
        <v>36</v>
      </c>
      <c r="D939" s="1"/>
      <c r="E939" s="1">
        <v>1530</v>
      </c>
      <c r="F939" s="1">
        <v>2440</v>
      </c>
      <c r="G939" s="1">
        <v>83</v>
      </c>
      <c r="H939" s="1"/>
      <c r="I939" s="1"/>
      <c r="J939" s="1"/>
      <c r="K939" s="1"/>
      <c r="L939" s="17" t="s">
        <v>3661</v>
      </c>
      <c r="M939" s="17" t="s">
        <v>3662</v>
      </c>
      <c r="N939" s="27">
        <v>41</v>
      </c>
      <c r="O939" s="2"/>
    </row>
    <row r="940" spans="1:15" x14ac:dyDescent="0.2">
      <c r="A940" s="17" t="s">
        <v>3663</v>
      </c>
      <c r="B940" s="17" t="s">
        <v>3664</v>
      </c>
      <c r="C940" s="17">
        <v>15</v>
      </c>
      <c r="D940" s="1"/>
      <c r="E940" s="1">
        <v>1830</v>
      </c>
      <c r="F940" s="1">
        <v>2440</v>
      </c>
      <c r="G940" s="1">
        <v>41</v>
      </c>
      <c r="H940" s="1"/>
      <c r="I940" s="1"/>
      <c r="J940" s="1"/>
      <c r="K940" s="1"/>
      <c r="L940" s="17" t="s">
        <v>3665</v>
      </c>
      <c r="M940" s="17" t="s">
        <v>3666</v>
      </c>
      <c r="N940" s="27">
        <v>19</v>
      </c>
      <c r="O940" s="2"/>
    </row>
    <row r="941" spans="1:15" x14ac:dyDescent="0.2">
      <c r="A941" s="17" t="s">
        <v>3667</v>
      </c>
      <c r="B941" s="17" t="s">
        <v>3668</v>
      </c>
      <c r="C941" s="17">
        <v>19</v>
      </c>
      <c r="D941" s="1"/>
      <c r="E941" s="1">
        <v>1830</v>
      </c>
      <c r="F941" s="1">
        <v>2440</v>
      </c>
      <c r="G941" s="1">
        <v>55</v>
      </c>
      <c r="H941" s="1"/>
      <c r="I941" s="1"/>
      <c r="J941" s="1"/>
      <c r="K941" s="1"/>
      <c r="L941" s="17" t="s">
        <v>3669</v>
      </c>
      <c r="M941" s="17" t="s">
        <v>3670</v>
      </c>
      <c r="N941" s="27">
        <v>22</v>
      </c>
      <c r="O941" s="2"/>
    </row>
    <row r="942" spans="1:15" x14ac:dyDescent="0.2">
      <c r="A942" s="17" t="s">
        <v>3671</v>
      </c>
      <c r="B942" s="17" t="s">
        <v>3672</v>
      </c>
      <c r="C942" s="17">
        <v>30</v>
      </c>
      <c r="D942" s="1"/>
      <c r="E942" s="1">
        <v>1830</v>
      </c>
      <c r="F942" s="1">
        <v>2440</v>
      </c>
      <c r="G942" s="1">
        <v>80</v>
      </c>
      <c r="H942" s="1"/>
      <c r="I942" s="1"/>
      <c r="J942" s="1"/>
      <c r="K942" s="1"/>
      <c r="L942" s="17" t="s">
        <v>3673</v>
      </c>
      <c r="M942" s="17" t="s">
        <v>3674</v>
      </c>
      <c r="N942" s="27">
        <v>33</v>
      </c>
      <c r="O942" s="2"/>
    </row>
    <row r="943" spans="1:15" x14ac:dyDescent="0.2">
      <c r="A943" s="17" t="s">
        <v>3675</v>
      </c>
      <c r="B943" s="17" t="s">
        <v>3676</v>
      </c>
      <c r="C943" s="17">
        <v>36</v>
      </c>
      <c r="D943" s="1"/>
      <c r="E943" s="1">
        <v>1830</v>
      </c>
      <c r="F943" s="1">
        <v>2440</v>
      </c>
      <c r="G943" s="1">
        <v>99</v>
      </c>
      <c r="H943" s="1"/>
      <c r="I943" s="1"/>
      <c r="J943" s="1"/>
      <c r="K943" s="1"/>
      <c r="L943" s="17" t="s">
        <v>3677</v>
      </c>
      <c r="M943" s="17" t="s">
        <v>3678</v>
      </c>
      <c r="N943" s="27">
        <v>41</v>
      </c>
      <c r="O943" s="2"/>
    </row>
    <row r="944" spans="1:15" x14ac:dyDescent="0.2">
      <c r="A944" s="17" t="s">
        <v>3679</v>
      </c>
      <c r="B944" s="17" t="s">
        <v>3680</v>
      </c>
      <c r="C944" s="17">
        <v>15</v>
      </c>
      <c r="D944" s="1"/>
      <c r="E944" s="1">
        <v>1830</v>
      </c>
      <c r="F944" s="1">
        <v>2440</v>
      </c>
      <c r="G944" s="1">
        <v>80</v>
      </c>
      <c r="H944" s="1"/>
      <c r="I944" s="1"/>
      <c r="J944" s="1"/>
      <c r="K944" s="1"/>
      <c r="L944" s="17" t="s">
        <v>3681</v>
      </c>
      <c r="M944" s="17" t="s">
        <v>3682</v>
      </c>
      <c r="N944" s="27">
        <v>19</v>
      </c>
      <c r="O944" s="2"/>
    </row>
    <row r="945" spans="1:15" x14ac:dyDescent="0.2">
      <c r="A945" s="17" t="s">
        <v>3683</v>
      </c>
      <c r="B945" s="17" t="s">
        <v>3684</v>
      </c>
      <c r="C945" s="17">
        <v>4</v>
      </c>
      <c r="D945" s="1"/>
      <c r="E945" s="1">
        <v>1830</v>
      </c>
      <c r="F945" s="1">
        <v>2440</v>
      </c>
      <c r="G945" s="1">
        <v>14</v>
      </c>
      <c r="H945" s="1"/>
      <c r="I945" s="1"/>
      <c r="J945" s="1"/>
      <c r="K945" s="1"/>
      <c r="L945" s="17" t="s">
        <v>3685</v>
      </c>
      <c r="M945" s="17" t="s">
        <v>3686</v>
      </c>
      <c r="N945" s="27">
        <v>41</v>
      </c>
      <c r="O945" s="2"/>
    </row>
    <row r="946" spans="1:15" x14ac:dyDescent="0.2">
      <c r="A946" s="17" t="s">
        <v>3687</v>
      </c>
      <c r="B946" s="17" t="s">
        <v>3688</v>
      </c>
      <c r="C946" s="17">
        <v>4</v>
      </c>
      <c r="D946" s="1"/>
      <c r="E946" s="1">
        <v>1530</v>
      </c>
      <c r="F946" s="1">
        <v>2440</v>
      </c>
      <c r="G946" s="1">
        <v>11</v>
      </c>
      <c r="H946" s="1"/>
      <c r="I946" s="1"/>
      <c r="J946" s="1"/>
      <c r="K946" s="1"/>
      <c r="L946" s="17" t="s">
        <v>3689</v>
      </c>
      <c r="M946" s="17" t="s">
        <v>3690</v>
      </c>
      <c r="N946" s="27">
        <v>19</v>
      </c>
      <c r="O946" s="2"/>
    </row>
    <row r="947" spans="1:15" x14ac:dyDescent="0.2">
      <c r="A947" s="17" t="s">
        <v>3691</v>
      </c>
      <c r="B947" s="17" t="s">
        <v>3692</v>
      </c>
      <c r="C947" s="17">
        <v>9</v>
      </c>
      <c r="D947" s="1"/>
      <c r="E947" s="1">
        <v>1830</v>
      </c>
      <c r="F947" s="1">
        <v>2440</v>
      </c>
      <c r="G947" s="1">
        <v>80</v>
      </c>
      <c r="H947" s="1"/>
      <c r="I947" s="1"/>
      <c r="J947" s="1"/>
      <c r="K947" s="1"/>
      <c r="L947" s="17" t="s">
        <v>3693</v>
      </c>
      <c r="M947" s="17" t="s">
        <v>3694</v>
      </c>
      <c r="N947" s="27">
        <v>33</v>
      </c>
      <c r="O947" s="2"/>
    </row>
    <row r="948" spans="1:15" x14ac:dyDescent="0.2">
      <c r="A948" s="17" t="s">
        <v>3695</v>
      </c>
      <c r="B948" s="17" t="s">
        <v>3696</v>
      </c>
      <c r="C948" s="17">
        <v>15</v>
      </c>
      <c r="D948" s="1"/>
      <c r="E948" s="1">
        <v>1830</v>
      </c>
      <c r="F948" s="1">
        <v>2440</v>
      </c>
      <c r="G948" s="1">
        <v>41</v>
      </c>
      <c r="H948" s="1"/>
      <c r="I948" s="1"/>
      <c r="J948" s="1"/>
      <c r="K948" s="1"/>
      <c r="L948" s="17" t="s">
        <v>3697</v>
      </c>
      <c r="M948" s="17" t="s">
        <v>3698</v>
      </c>
      <c r="N948" s="27">
        <v>19</v>
      </c>
      <c r="O948" s="2"/>
    </row>
    <row r="949" spans="1:15" x14ac:dyDescent="0.2">
      <c r="A949" s="17" t="s">
        <v>3699</v>
      </c>
      <c r="B949" s="17" t="s">
        <v>3700</v>
      </c>
      <c r="C949" s="17">
        <v>15</v>
      </c>
      <c r="D949" s="1"/>
      <c r="E949" s="1">
        <v>1530</v>
      </c>
      <c r="F949" s="1">
        <v>2440</v>
      </c>
      <c r="G949" s="1">
        <v>37</v>
      </c>
      <c r="H949" s="1"/>
      <c r="I949" s="1"/>
      <c r="J949" s="1"/>
      <c r="K949" s="1"/>
      <c r="L949" s="17" t="s">
        <v>3701</v>
      </c>
      <c r="M949" s="17" t="s">
        <v>3702</v>
      </c>
      <c r="N949" s="27">
        <v>22</v>
      </c>
      <c r="O949" s="2"/>
    </row>
    <row r="950" spans="1:15" x14ac:dyDescent="0.2">
      <c r="A950" s="17" t="s">
        <v>3703</v>
      </c>
      <c r="B950" s="17" t="s">
        <v>3704</v>
      </c>
      <c r="C950" s="17">
        <v>18</v>
      </c>
      <c r="D950" s="1"/>
      <c r="E950" s="1">
        <v>1530</v>
      </c>
      <c r="F950" s="1">
        <v>2440</v>
      </c>
      <c r="G950" s="1">
        <v>43</v>
      </c>
      <c r="H950" s="1"/>
      <c r="I950" s="1"/>
      <c r="J950" s="1"/>
      <c r="K950" s="1"/>
      <c r="L950" s="17" t="s">
        <v>3705</v>
      </c>
      <c r="M950" s="17" t="s">
        <v>3706</v>
      </c>
      <c r="N950" s="27">
        <v>33</v>
      </c>
      <c r="O950" s="2"/>
    </row>
    <row r="951" spans="1:15" x14ac:dyDescent="0.2">
      <c r="A951" s="17" t="s">
        <v>3707</v>
      </c>
      <c r="B951" s="17" t="s">
        <v>3708</v>
      </c>
      <c r="C951" s="17">
        <v>30</v>
      </c>
      <c r="D951" s="1"/>
      <c r="E951" s="1">
        <v>1530</v>
      </c>
      <c r="F951" s="1">
        <v>2440</v>
      </c>
      <c r="G951" s="1">
        <v>69</v>
      </c>
      <c r="H951" s="1"/>
      <c r="I951" s="1"/>
      <c r="J951" s="1"/>
      <c r="K951" s="1"/>
      <c r="L951" s="17" t="s">
        <v>3709</v>
      </c>
      <c r="M951" s="17" t="s">
        <v>3710</v>
      </c>
      <c r="N951" s="27">
        <v>41</v>
      </c>
      <c r="O951" s="2"/>
    </row>
    <row r="952" spans="1:15" x14ac:dyDescent="0.2">
      <c r="A952" s="17" t="s">
        <v>3711</v>
      </c>
      <c r="B952" s="17" t="s">
        <v>3712</v>
      </c>
      <c r="C952" s="17">
        <v>15</v>
      </c>
      <c r="D952" s="1"/>
      <c r="E952" s="1">
        <v>1830</v>
      </c>
      <c r="F952" s="1">
        <v>2440</v>
      </c>
      <c r="G952" s="1">
        <v>41</v>
      </c>
      <c r="H952" s="1"/>
      <c r="I952" s="1"/>
      <c r="J952" s="1"/>
      <c r="K952" s="1"/>
      <c r="L952" s="17" t="s">
        <v>3713</v>
      </c>
      <c r="M952" s="17" t="s">
        <v>3714</v>
      </c>
      <c r="N952" s="27">
        <v>41</v>
      </c>
      <c r="O952" s="2"/>
    </row>
    <row r="953" spans="1:15" x14ac:dyDescent="0.2">
      <c r="A953" s="17" t="s">
        <v>3715</v>
      </c>
      <c r="B953" s="17" t="s">
        <v>3716</v>
      </c>
      <c r="C953" s="17">
        <v>19</v>
      </c>
      <c r="D953" s="1"/>
      <c r="E953" s="1">
        <v>1830</v>
      </c>
      <c r="F953" s="1">
        <v>2440</v>
      </c>
      <c r="G953" s="1">
        <v>80</v>
      </c>
      <c r="H953" s="1"/>
      <c r="I953" s="1"/>
      <c r="J953" s="1"/>
      <c r="K953" s="1"/>
      <c r="L953" s="17" t="s">
        <v>3717</v>
      </c>
      <c r="M953" s="17" t="s">
        <v>3718</v>
      </c>
      <c r="N953" s="27">
        <v>41</v>
      </c>
      <c r="O953" s="2"/>
    </row>
    <row r="954" spans="1:15" x14ac:dyDescent="0.2">
      <c r="A954" s="17" t="s">
        <v>3719</v>
      </c>
      <c r="B954" s="17" t="s">
        <v>3720</v>
      </c>
      <c r="C954" s="17">
        <v>36</v>
      </c>
      <c r="D954" s="1"/>
      <c r="E954" s="1">
        <v>1830</v>
      </c>
      <c r="F954" s="1">
        <v>2440</v>
      </c>
      <c r="G954" s="1">
        <v>99</v>
      </c>
      <c r="H954" s="1"/>
      <c r="I954" s="1"/>
      <c r="J954" s="1"/>
      <c r="K954" s="1"/>
      <c r="L954" s="17" t="s">
        <v>3721</v>
      </c>
      <c r="M954" s="17" t="s">
        <v>3722</v>
      </c>
      <c r="N954" s="27">
        <v>19</v>
      </c>
      <c r="O954" s="2"/>
    </row>
    <row r="955" spans="1:15" x14ac:dyDescent="0.2">
      <c r="A955" s="17" t="s">
        <v>3723</v>
      </c>
      <c r="B955" s="17" t="s">
        <v>3724</v>
      </c>
      <c r="C955" s="17">
        <v>4</v>
      </c>
      <c r="D955" s="1"/>
      <c r="E955" s="1">
        <v>1830</v>
      </c>
      <c r="F955" s="1">
        <v>2440</v>
      </c>
      <c r="G955" s="1">
        <v>80</v>
      </c>
      <c r="H955" s="1"/>
      <c r="I955" s="1"/>
      <c r="J955" s="1"/>
      <c r="K955" s="1"/>
      <c r="L955" s="17" t="s">
        <v>3725</v>
      </c>
      <c r="M955" s="17" t="s">
        <v>3726</v>
      </c>
      <c r="N955" s="27">
        <v>22</v>
      </c>
      <c r="O955" s="2"/>
    </row>
    <row r="956" spans="1:15" x14ac:dyDescent="0.2">
      <c r="A956" s="17" t="s">
        <v>3727</v>
      </c>
      <c r="B956" s="17" t="s">
        <v>3728</v>
      </c>
      <c r="C956" s="17">
        <v>15</v>
      </c>
      <c r="D956" s="1"/>
      <c r="E956" s="1">
        <v>1830</v>
      </c>
      <c r="F956" s="1">
        <v>2440</v>
      </c>
      <c r="G956" s="1">
        <v>41</v>
      </c>
      <c r="H956" s="1"/>
      <c r="I956" s="1"/>
      <c r="J956" s="1"/>
      <c r="K956" s="1"/>
      <c r="L956" s="17" t="s">
        <v>3729</v>
      </c>
      <c r="M956" s="17" t="s">
        <v>3730</v>
      </c>
      <c r="N956" s="27">
        <v>33</v>
      </c>
      <c r="O956" s="2"/>
    </row>
    <row r="957" spans="1:15" x14ac:dyDescent="0.2">
      <c r="A957" s="17" t="s">
        <v>3731</v>
      </c>
      <c r="B957" s="17" t="s">
        <v>3732</v>
      </c>
      <c r="C957" s="17">
        <v>15</v>
      </c>
      <c r="D957" s="1"/>
      <c r="E957" s="1">
        <v>1830</v>
      </c>
      <c r="F957" s="1">
        <v>2440</v>
      </c>
      <c r="G957" s="1">
        <v>41</v>
      </c>
      <c r="H957" s="1"/>
      <c r="I957" s="1"/>
      <c r="J957" s="1"/>
      <c r="K957" s="1"/>
      <c r="L957" s="17" t="s">
        <v>3733</v>
      </c>
      <c r="M957" s="17" t="s">
        <v>3734</v>
      </c>
      <c r="N957" s="27">
        <v>41</v>
      </c>
      <c r="O957" s="2"/>
    </row>
    <row r="958" spans="1:15" x14ac:dyDescent="0.2">
      <c r="A958" s="17" t="s">
        <v>3735</v>
      </c>
      <c r="B958" s="17" t="s">
        <v>3736</v>
      </c>
      <c r="C958" s="17">
        <v>19</v>
      </c>
      <c r="D958" s="1"/>
      <c r="E958" s="1">
        <v>1830</v>
      </c>
      <c r="F958" s="1">
        <v>2440</v>
      </c>
      <c r="G958" s="1">
        <v>80</v>
      </c>
      <c r="H958" s="1"/>
      <c r="I958" s="1"/>
      <c r="J958" s="1"/>
      <c r="K958" s="1"/>
      <c r="L958" s="17" t="s">
        <v>3737</v>
      </c>
      <c r="M958" s="17" t="s">
        <v>3738</v>
      </c>
      <c r="N958" s="27">
        <v>22</v>
      </c>
      <c r="O958" s="2"/>
    </row>
    <row r="959" spans="1:15" x14ac:dyDescent="0.2">
      <c r="A959" s="17" t="s">
        <v>3739</v>
      </c>
      <c r="B959" s="17" t="s">
        <v>3740</v>
      </c>
      <c r="C959" s="17">
        <v>36</v>
      </c>
      <c r="D959" s="1"/>
      <c r="E959" s="1">
        <v>1830</v>
      </c>
      <c r="F959" s="1">
        <v>2440</v>
      </c>
      <c r="G959" s="1">
        <v>99</v>
      </c>
      <c r="H959" s="1"/>
      <c r="I959" s="1"/>
      <c r="J959" s="1"/>
      <c r="K959" s="1"/>
      <c r="L959" s="17" t="s">
        <v>3741</v>
      </c>
      <c r="M959" s="17" t="s">
        <v>3742</v>
      </c>
      <c r="N959" s="27"/>
      <c r="O959" s="2"/>
    </row>
    <row r="960" spans="1:15" x14ac:dyDescent="0.2">
      <c r="A960" s="17" t="s">
        <v>3743</v>
      </c>
      <c r="B960" s="17" t="s">
        <v>3744</v>
      </c>
      <c r="C960" s="17">
        <v>15</v>
      </c>
      <c r="D960" s="1"/>
      <c r="E960" s="1">
        <v>1830</v>
      </c>
      <c r="F960" s="1">
        <v>2440</v>
      </c>
      <c r="G960" s="1">
        <v>41</v>
      </c>
      <c r="H960" s="1"/>
      <c r="I960" s="1"/>
      <c r="J960" s="1"/>
      <c r="K960" s="1"/>
      <c r="L960" s="17" t="s">
        <v>3745</v>
      </c>
      <c r="M960" s="17" t="s">
        <v>3746</v>
      </c>
      <c r="N960" s="27">
        <v>19</v>
      </c>
      <c r="O960" s="2"/>
    </row>
    <row r="961" spans="1:15" x14ac:dyDescent="0.2">
      <c r="A961" s="17" t="s">
        <v>3747</v>
      </c>
      <c r="B961" s="17" t="s">
        <v>3748</v>
      </c>
      <c r="C961" s="17">
        <v>19</v>
      </c>
      <c r="D961" s="1"/>
      <c r="E961" s="1">
        <v>1830</v>
      </c>
      <c r="F961" s="1">
        <v>2440</v>
      </c>
      <c r="G961" s="1">
        <v>55</v>
      </c>
      <c r="H961" s="1"/>
      <c r="I961" s="1"/>
      <c r="J961" s="1"/>
      <c r="K961" s="1"/>
      <c r="L961" s="17" t="s">
        <v>3749</v>
      </c>
      <c r="M961" s="17" t="s">
        <v>3750</v>
      </c>
      <c r="N961" s="27">
        <v>22</v>
      </c>
      <c r="O961" s="2"/>
    </row>
    <row r="962" spans="1:15" x14ac:dyDescent="0.2">
      <c r="A962" s="17" t="s">
        <v>3751</v>
      </c>
      <c r="B962" s="17" t="s">
        <v>3752</v>
      </c>
      <c r="C962" s="17">
        <v>19</v>
      </c>
      <c r="D962" s="1"/>
      <c r="E962" s="1">
        <v>1830</v>
      </c>
      <c r="F962" s="1">
        <v>2440</v>
      </c>
      <c r="G962" s="1">
        <v>55</v>
      </c>
      <c r="H962" s="1"/>
      <c r="I962" s="1"/>
      <c r="J962" s="1"/>
      <c r="K962" s="1"/>
      <c r="L962" s="17" t="s">
        <v>3753</v>
      </c>
      <c r="M962" s="17" t="s">
        <v>3754</v>
      </c>
      <c r="N962" s="27">
        <v>33</v>
      </c>
      <c r="O962" s="2"/>
    </row>
    <row r="963" spans="1:15" x14ac:dyDescent="0.2">
      <c r="A963" s="17" t="s">
        <v>3755</v>
      </c>
      <c r="B963" s="17" t="s">
        <v>3756</v>
      </c>
      <c r="C963" s="17">
        <v>4</v>
      </c>
      <c r="D963" s="1"/>
      <c r="E963" s="1">
        <v>1830</v>
      </c>
      <c r="F963" s="1">
        <v>2440</v>
      </c>
      <c r="G963" s="1">
        <v>12</v>
      </c>
      <c r="H963" s="1"/>
      <c r="I963" s="1"/>
      <c r="J963" s="1"/>
      <c r="K963" s="1"/>
      <c r="L963" s="17" t="s">
        <v>3757</v>
      </c>
      <c r="M963" s="17" t="s">
        <v>3758</v>
      </c>
      <c r="N963" s="27">
        <v>41</v>
      </c>
      <c r="O963" s="2"/>
    </row>
    <row r="964" spans="1:15" x14ac:dyDescent="0.2">
      <c r="A964" s="17" t="s">
        <v>3759</v>
      </c>
      <c r="B964" s="17" t="s">
        <v>3760</v>
      </c>
      <c r="C964" s="17">
        <v>4</v>
      </c>
      <c r="D964" s="1"/>
      <c r="E964" s="1">
        <v>1830</v>
      </c>
      <c r="F964" s="1">
        <v>2440</v>
      </c>
      <c r="G964" s="1">
        <v>12</v>
      </c>
      <c r="H964" s="1"/>
      <c r="I964" s="1"/>
      <c r="J964" s="1"/>
      <c r="K964" s="1"/>
      <c r="L964" s="17" t="s">
        <v>3761</v>
      </c>
      <c r="M964" s="17" t="s">
        <v>3762</v>
      </c>
      <c r="N964" s="27">
        <v>19</v>
      </c>
      <c r="O964" s="2"/>
    </row>
    <row r="965" spans="1:15" x14ac:dyDescent="0.2">
      <c r="A965" s="17" t="s">
        <v>3763</v>
      </c>
      <c r="B965" s="17" t="s">
        <v>3764</v>
      </c>
      <c r="C965" s="17">
        <v>4</v>
      </c>
      <c r="D965" s="1"/>
      <c r="E965" s="1">
        <v>1530</v>
      </c>
      <c r="F965" s="1">
        <v>2440</v>
      </c>
      <c r="G965" s="1">
        <v>11</v>
      </c>
      <c r="H965" s="1"/>
      <c r="I965" s="1"/>
      <c r="J965" s="1"/>
      <c r="K965" s="1"/>
      <c r="L965" s="17" t="s">
        <v>3765</v>
      </c>
      <c r="M965" s="17" t="s">
        <v>3766</v>
      </c>
      <c r="N965" s="27">
        <v>22</v>
      </c>
      <c r="O965" s="2"/>
    </row>
    <row r="966" spans="1:15" x14ac:dyDescent="0.2">
      <c r="A966" s="17" t="s">
        <v>3767</v>
      </c>
      <c r="B966" s="17" t="s">
        <v>3768</v>
      </c>
      <c r="C966" s="17">
        <v>15</v>
      </c>
      <c r="D966" s="1"/>
      <c r="E966" s="1">
        <v>1530</v>
      </c>
      <c r="F966" s="1">
        <v>2440</v>
      </c>
      <c r="G966" s="1">
        <v>37</v>
      </c>
      <c r="H966" s="1"/>
      <c r="I966" s="1"/>
      <c r="J966" s="1"/>
      <c r="K966" s="1"/>
      <c r="L966" s="17" t="s">
        <v>3769</v>
      </c>
      <c r="M966" s="17" t="s">
        <v>3770</v>
      </c>
      <c r="N966" s="27">
        <v>33</v>
      </c>
      <c r="O966" s="2"/>
    </row>
    <row r="967" spans="1:15" x14ac:dyDescent="0.2">
      <c r="A967" s="17" t="s">
        <v>3771</v>
      </c>
      <c r="B967" s="17" t="s">
        <v>3772</v>
      </c>
      <c r="C967" s="17">
        <v>15</v>
      </c>
      <c r="D967" s="1"/>
      <c r="E967" s="1">
        <v>1830</v>
      </c>
      <c r="F967" s="1">
        <v>2440</v>
      </c>
      <c r="G967" s="1">
        <v>41</v>
      </c>
      <c r="H967" s="1"/>
      <c r="I967" s="1"/>
      <c r="J967" s="1"/>
      <c r="K967" s="1"/>
      <c r="L967" s="17" t="s">
        <v>3773</v>
      </c>
      <c r="M967" s="17" t="s">
        <v>3774</v>
      </c>
      <c r="N967" s="27">
        <v>41</v>
      </c>
      <c r="O967" s="2"/>
    </row>
    <row r="968" spans="1:15" x14ac:dyDescent="0.2">
      <c r="A968" s="17" t="s">
        <v>3775</v>
      </c>
      <c r="B968" s="17" t="s">
        <v>3776</v>
      </c>
      <c r="C968" s="17">
        <v>19</v>
      </c>
      <c r="D968" s="1"/>
      <c r="E968" s="1">
        <v>1830</v>
      </c>
      <c r="F968" s="1">
        <v>2440</v>
      </c>
      <c r="G968" s="1">
        <v>55</v>
      </c>
      <c r="H968" s="1"/>
      <c r="I968" s="1"/>
      <c r="J968" s="1"/>
      <c r="K968" s="1"/>
      <c r="L968" s="17" t="s">
        <v>3777</v>
      </c>
      <c r="M968" s="17" t="s">
        <v>3778</v>
      </c>
      <c r="N968" s="27"/>
      <c r="O968" s="2"/>
    </row>
    <row r="969" spans="1:15" x14ac:dyDescent="0.2">
      <c r="A969" s="17" t="s">
        <v>3779</v>
      </c>
      <c r="B969" s="17" t="s">
        <v>3780</v>
      </c>
      <c r="C969" s="17">
        <v>4</v>
      </c>
      <c r="D969" s="1"/>
      <c r="E969" s="1">
        <v>1530</v>
      </c>
      <c r="F969" s="1">
        <v>2440</v>
      </c>
      <c r="G969" s="1">
        <v>11</v>
      </c>
      <c r="H969" s="1"/>
      <c r="I969" s="1"/>
      <c r="J969" s="1"/>
      <c r="K969" s="1"/>
      <c r="L969" s="17" t="s">
        <v>3781</v>
      </c>
      <c r="M969" s="17" t="s">
        <v>3782</v>
      </c>
      <c r="N969" s="27">
        <v>41</v>
      </c>
      <c r="O969" s="2"/>
    </row>
    <row r="970" spans="1:15" x14ac:dyDescent="0.2">
      <c r="A970" s="17" t="s">
        <v>3783</v>
      </c>
      <c r="B970" s="17" t="s">
        <v>3784</v>
      </c>
      <c r="C970" s="17">
        <v>15</v>
      </c>
      <c r="D970" s="1"/>
      <c r="E970" s="1">
        <v>1830</v>
      </c>
      <c r="F970" s="1">
        <v>2440</v>
      </c>
      <c r="G970" s="1">
        <v>41</v>
      </c>
      <c r="H970" s="1"/>
      <c r="I970" s="1"/>
      <c r="J970" s="1"/>
      <c r="K970" s="1"/>
      <c r="L970" s="17" t="s">
        <v>3785</v>
      </c>
      <c r="M970" s="17" t="s">
        <v>3786</v>
      </c>
      <c r="N970" s="27"/>
      <c r="O970" s="2"/>
    </row>
    <row r="971" spans="1:15" x14ac:dyDescent="0.2">
      <c r="A971" s="17" t="s">
        <v>3787</v>
      </c>
      <c r="B971" s="17" t="s">
        <v>3788</v>
      </c>
      <c r="C971" s="17">
        <v>4</v>
      </c>
      <c r="D971" s="1"/>
      <c r="E971" s="1">
        <v>1830</v>
      </c>
      <c r="F971" s="1">
        <v>2440</v>
      </c>
      <c r="G971" s="1">
        <v>14</v>
      </c>
      <c r="H971" s="1"/>
      <c r="I971" s="1"/>
      <c r="J971" s="1"/>
      <c r="K971" s="1"/>
      <c r="L971" s="17" t="s">
        <v>3789</v>
      </c>
      <c r="M971" s="17" t="s">
        <v>3790</v>
      </c>
      <c r="N971" s="27">
        <v>41</v>
      </c>
      <c r="O971" s="2"/>
    </row>
    <row r="972" spans="1:15" x14ac:dyDescent="0.2">
      <c r="A972" s="17" t="s">
        <v>3791</v>
      </c>
      <c r="B972" s="17" t="s">
        <v>3792</v>
      </c>
      <c r="C972" s="17">
        <v>15</v>
      </c>
      <c r="D972" s="1"/>
      <c r="E972" s="1">
        <v>1530</v>
      </c>
      <c r="F972" s="1">
        <v>2440</v>
      </c>
      <c r="G972" s="1">
        <v>37</v>
      </c>
      <c r="H972" s="1"/>
      <c r="I972" s="1"/>
      <c r="J972" s="1"/>
      <c r="K972" s="1"/>
      <c r="L972" s="17" t="s">
        <v>3793</v>
      </c>
      <c r="M972" s="17" t="s">
        <v>3794</v>
      </c>
      <c r="N972" s="27"/>
      <c r="O972" s="2"/>
    </row>
    <row r="973" spans="1:15" x14ac:dyDescent="0.2">
      <c r="A973" s="17" t="s">
        <v>3795</v>
      </c>
      <c r="B973" s="17" t="s">
        <v>3796</v>
      </c>
      <c r="C973" s="17">
        <v>19</v>
      </c>
      <c r="D973" s="1"/>
      <c r="E973" s="1">
        <v>1530</v>
      </c>
      <c r="F973" s="1">
        <v>2440</v>
      </c>
      <c r="G973" s="1">
        <v>46</v>
      </c>
      <c r="H973" s="1"/>
      <c r="I973" s="1"/>
      <c r="J973" s="1"/>
      <c r="K973" s="1"/>
      <c r="L973" s="17" t="s">
        <v>3797</v>
      </c>
      <c r="M973" s="17" t="s">
        <v>3798</v>
      </c>
      <c r="N973" s="27">
        <v>41</v>
      </c>
      <c r="O973" s="2"/>
    </row>
    <row r="974" spans="1:15" x14ac:dyDescent="0.2">
      <c r="A974" s="17" t="s">
        <v>3799</v>
      </c>
      <c r="B974" s="17" t="s">
        <v>3800</v>
      </c>
      <c r="C974" s="17">
        <v>15</v>
      </c>
      <c r="D974" s="1"/>
      <c r="E974" s="1">
        <v>1830</v>
      </c>
      <c r="F974" s="1">
        <v>2440</v>
      </c>
      <c r="G974" s="1">
        <v>41</v>
      </c>
      <c r="H974" s="1"/>
      <c r="I974" s="1"/>
      <c r="J974" s="1"/>
      <c r="K974" s="1"/>
      <c r="L974" s="17" t="s">
        <v>3801</v>
      </c>
      <c r="M974" s="17" t="s">
        <v>3802</v>
      </c>
      <c r="N974" s="27"/>
      <c r="O974" s="2"/>
    </row>
    <row r="975" spans="1:15" x14ac:dyDescent="0.2">
      <c r="A975" s="17" t="s">
        <v>3803</v>
      </c>
      <c r="B975" s="17" t="s">
        <v>3804</v>
      </c>
      <c r="C975" s="17">
        <v>19</v>
      </c>
      <c r="D975" s="1"/>
      <c r="E975" s="1">
        <v>1830</v>
      </c>
      <c r="F975" s="1">
        <v>2440</v>
      </c>
      <c r="G975" s="1">
        <v>55</v>
      </c>
      <c r="H975" s="1"/>
      <c r="I975" s="1"/>
      <c r="J975" s="1"/>
      <c r="K975" s="1"/>
      <c r="L975" s="17"/>
      <c r="M975" s="17"/>
      <c r="N975" s="27"/>
      <c r="O975" s="2"/>
    </row>
    <row r="976" spans="1:15" x14ac:dyDescent="0.2">
      <c r="A976" s="17" t="s">
        <v>3805</v>
      </c>
      <c r="B976" s="17" t="s">
        <v>3806</v>
      </c>
      <c r="C976" s="17">
        <v>15</v>
      </c>
      <c r="D976" s="1"/>
      <c r="E976" s="1">
        <v>2150</v>
      </c>
      <c r="F976" s="1">
        <v>2440</v>
      </c>
      <c r="G976" s="1">
        <v>117</v>
      </c>
      <c r="H976" s="1"/>
      <c r="I976" s="1"/>
      <c r="J976" s="1"/>
      <c r="K976" s="1"/>
      <c r="L976" s="17"/>
      <c r="M976" s="17"/>
      <c r="N976" s="27"/>
      <c r="O976" s="2"/>
    </row>
    <row r="977" spans="1:15" x14ac:dyDescent="0.2">
      <c r="A977" s="17" t="s">
        <v>3807</v>
      </c>
      <c r="B977" s="17" t="s">
        <v>3808</v>
      </c>
      <c r="C977" s="17">
        <v>18</v>
      </c>
      <c r="D977" s="1"/>
      <c r="E977" s="1">
        <v>1220</v>
      </c>
      <c r="F977" s="1">
        <v>2440</v>
      </c>
      <c r="G977" s="1">
        <v>35</v>
      </c>
      <c r="H977" s="1"/>
      <c r="I977" s="1"/>
      <c r="J977" s="1"/>
      <c r="K977" s="1"/>
      <c r="L977" s="17"/>
      <c r="M977" s="17"/>
      <c r="N977" s="27"/>
      <c r="O977" s="2"/>
    </row>
    <row r="978" spans="1:15" x14ac:dyDescent="0.2">
      <c r="A978" s="17" t="s">
        <v>3809</v>
      </c>
      <c r="B978" s="17" t="s">
        <v>3810</v>
      </c>
      <c r="C978" s="17">
        <v>24</v>
      </c>
      <c r="D978" s="1"/>
      <c r="E978" s="1">
        <v>2150</v>
      </c>
      <c r="F978" s="1">
        <v>2440</v>
      </c>
      <c r="G978" s="1">
        <v>117</v>
      </c>
      <c r="H978" s="1"/>
      <c r="I978" s="1"/>
      <c r="J978" s="1"/>
      <c r="K978" s="1"/>
      <c r="L978" s="17"/>
      <c r="M978" s="17"/>
      <c r="N978" s="27"/>
      <c r="O978" s="2"/>
    </row>
    <row r="979" spans="1:15" x14ac:dyDescent="0.2">
      <c r="A979" s="17" t="s">
        <v>3811</v>
      </c>
      <c r="B979" s="17" t="s">
        <v>3812</v>
      </c>
      <c r="C979" s="17">
        <v>3</v>
      </c>
      <c r="D979" s="1"/>
      <c r="E979" s="1">
        <v>2150</v>
      </c>
      <c r="F979" s="1">
        <v>2440</v>
      </c>
      <c r="G979" s="1">
        <v>117</v>
      </c>
      <c r="H979" s="1"/>
      <c r="I979" s="1"/>
      <c r="J979" s="1"/>
      <c r="K979" s="1"/>
      <c r="L979" s="17"/>
      <c r="M979" s="17"/>
      <c r="N979" s="27"/>
      <c r="O979" s="2"/>
    </row>
    <row r="980" spans="1:15" x14ac:dyDescent="0.2">
      <c r="A980" s="17" t="s">
        <v>3813</v>
      </c>
      <c r="B980" s="17" t="s">
        <v>3814</v>
      </c>
      <c r="C980" s="17">
        <v>4</v>
      </c>
      <c r="D980" s="1"/>
      <c r="E980" s="1">
        <v>2150</v>
      </c>
      <c r="F980" s="1">
        <v>2440</v>
      </c>
      <c r="G980" s="1">
        <v>117</v>
      </c>
      <c r="H980" s="1"/>
      <c r="I980" s="1"/>
      <c r="J980" s="1"/>
      <c r="K980" s="1"/>
      <c r="L980" s="17"/>
      <c r="M980" s="17"/>
      <c r="N980" s="27"/>
      <c r="O980" s="2"/>
    </row>
    <row r="981" spans="1:15" x14ac:dyDescent="0.2">
      <c r="A981" s="17" t="s">
        <v>3815</v>
      </c>
      <c r="B981" s="17" t="s">
        <v>3816</v>
      </c>
      <c r="C981" s="17">
        <v>4</v>
      </c>
      <c r="D981" s="1"/>
      <c r="E981" s="1">
        <v>2150</v>
      </c>
      <c r="F981" s="1">
        <v>2440</v>
      </c>
      <c r="G981" s="1">
        <v>117</v>
      </c>
      <c r="H981" s="1"/>
      <c r="I981" s="1"/>
      <c r="J981" s="1"/>
      <c r="K981" s="1"/>
      <c r="L981" s="17"/>
      <c r="M981" s="17"/>
      <c r="N981" s="27"/>
      <c r="O981" s="2"/>
    </row>
    <row r="982" spans="1:15" x14ac:dyDescent="0.2">
      <c r="A982" s="17" t="s">
        <v>3817</v>
      </c>
      <c r="B982" s="17" t="s">
        <v>3818</v>
      </c>
      <c r="C982" s="17">
        <v>4</v>
      </c>
      <c r="D982" s="1"/>
      <c r="E982" s="1">
        <v>2150</v>
      </c>
      <c r="F982" s="1">
        <v>2440</v>
      </c>
      <c r="G982" s="1">
        <v>117</v>
      </c>
      <c r="H982" s="1"/>
      <c r="I982" s="1"/>
      <c r="J982" s="1"/>
      <c r="K982" s="1"/>
      <c r="L982" s="17"/>
      <c r="M982" s="17"/>
      <c r="N982" s="27"/>
      <c r="O982" s="2"/>
    </row>
    <row r="983" spans="1:15" x14ac:dyDescent="0.2">
      <c r="A983" s="17" t="s">
        <v>3819</v>
      </c>
      <c r="B983" s="17" t="s">
        <v>3820</v>
      </c>
      <c r="C983" s="17">
        <v>4</v>
      </c>
      <c r="D983" s="1"/>
      <c r="E983" s="1">
        <v>2150</v>
      </c>
      <c r="F983" s="1">
        <v>2440</v>
      </c>
      <c r="G983" s="1">
        <v>117</v>
      </c>
      <c r="H983" s="1"/>
      <c r="I983" s="1"/>
      <c r="J983" s="1"/>
      <c r="K983" s="1"/>
      <c r="L983" s="17"/>
      <c r="M983" s="17"/>
      <c r="N983" s="27"/>
      <c r="O983" s="2"/>
    </row>
    <row r="984" spans="1:15" x14ac:dyDescent="0.2">
      <c r="A984" s="17" t="s">
        <v>3821</v>
      </c>
      <c r="B984" s="17" t="s">
        <v>3822</v>
      </c>
      <c r="C984" s="17">
        <v>25</v>
      </c>
      <c r="D984" s="1"/>
      <c r="E984" s="1">
        <v>2150</v>
      </c>
      <c r="F984" s="1">
        <v>2440</v>
      </c>
      <c r="G984" s="1">
        <v>117</v>
      </c>
      <c r="H984" s="1"/>
      <c r="I984" s="1"/>
      <c r="J984" s="1"/>
      <c r="K984" s="1"/>
      <c r="L984" s="17"/>
      <c r="M984" s="17"/>
      <c r="N984" s="27"/>
      <c r="O984" s="2"/>
    </row>
    <row r="985" spans="1:15" x14ac:dyDescent="0.2">
      <c r="A985" s="17" t="s">
        <v>3823</v>
      </c>
      <c r="B985" s="17" t="s">
        <v>3824</v>
      </c>
      <c r="C985" s="17">
        <v>7</v>
      </c>
      <c r="D985" s="1"/>
      <c r="E985" s="1">
        <v>2150</v>
      </c>
      <c r="F985" s="1">
        <v>2440</v>
      </c>
      <c r="G985" s="1">
        <v>117</v>
      </c>
      <c r="H985" s="1"/>
      <c r="I985" s="1"/>
      <c r="J985" s="1"/>
      <c r="K985" s="1"/>
      <c r="L985" s="17"/>
      <c r="M985" s="17"/>
      <c r="N985" s="27"/>
      <c r="O985" s="2"/>
    </row>
    <row r="986" spans="1:15" x14ac:dyDescent="0.2">
      <c r="A986" s="17" t="s">
        <v>3825</v>
      </c>
      <c r="B986" s="17" t="s">
        <v>3826</v>
      </c>
      <c r="C986" s="17" t="s">
        <v>528</v>
      </c>
      <c r="D986" s="1"/>
      <c r="E986" s="1">
        <v>2150</v>
      </c>
      <c r="F986" s="1">
        <v>2440</v>
      </c>
      <c r="G986" s="1">
        <v>117</v>
      </c>
      <c r="H986" s="1"/>
      <c r="I986" s="1"/>
      <c r="J986" s="1"/>
      <c r="K986" s="1"/>
      <c r="L986" s="17"/>
      <c r="M986" s="17"/>
      <c r="N986" s="27"/>
      <c r="O986" s="2"/>
    </row>
    <row r="987" spans="1:15" x14ac:dyDescent="0.2">
      <c r="A987" s="17" t="s">
        <v>3827</v>
      </c>
      <c r="B987" s="17" t="s">
        <v>3828</v>
      </c>
      <c r="C987" s="17">
        <v>7</v>
      </c>
      <c r="D987" s="1"/>
      <c r="E987" s="1">
        <v>2150</v>
      </c>
      <c r="F987" s="1">
        <v>2440</v>
      </c>
      <c r="G987" s="1">
        <v>117</v>
      </c>
      <c r="H987" s="1"/>
      <c r="I987" s="1"/>
      <c r="J987" s="1"/>
      <c r="K987" s="1"/>
      <c r="L987" s="30"/>
      <c r="M987" s="30"/>
      <c r="N987" s="30"/>
      <c r="O987" s="2"/>
    </row>
    <row r="988" spans="1:15" x14ac:dyDescent="0.2">
      <c r="A988" s="17" t="s">
        <v>3829</v>
      </c>
      <c r="B988" s="17" t="s">
        <v>3830</v>
      </c>
      <c r="C988" s="17" t="s">
        <v>528</v>
      </c>
      <c r="D988" s="1"/>
      <c r="E988" s="1">
        <v>2150</v>
      </c>
      <c r="F988" s="1">
        <v>2440</v>
      </c>
      <c r="G988" s="1">
        <v>117</v>
      </c>
      <c r="H988" s="1"/>
      <c r="I988" s="1"/>
      <c r="J988" s="1"/>
      <c r="K988" s="1"/>
      <c r="L988" s="30"/>
      <c r="M988" s="30"/>
      <c r="N988" s="30"/>
      <c r="O988" s="2"/>
    </row>
    <row r="989" spans="1:15" x14ac:dyDescent="0.2">
      <c r="A989" s="17" t="s">
        <v>3831</v>
      </c>
      <c r="B989" s="17" t="s">
        <v>3832</v>
      </c>
      <c r="C989" s="17" t="s">
        <v>528</v>
      </c>
      <c r="D989" s="1"/>
      <c r="E989" s="1">
        <v>2150</v>
      </c>
      <c r="F989" s="1">
        <v>2440</v>
      </c>
      <c r="G989" s="1">
        <v>117</v>
      </c>
      <c r="H989" s="1"/>
      <c r="I989" s="1"/>
      <c r="J989" s="1"/>
      <c r="K989" s="1"/>
      <c r="L989" s="30"/>
      <c r="M989" s="30"/>
      <c r="N989" s="30"/>
      <c r="O989" s="2"/>
    </row>
    <row r="990" spans="1:15" x14ac:dyDescent="0.2">
      <c r="A990" s="17" t="s">
        <v>3833</v>
      </c>
      <c r="B990" s="17" t="s">
        <v>3834</v>
      </c>
      <c r="C990" s="17" t="s">
        <v>292</v>
      </c>
      <c r="D990" s="1"/>
      <c r="E990" s="1">
        <v>2150</v>
      </c>
      <c r="F990" s="1">
        <v>2440</v>
      </c>
      <c r="G990" s="1">
        <v>117</v>
      </c>
      <c r="H990" s="1"/>
      <c r="I990" s="1"/>
      <c r="J990" s="1"/>
      <c r="K990" s="1"/>
      <c r="L990" s="30"/>
      <c r="M990" s="30"/>
      <c r="N990" s="30"/>
      <c r="O990" s="2"/>
    </row>
    <row r="991" spans="1:15" x14ac:dyDescent="0.2">
      <c r="A991" s="17" t="s">
        <v>3835</v>
      </c>
      <c r="B991" s="17" t="s">
        <v>3836</v>
      </c>
      <c r="C991" s="17">
        <v>6</v>
      </c>
      <c r="D991" s="1"/>
      <c r="E991" s="1">
        <v>2150</v>
      </c>
      <c r="F991" s="1">
        <v>2440</v>
      </c>
      <c r="G991" s="1">
        <v>23</v>
      </c>
      <c r="H991" s="1"/>
      <c r="I991" s="1"/>
      <c r="J991" s="1"/>
      <c r="K991" s="1"/>
      <c r="L991" s="30"/>
      <c r="M991" s="30"/>
      <c r="N991" s="30"/>
      <c r="O991" s="2"/>
    </row>
    <row r="992" spans="1:15" x14ac:dyDescent="0.2">
      <c r="A992" s="17" t="s">
        <v>3837</v>
      </c>
      <c r="B992" s="17" t="s">
        <v>3838</v>
      </c>
      <c r="C992" s="17">
        <v>6</v>
      </c>
      <c r="D992" s="1"/>
      <c r="E992" s="1">
        <v>2150</v>
      </c>
      <c r="F992" s="1">
        <v>2440</v>
      </c>
      <c r="G992" s="1">
        <v>23</v>
      </c>
      <c r="H992" s="1"/>
      <c r="I992" s="1"/>
      <c r="J992" s="1"/>
      <c r="K992" s="1"/>
      <c r="L992" s="30"/>
      <c r="M992" s="30"/>
      <c r="N992" s="30"/>
      <c r="O992" s="2"/>
    </row>
    <row r="993" spans="1:15" x14ac:dyDescent="0.2">
      <c r="A993" s="17" t="s">
        <v>3839</v>
      </c>
      <c r="B993" s="17" t="s">
        <v>3840</v>
      </c>
      <c r="C993" s="17" t="s">
        <v>528</v>
      </c>
      <c r="D993" s="1"/>
      <c r="E993" s="1">
        <v>2150</v>
      </c>
      <c r="F993" s="1">
        <v>2440</v>
      </c>
      <c r="G993" s="1">
        <v>117</v>
      </c>
      <c r="H993" s="1"/>
      <c r="I993" s="1"/>
      <c r="J993" s="1"/>
      <c r="K993" s="1"/>
      <c r="L993" s="30"/>
      <c r="M993" s="30"/>
      <c r="N993" s="30"/>
      <c r="O993" s="2"/>
    </row>
    <row r="994" spans="1:15" x14ac:dyDescent="0.2">
      <c r="A994" s="17" t="s">
        <v>3841</v>
      </c>
      <c r="B994" s="17" t="s">
        <v>3842</v>
      </c>
      <c r="C994" s="17">
        <v>8</v>
      </c>
      <c r="D994" s="1"/>
      <c r="E994" s="1">
        <v>2150</v>
      </c>
      <c r="F994" s="1">
        <v>2440</v>
      </c>
      <c r="G994" s="1">
        <v>117</v>
      </c>
      <c r="H994" s="1"/>
      <c r="I994" s="1"/>
      <c r="J994" s="1"/>
      <c r="K994" s="1"/>
      <c r="L994" s="30"/>
      <c r="M994" s="30"/>
      <c r="N994" s="30"/>
      <c r="O994" s="2"/>
    </row>
    <row r="995" spans="1:15" x14ac:dyDescent="0.2">
      <c r="A995" s="17" t="s">
        <v>3843</v>
      </c>
      <c r="B995" s="17" t="s">
        <v>3844</v>
      </c>
      <c r="C995" s="17">
        <v>8</v>
      </c>
      <c r="D995" s="1"/>
      <c r="E995" s="1">
        <v>2150</v>
      </c>
      <c r="F995" s="1">
        <v>2440</v>
      </c>
      <c r="G995" s="1">
        <v>117</v>
      </c>
      <c r="H995" s="1"/>
      <c r="I995" s="1"/>
      <c r="J995" s="1"/>
      <c r="K995" s="1"/>
      <c r="L995" s="30"/>
      <c r="M995" s="30"/>
      <c r="N995" s="30"/>
      <c r="O995" s="2"/>
    </row>
    <row r="996" spans="1:15" x14ac:dyDescent="0.2">
      <c r="A996" s="17" t="s">
        <v>3845</v>
      </c>
      <c r="B996" s="17" t="s">
        <v>3846</v>
      </c>
      <c r="C996" s="17"/>
      <c r="D996" s="1"/>
      <c r="E996" s="1">
        <v>2150</v>
      </c>
      <c r="F996" s="1">
        <v>2440</v>
      </c>
      <c r="G996" s="1">
        <v>117</v>
      </c>
      <c r="H996" s="1"/>
      <c r="I996" s="1"/>
      <c r="J996" s="1"/>
      <c r="K996" s="1"/>
      <c r="L996" s="30"/>
      <c r="M996" s="30"/>
      <c r="N996" s="30"/>
      <c r="O996" s="2"/>
    </row>
    <row r="997" spans="1:15" x14ac:dyDescent="0.2">
      <c r="A997" s="17" t="s">
        <v>3847</v>
      </c>
      <c r="B997" s="17" t="s">
        <v>3848</v>
      </c>
      <c r="C997" s="17">
        <v>6</v>
      </c>
      <c r="D997" s="1"/>
      <c r="E997" s="1">
        <v>2150</v>
      </c>
      <c r="F997" s="1">
        <v>2440</v>
      </c>
      <c r="G997" s="1">
        <v>23</v>
      </c>
      <c r="H997" s="1"/>
      <c r="I997" s="1"/>
      <c r="J997" s="1"/>
      <c r="K997" s="1"/>
      <c r="L997" s="30"/>
      <c r="M997" s="30"/>
      <c r="N997" s="30"/>
      <c r="O997" s="2"/>
    </row>
    <row r="998" spans="1:15" x14ac:dyDescent="0.2">
      <c r="A998" s="17" t="s">
        <v>3849</v>
      </c>
      <c r="B998" s="17" t="s">
        <v>3850</v>
      </c>
      <c r="C998" s="17">
        <v>6</v>
      </c>
      <c r="D998" s="1"/>
      <c r="E998" s="1">
        <v>2150</v>
      </c>
      <c r="F998" s="1">
        <v>2440</v>
      </c>
      <c r="G998" s="1">
        <v>23</v>
      </c>
      <c r="H998" s="1"/>
      <c r="I998" s="1"/>
      <c r="J998" s="1"/>
      <c r="K998" s="1"/>
      <c r="L998" s="30"/>
      <c r="M998" s="30"/>
      <c r="N998" s="30"/>
      <c r="O998" s="2"/>
    </row>
    <row r="999" spans="1:15" x14ac:dyDescent="0.2">
      <c r="A999" s="17" t="s">
        <v>3851</v>
      </c>
      <c r="B999" s="17" t="s">
        <v>3852</v>
      </c>
      <c r="C999" s="17">
        <v>6</v>
      </c>
      <c r="D999" s="1"/>
      <c r="E999" s="1">
        <v>2150</v>
      </c>
      <c r="F999" s="1">
        <v>2440</v>
      </c>
      <c r="G999" s="1">
        <v>23</v>
      </c>
      <c r="H999" s="1"/>
      <c r="I999" s="1"/>
      <c r="J999" s="1"/>
      <c r="K999" s="1"/>
      <c r="L999" s="30"/>
      <c r="M999" s="30"/>
      <c r="N999" s="30"/>
      <c r="O999" s="2"/>
    </row>
    <row r="1000" spans="1:15" x14ac:dyDescent="0.2">
      <c r="A1000" s="17" t="s">
        <v>3853</v>
      </c>
      <c r="B1000" s="17" t="s">
        <v>3854</v>
      </c>
      <c r="C1000" s="17">
        <v>8</v>
      </c>
      <c r="D1000" s="1"/>
      <c r="E1000" s="1">
        <v>2150</v>
      </c>
      <c r="F1000" s="1">
        <v>2440</v>
      </c>
      <c r="G1000" s="1">
        <v>117</v>
      </c>
      <c r="H1000" s="1"/>
      <c r="I1000" s="1"/>
      <c r="J1000" s="1"/>
      <c r="K1000" s="1"/>
      <c r="L1000" s="30"/>
      <c r="M1000" s="30"/>
      <c r="N1000" s="30"/>
      <c r="O1000" s="2"/>
    </row>
    <row r="1001" spans="1:15" x14ac:dyDescent="0.2">
      <c r="A1001" s="17" t="s">
        <v>3855</v>
      </c>
      <c r="B1001" s="17" t="s">
        <v>3856</v>
      </c>
      <c r="C1001" s="17" t="s">
        <v>528</v>
      </c>
      <c r="D1001" s="1"/>
      <c r="E1001" s="1">
        <v>2150</v>
      </c>
      <c r="F1001" s="1">
        <v>2440</v>
      </c>
      <c r="G1001" s="1">
        <v>117</v>
      </c>
      <c r="H1001" s="1"/>
      <c r="I1001" s="1"/>
      <c r="J1001" s="1"/>
      <c r="K1001" s="1"/>
      <c r="L1001" s="30"/>
      <c r="M1001" s="30"/>
      <c r="N1001" s="30"/>
      <c r="O1001" s="2"/>
    </row>
    <row r="1002" spans="1:15" x14ac:dyDescent="0.2">
      <c r="A1002" s="17" t="s">
        <v>3857</v>
      </c>
      <c r="B1002" s="17" t="s">
        <v>3858</v>
      </c>
      <c r="C1002" s="17" t="s">
        <v>384</v>
      </c>
      <c r="D1002" s="1"/>
      <c r="E1002" s="1">
        <v>2150</v>
      </c>
      <c r="F1002" s="1">
        <v>2440</v>
      </c>
      <c r="G1002" s="1">
        <v>117</v>
      </c>
      <c r="H1002" s="1"/>
      <c r="I1002" s="1"/>
      <c r="J1002" s="1"/>
      <c r="K1002" s="1"/>
      <c r="L1002" s="30"/>
      <c r="M1002" s="30"/>
      <c r="N1002" s="30"/>
      <c r="O1002" s="2"/>
    </row>
    <row r="1003" spans="1:15" x14ac:dyDescent="0.2">
      <c r="A1003" s="17" t="s">
        <v>3859</v>
      </c>
      <c r="B1003" s="17" t="s">
        <v>3860</v>
      </c>
      <c r="C1003" s="17">
        <v>8</v>
      </c>
      <c r="D1003" s="1"/>
      <c r="E1003" s="1">
        <v>2150</v>
      </c>
      <c r="F1003" s="1">
        <v>2440</v>
      </c>
      <c r="G1003" s="1">
        <v>117</v>
      </c>
      <c r="H1003" s="1"/>
      <c r="I1003" s="1"/>
      <c r="J1003" s="1"/>
      <c r="K1003" s="1"/>
      <c r="L1003" s="30"/>
      <c r="M1003" s="30"/>
      <c r="N1003" s="30"/>
      <c r="O1003" s="2"/>
    </row>
    <row r="1004" spans="1:15" x14ac:dyDescent="0.2">
      <c r="A1004" s="17" t="s">
        <v>3861</v>
      </c>
      <c r="B1004" s="17" t="s">
        <v>3862</v>
      </c>
      <c r="C1004" s="17">
        <v>8</v>
      </c>
      <c r="D1004" s="1"/>
      <c r="E1004" s="1">
        <v>2150</v>
      </c>
      <c r="F1004" s="1">
        <v>2440</v>
      </c>
      <c r="G1004" s="1">
        <v>117</v>
      </c>
      <c r="H1004" s="1"/>
      <c r="I1004" s="1"/>
      <c r="J1004" s="1"/>
      <c r="K1004" s="1"/>
      <c r="L1004" s="30"/>
      <c r="M1004" s="30"/>
      <c r="N1004" s="30"/>
      <c r="O1004" s="2"/>
    </row>
    <row r="1005" spans="1:15" x14ac:dyDescent="0.2">
      <c r="A1005" s="17" t="s">
        <v>3863</v>
      </c>
      <c r="B1005" s="17" t="s">
        <v>3864</v>
      </c>
      <c r="C1005" s="17">
        <v>8</v>
      </c>
      <c r="D1005" s="1"/>
      <c r="E1005" s="1">
        <v>2150</v>
      </c>
      <c r="F1005" s="1">
        <v>2440</v>
      </c>
      <c r="G1005" s="1">
        <v>117</v>
      </c>
      <c r="H1005" s="1"/>
      <c r="I1005" s="1"/>
      <c r="J1005" s="1"/>
      <c r="K1005" s="1"/>
      <c r="L1005" s="30"/>
      <c r="M1005" s="30"/>
      <c r="N1005" s="30"/>
      <c r="O1005" s="2"/>
    </row>
    <row r="1006" spans="1:15" x14ac:dyDescent="0.2">
      <c r="A1006" s="17" t="s">
        <v>3865</v>
      </c>
      <c r="B1006" s="17" t="s">
        <v>3866</v>
      </c>
      <c r="C1006" s="17">
        <v>2.7</v>
      </c>
      <c r="D1006" s="1"/>
      <c r="E1006" s="1">
        <v>1220</v>
      </c>
      <c r="F1006" s="1">
        <v>2440</v>
      </c>
      <c r="G1006" s="1">
        <v>117</v>
      </c>
      <c r="H1006" s="1"/>
      <c r="I1006" s="1"/>
      <c r="J1006" s="1"/>
      <c r="K1006" s="1"/>
      <c r="L1006" s="30"/>
      <c r="M1006" s="30"/>
      <c r="N1006" s="30"/>
      <c r="O1006" s="2"/>
    </row>
    <row r="1007" spans="1:15" x14ac:dyDescent="0.2">
      <c r="A1007" s="17" t="s">
        <v>3867</v>
      </c>
      <c r="B1007" s="17" t="s">
        <v>3868</v>
      </c>
      <c r="C1007" s="17">
        <v>24</v>
      </c>
      <c r="D1007" s="1"/>
      <c r="E1007" s="1">
        <v>1830</v>
      </c>
      <c r="F1007" s="1">
        <v>2440</v>
      </c>
      <c r="G1007" s="1">
        <v>68</v>
      </c>
      <c r="H1007" s="1"/>
      <c r="I1007" s="1"/>
      <c r="J1007" s="1"/>
      <c r="K1007" s="1"/>
      <c r="L1007" s="30"/>
      <c r="M1007" s="30"/>
      <c r="N1007" s="30"/>
      <c r="O1007" s="2"/>
    </row>
    <row r="1008" spans="1:15" x14ac:dyDescent="0.2">
      <c r="A1008" s="17" t="s">
        <v>3869</v>
      </c>
      <c r="B1008" s="17" t="s">
        <v>3870</v>
      </c>
      <c r="C1008" s="17">
        <v>18</v>
      </c>
      <c r="D1008" s="1"/>
      <c r="E1008" s="1">
        <v>2150</v>
      </c>
      <c r="F1008" s="1">
        <v>2440</v>
      </c>
      <c r="G1008" s="1">
        <v>52</v>
      </c>
      <c r="H1008" s="1"/>
      <c r="I1008" s="1"/>
      <c r="J1008" s="1"/>
      <c r="K1008" s="1"/>
      <c r="L1008" s="30"/>
      <c r="M1008" s="30"/>
      <c r="N1008" s="30"/>
      <c r="O1008" s="2"/>
    </row>
    <row r="1009" spans="1:15" x14ac:dyDescent="0.2">
      <c r="A1009" s="17" t="s">
        <v>3871</v>
      </c>
      <c r="B1009" s="17" t="s">
        <v>3872</v>
      </c>
      <c r="C1009" s="17">
        <v>18</v>
      </c>
      <c r="D1009" s="1"/>
      <c r="E1009" s="1">
        <v>1530</v>
      </c>
      <c r="F1009" s="1">
        <v>2440</v>
      </c>
      <c r="G1009" s="1">
        <v>43</v>
      </c>
      <c r="H1009" s="1"/>
      <c r="I1009" s="1"/>
      <c r="J1009" s="11"/>
      <c r="K1009" s="1"/>
      <c r="L1009" s="30"/>
      <c r="M1009" s="30"/>
      <c r="N1009" s="30"/>
      <c r="O1009" s="2"/>
    </row>
    <row r="1010" spans="1:15" x14ac:dyDescent="0.2">
      <c r="A1010" s="17" t="s">
        <v>3873</v>
      </c>
      <c r="B1010" s="17" t="s">
        <v>3874</v>
      </c>
      <c r="C1010" s="17">
        <v>25</v>
      </c>
      <c r="D1010" s="1"/>
      <c r="E1010" s="1">
        <v>2150</v>
      </c>
      <c r="F1010" s="1">
        <v>2440</v>
      </c>
      <c r="G1010" s="1">
        <v>117</v>
      </c>
      <c r="H1010" s="1"/>
      <c r="I1010" s="1"/>
      <c r="J1010" s="1"/>
      <c r="K1010" s="1"/>
      <c r="L1010" s="30"/>
      <c r="M1010" s="30"/>
      <c r="N1010" s="30"/>
      <c r="O1010" s="2"/>
    </row>
    <row r="1011" spans="1:15" x14ac:dyDescent="0.2">
      <c r="A1011" s="17" t="s">
        <v>3875</v>
      </c>
      <c r="B1011" s="17" t="s">
        <v>3876</v>
      </c>
      <c r="C1011" s="17">
        <v>18</v>
      </c>
      <c r="D1011" s="1"/>
      <c r="E1011" s="1">
        <v>1830</v>
      </c>
      <c r="F1011" s="1">
        <v>2440</v>
      </c>
      <c r="G1011" s="1">
        <v>52</v>
      </c>
      <c r="H1011" s="1"/>
      <c r="I1011" s="1"/>
      <c r="J1011" s="11"/>
      <c r="K1011" s="1"/>
      <c r="L1011" s="30"/>
      <c r="M1011" s="30"/>
      <c r="N1011" s="30"/>
      <c r="O1011" s="2"/>
    </row>
    <row r="1012" spans="1:15" x14ac:dyDescent="0.2">
      <c r="A1012" s="17" t="s">
        <v>3877</v>
      </c>
      <c r="B1012" s="17" t="s">
        <v>3878</v>
      </c>
      <c r="C1012" s="17">
        <v>18</v>
      </c>
      <c r="D1012" s="1"/>
      <c r="E1012" s="1">
        <v>2150</v>
      </c>
      <c r="F1012" s="1">
        <v>2440</v>
      </c>
      <c r="G1012" s="1">
        <v>52</v>
      </c>
      <c r="H1012" s="1"/>
      <c r="I1012" s="1"/>
      <c r="J1012" s="11"/>
      <c r="K1012" s="1"/>
      <c r="L1012" s="30"/>
      <c r="M1012" s="30"/>
      <c r="N1012" s="30"/>
      <c r="O1012" s="2"/>
    </row>
    <row r="1013" spans="1:15" x14ac:dyDescent="0.2">
      <c r="A1013" s="17" t="s">
        <v>3879</v>
      </c>
      <c r="B1013" s="17" t="s">
        <v>3880</v>
      </c>
      <c r="C1013" s="17">
        <v>18</v>
      </c>
      <c r="D1013" s="1"/>
      <c r="E1013" s="1">
        <v>1530</v>
      </c>
      <c r="F1013" s="1">
        <v>2440</v>
      </c>
      <c r="G1013" s="1">
        <v>52</v>
      </c>
      <c r="H1013" s="1"/>
      <c r="I1013" s="1"/>
      <c r="J1013" s="11"/>
      <c r="K1013" s="1"/>
      <c r="L1013" s="30"/>
      <c r="M1013" s="30"/>
      <c r="N1013" s="30"/>
      <c r="O1013" s="2"/>
    </row>
    <row r="1014" spans="1:15" x14ac:dyDescent="0.2">
      <c r="A1014" s="17" t="s">
        <v>3881</v>
      </c>
      <c r="B1014" s="17" t="s">
        <v>3882</v>
      </c>
      <c r="C1014" s="17">
        <v>15</v>
      </c>
      <c r="D1014" s="1"/>
      <c r="E1014" s="1">
        <v>2150</v>
      </c>
      <c r="F1014" s="1">
        <v>2440</v>
      </c>
      <c r="G1014" s="1">
        <v>37</v>
      </c>
      <c r="H1014" s="1"/>
      <c r="I1014" s="1"/>
      <c r="J1014" s="1"/>
      <c r="K1014" s="1"/>
      <c r="L1014" s="30"/>
      <c r="M1014" s="30"/>
      <c r="N1014" s="30"/>
      <c r="O1014" s="2"/>
    </row>
    <row r="1015" spans="1:15" x14ac:dyDescent="0.2">
      <c r="A1015" s="17" t="s">
        <v>3883</v>
      </c>
      <c r="B1015" s="17" t="s">
        <v>3884</v>
      </c>
      <c r="C1015" s="17">
        <v>9</v>
      </c>
      <c r="D1015" s="1"/>
      <c r="E1015" s="1">
        <v>1830</v>
      </c>
      <c r="F1015" s="1">
        <v>2440</v>
      </c>
      <c r="G1015" s="1">
        <v>28</v>
      </c>
      <c r="H1015" s="1"/>
      <c r="I1015" s="1"/>
      <c r="J1015" s="1"/>
      <c r="K1015" s="1"/>
      <c r="L1015" s="30"/>
      <c r="M1015" s="30"/>
      <c r="N1015" s="30"/>
      <c r="O1015" s="2"/>
    </row>
    <row r="1016" spans="1:15" x14ac:dyDescent="0.2">
      <c r="A1016" s="17" t="s">
        <v>3885</v>
      </c>
      <c r="B1016" s="17" t="s">
        <v>3886</v>
      </c>
      <c r="C1016" s="17">
        <v>15</v>
      </c>
      <c r="D1016" s="1"/>
      <c r="E1016" s="1">
        <v>1830</v>
      </c>
      <c r="F1016" s="1">
        <v>2440</v>
      </c>
      <c r="G1016" s="1">
        <v>41</v>
      </c>
      <c r="H1016" s="1"/>
      <c r="I1016" s="1"/>
      <c r="J1016" s="1"/>
      <c r="K1016" s="1"/>
      <c r="L1016" s="30"/>
      <c r="M1016" s="30"/>
      <c r="N1016" s="30"/>
      <c r="O1016" s="2"/>
    </row>
    <row r="1017" spans="1:15" x14ac:dyDescent="0.2">
      <c r="A1017" s="17" t="s">
        <v>3887</v>
      </c>
      <c r="B1017" s="17" t="s">
        <v>3888</v>
      </c>
      <c r="C1017" s="17">
        <v>18</v>
      </c>
      <c r="D1017" s="1"/>
      <c r="E1017" s="1">
        <v>1830</v>
      </c>
      <c r="F1017" s="1">
        <v>2440</v>
      </c>
      <c r="G1017" s="1">
        <v>48</v>
      </c>
      <c r="H1017" s="1"/>
      <c r="I1017" s="1"/>
      <c r="J1017" s="1"/>
      <c r="K1017" s="1"/>
      <c r="L1017" s="30"/>
      <c r="M1017" s="30"/>
      <c r="N1017" s="30"/>
      <c r="O1017" s="2"/>
    </row>
    <row r="1018" spans="1:15" x14ac:dyDescent="0.2">
      <c r="A1018" s="17" t="s">
        <v>3889</v>
      </c>
      <c r="B1018" s="17" t="s">
        <v>3890</v>
      </c>
      <c r="C1018" s="17">
        <v>9</v>
      </c>
      <c r="D1018" s="1"/>
      <c r="E1018" s="1">
        <v>2150</v>
      </c>
      <c r="F1018" s="1">
        <v>2440</v>
      </c>
      <c r="G1018" s="1">
        <v>28</v>
      </c>
      <c r="H1018" s="1"/>
      <c r="I1018" s="1"/>
      <c r="J1018" s="1"/>
      <c r="K1018" s="1"/>
      <c r="L1018" s="30"/>
      <c r="M1018" s="30"/>
      <c r="N1018" s="30"/>
      <c r="O1018" s="2"/>
    </row>
    <row r="1019" spans="1:15" x14ac:dyDescent="0.2">
      <c r="A1019" s="17" t="s">
        <v>3891</v>
      </c>
      <c r="B1019" s="17" t="s">
        <v>3892</v>
      </c>
      <c r="C1019" s="17">
        <v>12</v>
      </c>
      <c r="D1019" s="1"/>
      <c r="E1019" s="1">
        <v>2150</v>
      </c>
      <c r="F1019" s="1">
        <v>2440</v>
      </c>
      <c r="G1019" s="1">
        <v>35</v>
      </c>
      <c r="H1019" s="1"/>
      <c r="I1019" s="1"/>
      <c r="J1019" s="1"/>
      <c r="K1019" s="1"/>
      <c r="L1019" s="30"/>
      <c r="M1019" s="30"/>
      <c r="N1019" s="30"/>
      <c r="O1019" s="2"/>
    </row>
    <row r="1020" spans="1:15" x14ac:dyDescent="0.2">
      <c r="A1020" s="17" t="s">
        <v>3893</v>
      </c>
      <c r="B1020" s="17" t="s">
        <v>3894</v>
      </c>
      <c r="C1020" s="17">
        <v>15</v>
      </c>
      <c r="D1020" s="1"/>
      <c r="E1020" s="1">
        <v>1830</v>
      </c>
      <c r="F1020" s="1">
        <v>2440</v>
      </c>
      <c r="G1020" s="1">
        <v>44</v>
      </c>
      <c r="H1020" s="1"/>
      <c r="I1020" s="1"/>
      <c r="J1020" s="1"/>
      <c r="K1020" s="1"/>
      <c r="L1020" s="30"/>
      <c r="M1020" s="30"/>
      <c r="N1020" s="30"/>
      <c r="O1020" s="2"/>
    </row>
    <row r="1021" spans="1:15" x14ac:dyDescent="0.2">
      <c r="A1021" s="17" t="s">
        <v>3895</v>
      </c>
      <c r="B1021" s="17" t="s">
        <v>3896</v>
      </c>
      <c r="C1021" s="17">
        <v>18</v>
      </c>
      <c r="D1021" s="1"/>
      <c r="E1021" s="1">
        <v>1830</v>
      </c>
      <c r="F1021" s="1">
        <v>2440</v>
      </c>
      <c r="G1021" s="1">
        <v>48</v>
      </c>
      <c r="H1021" s="1"/>
      <c r="I1021" s="1"/>
      <c r="J1021" s="1"/>
      <c r="K1021" s="1"/>
      <c r="L1021" s="30"/>
      <c r="M1021" s="30"/>
      <c r="N1021" s="30"/>
      <c r="O1021" s="2"/>
    </row>
    <row r="1022" spans="1:15" x14ac:dyDescent="0.2">
      <c r="A1022" s="17" t="s">
        <v>3897</v>
      </c>
      <c r="B1022" s="17" t="s">
        <v>3898</v>
      </c>
      <c r="C1022" s="17">
        <v>5</v>
      </c>
      <c r="D1022" s="1"/>
      <c r="E1022" s="1">
        <v>2150</v>
      </c>
      <c r="F1022" s="1">
        <v>2440</v>
      </c>
      <c r="G1022" s="1">
        <v>16</v>
      </c>
      <c r="H1022" s="1"/>
      <c r="I1022" s="1"/>
      <c r="J1022" s="1"/>
      <c r="K1022" s="1"/>
      <c r="L1022" s="30"/>
      <c r="M1022" s="30"/>
      <c r="N1022" s="30"/>
      <c r="O1022" s="2"/>
    </row>
    <row r="1023" spans="1:15" x14ac:dyDescent="0.2">
      <c r="A1023" s="17" t="s">
        <v>3899</v>
      </c>
      <c r="B1023" s="17" t="s">
        <v>3900</v>
      </c>
      <c r="C1023" s="17">
        <v>10</v>
      </c>
      <c r="D1023" s="1"/>
      <c r="E1023" s="1">
        <v>2150</v>
      </c>
      <c r="F1023" s="1">
        <v>2440</v>
      </c>
      <c r="G1023" s="1">
        <v>117</v>
      </c>
      <c r="H1023" s="1"/>
      <c r="I1023" s="1"/>
      <c r="J1023" s="1"/>
      <c r="K1023" s="1"/>
      <c r="L1023" s="30"/>
      <c r="M1023" s="30"/>
      <c r="N1023" s="30"/>
      <c r="O1023" s="2"/>
    </row>
    <row r="1024" spans="1:15" x14ac:dyDescent="0.2">
      <c r="A1024" s="17" t="s">
        <v>3901</v>
      </c>
      <c r="B1024" s="17" t="s">
        <v>3902</v>
      </c>
      <c r="C1024" s="17">
        <v>16</v>
      </c>
      <c r="D1024" s="1"/>
      <c r="E1024" s="1">
        <v>2150</v>
      </c>
      <c r="F1024" s="1">
        <v>2440</v>
      </c>
      <c r="G1024" s="1">
        <v>117</v>
      </c>
      <c r="H1024" s="1"/>
      <c r="I1024" s="1"/>
      <c r="J1024" s="1"/>
      <c r="K1024" s="1"/>
      <c r="L1024" s="30"/>
      <c r="M1024" s="30"/>
      <c r="N1024" s="30"/>
      <c r="O1024" s="2"/>
    </row>
    <row r="1025" spans="1:15" x14ac:dyDescent="0.2">
      <c r="A1025" s="17" t="s">
        <v>3903</v>
      </c>
      <c r="B1025" s="17" t="s">
        <v>3904</v>
      </c>
      <c r="C1025" s="17">
        <v>18</v>
      </c>
      <c r="D1025" s="1"/>
      <c r="E1025" s="1">
        <v>1830</v>
      </c>
      <c r="F1025" s="1">
        <v>2440</v>
      </c>
      <c r="G1025" s="1">
        <v>50</v>
      </c>
      <c r="H1025" s="1"/>
      <c r="I1025" s="1"/>
      <c r="J1025" s="1"/>
      <c r="K1025" s="1"/>
      <c r="L1025" s="30"/>
      <c r="M1025" s="30"/>
      <c r="N1025" s="30"/>
      <c r="O1025" s="2"/>
    </row>
    <row r="1026" spans="1:15" x14ac:dyDescent="0.2">
      <c r="A1026" s="17" t="s">
        <v>3905</v>
      </c>
      <c r="B1026" s="17" t="s">
        <v>3906</v>
      </c>
      <c r="C1026" s="17">
        <v>9</v>
      </c>
      <c r="D1026" s="1"/>
      <c r="E1026" s="1">
        <v>1830</v>
      </c>
      <c r="F1026" s="1">
        <v>2440</v>
      </c>
      <c r="G1026" s="1">
        <v>28</v>
      </c>
      <c r="H1026" s="1"/>
      <c r="I1026" s="1"/>
      <c r="J1026" s="1"/>
      <c r="K1026" s="1"/>
      <c r="L1026" s="30"/>
      <c r="M1026" s="30"/>
      <c r="N1026" s="30"/>
      <c r="O1026" s="2"/>
    </row>
    <row r="1027" spans="1:15" x14ac:dyDescent="0.2">
      <c r="A1027" s="17" t="s">
        <v>3907</v>
      </c>
      <c r="B1027" s="17" t="s">
        <v>3908</v>
      </c>
      <c r="C1027" s="17">
        <v>18</v>
      </c>
      <c r="D1027" s="1"/>
      <c r="E1027" s="1">
        <v>1830</v>
      </c>
      <c r="F1027" s="1">
        <v>2440</v>
      </c>
      <c r="G1027" s="1">
        <v>48</v>
      </c>
      <c r="H1027" s="1"/>
      <c r="I1027" s="1"/>
      <c r="J1027" s="1"/>
      <c r="K1027" s="1"/>
      <c r="L1027" s="30"/>
      <c r="M1027" s="30"/>
      <c r="N1027" s="30"/>
      <c r="O1027" s="2"/>
    </row>
    <row r="1028" spans="1:15" x14ac:dyDescent="0.2">
      <c r="A1028" s="17" t="s">
        <v>3909</v>
      </c>
      <c r="B1028" s="17" t="s">
        <v>3910</v>
      </c>
      <c r="C1028" s="17">
        <v>25</v>
      </c>
      <c r="D1028" s="1"/>
      <c r="E1028" s="1">
        <v>1830</v>
      </c>
      <c r="F1028" s="1">
        <v>2440</v>
      </c>
      <c r="G1028" s="1">
        <v>71</v>
      </c>
      <c r="H1028" s="1"/>
      <c r="I1028" s="1"/>
      <c r="J1028" s="1"/>
      <c r="K1028" s="1"/>
      <c r="L1028" s="30"/>
      <c r="M1028" s="30"/>
      <c r="N1028" s="30"/>
      <c r="O1028" s="2"/>
    </row>
    <row r="1029" spans="1:15" x14ac:dyDescent="0.2">
      <c r="A1029" s="17" t="s">
        <v>3911</v>
      </c>
      <c r="B1029" s="17" t="s">
        <v>3912</v>
      </c>
      <c r="C1029" s="17">
        <v>30</v>
      </c>
      <c r="D1029" s="1"/>
      <c r="E1029" s="1">
        <v>1830</v>
      </c>
      <c r="F1029" s="1">
        <v>2440</v>
      </c>
      <c r="G1029" s="1">
        <v>80</v>
      </c>
      <c r="H1029" s="1"/>
      <c r="I1029" s="1"/>
      <c r="J1029" s="1"/>
      <c r="K1029" s="1"/>
      <c r="L1029" s="30"/>
      <c r="M1029" s="30"/>
      <c r="N1029" s="30"/>
      <c r="O1029" s="2"/>
    </row>
    <row r="1030" spans="1:15" x14ac:dyDescent="0.2">
      <c r="A1030" s="17" t="s">
        <v>3913</v>
      </c>
      <c r="B1030" s="17" t="s">
        <v>3914</v>
      </c>
      <c r="C1030" s="17">
        <v>12</v>
      </c>
      <c r="D1030" s="1"/>
      <c r="E1030" s="1">
        <v>1830</v>
      </c>
      <c r="F1030" s="1">
        <v>2440</v>
      </c>
      <c r="G1030" s="1">
        <v>35</v>
      </c>
      <c r="H1030" s="1"/>
      <c r="I1030" s="1"/>
      <c r="J1030" s="1"/>
      <c r="K1030" s="1"/>
      <c r="L1030" s="30"/>
      <c r="M1030" s="30"/>
      <c r="N1030" s="30"/>
      <c r="O1030" s="2"/>
    </row>
    <row r="1031" spans="1:15" x14ac:dyDescent="0.2">
      <c r="A1031" s="17" t="s">
        <v>3915</v>
      </c>
      <c r="B1031" s="17" t="s">
        <v>3916</v>
      </c>
      <c r="C1031" s="17">
        <v>15</v>
      </c>
      <c r="D1031" s="1"/>
      <c r="E1031" s="1">
        <v>1830</v>
      </c>
      <c r="F1031" s="1">
        <v>2440</v>
      </c>
      <c r="G1031" s="1">
        <v>41</v>
      </c>
      <c r="H1031" s="1"/>
      <c r="I1031" s="1"/>
      <c r="J1031" s="1"/>
      <c r="K1031" s="1"/>
      <c r="L1031" s="30"/>
      <c r="M1031" s="30"/>
      <c r="N1031" s="30"/>
      <c r="O1031" s="2"/>
    </row>
    <row r="1032" spans="1:15" x14ac:dyDescent="0.2">
      <c r="A1032" s="17" t="s">
        <v>3917</v>
      </c>
      <c r="B1032" s="17" t="s">
        <v>3918</v>
      </c>
      <c r="C1032" s="17">
        <v>18</v>
      </c>
      <c r="D1032" s="1"/>
      <c r="E1032" s="1">
        <v>1830</v>
      </c>
      <c r="F1032" s="1">
        <v>2440</v>
      </c>
      <c r="G1032" s="1">
        <v>50</v>
      </c>
      <c r="H1032" s="1"/>
      <c r="I1032" s="1"/>
      <c r="J1032" s="1"/>
      <c r="K1032" s="1"/>
      <c r="L1032" s="30"/>
      <c r="M1032" s="30"/>
      <c r="N1032" s="30"/>
      <c r="O1032" s="2"/>
    </row>
    <row r="1033" spans="1:15" x14ac:dyDescent="0.2">
      <c r="A1033" s="17" t="s">
        <v>3919</v>
      </c>
      <c r="B1033" s="17" t="s">
        <v>3920</v>
      </c>
      <c r="C1033" s="17" t="s">
        <v>3921</v>
      </c>
      <c r="D1033" s="1"/>
      <c r="E1033" s="1">
        <v>2150</v>
      </c>
      <c r="F1033" s="1">
        <v>2440</v>
      </c>
      <c r="G1033" s="1">
        <v>117</v>
      </c>
      <c r="H1033" s="1"/>
      <c r="I1033" s="1"/>
      <c r="J1033" s="1"/>
      <c r="K1033" s="1"/>
      <c r="L1033" s="30"/>
      <c r="M1033" s="30"/>
      <c r="N1033" s="30"/>
      <c r="O1033" s="2"/>
    </row>
    <row r="1034" spans="1:15" x14ac:dyDescent="0.2">
      <c r="A1034" s="17" t="s">
        <v>3922</v>
      </c>
      <c r="B1034" s="17" t="s">
        <v>3923</v>
      </c>
      <c r="C1034" s="17">
        <v>12</v>
      </c>
      <c r="D1034" s="1"/>
      <c r="E1034" s="1">
        <v>2150</v>
      </c>
      <c r="F1034" s="1">
        <v>2440</v>
      </c>
      <c r="G1034" s="1">
        <v>117</v>
      </c>
      <c r="H1034" s="1"/>
      <c r="I1034" s="1"/>
      <c r="J1034" s="1"/>
      <c r="K1034" s="1"/>
      <c r="L1034" s="30"/>
      <c r="M1034" s="30"/>
      <c r="N1034" s="30"/>
      <c r="O1034" s="2"/>
    </row>
    <row r="1035" spans="1:15" x14ac:dyDescent="0.2">
      <c r="A1035" s="17" t="s">
        <v>3924</v>
      </c>
      <c r="B1035" s="17" t="s">
        <v>3925</v>
      </c>
      <c r="C1035" s="17">
        <v>2.5</v>
      </c>
      <c r="D1035" s="1"/>
      <c r="E1035" s="1">
        <v>1830</v>
      </c>
      <c r="F1035" s="1">
        <v>2440</v>
      </c>
      <c r="G1035" s="1">
        <v>10</v>
      </c>
      <c r="H1035" s="1"/>
      <c r="I1035" s="1"/>
      <c r="J1035" s="1"/>
      <c r="K1035" s="1"/>
      <c r="L1035" s="30"/>
      <c r="M1035" s="30"/>
      <c r="N1035" s="30"/>
      <c r="O1035" s="2"/>
    </row>
    <row r="1036" spans="1:15" x14ac:dyDescent="0.2">
      <c r="A1036" s="17" t="s">
        <v>3926</v>
      </c>
      <c r="B1036" s="17" t="s">
        <v>3927</v>
      </c>
      <c r="C1036" s="17">
        <v>3</v>
      </c>
      <c r="D1036" s="1"/>
      <c r="E1036" s="1">
        <v>1830</v>
      </c>
      <c r="F1036" s="1">
        <v>2440</v>
      </c>
      <c r="G1036" s="1">
        <v>12</v>
      </c>
      <c r="H1036" s="1"/>
      <c r="I1036" s="1"/>
      <c r="J1036" s="1"/>
      <c r="K1036" s="1"/>
      <c r="L1036" s="30"/>
      <c r="M1036" s="30"/>
      <c r="N1036" s="30"/>
      <c r="O1036" s="2"/>
    </row>
    <row r="1037" spans="1:15" x14ac:dyDescent="0.2">
      <c r="A1037" s="17" t="s">
        <v>3928</v>
      </c>
      <c r="B1037" s="17" t="s">
        <v>3929</v>
      </c>
      <c r="C1037" s="17">
        <v>4</v>
      </c>
      <c r="D1037" s="1"/>
      <c r="E1037" s="1">
        <v>1830</v>
      </c>
      <c r="F1037" s="1">
        <v>2440</v>
      </c>
      <c r="G1037" s="1">
        <v>14</v>
      </c>
      <c r="H1037" s="1"/>
      <c r="I1037" s="1"/>
      <c r="J1037" s="1"/>
      <c r="K1037" s="1"/>
      <c r="L1037" s="30"/>
      <c r="M1037" s="30"/>
      <c r="N1037" s="30"/>
      <c r="O1037" s="2"/>
    </row>
    <row r="1038" spans="1:15" x14ac:dyDescent="0.2">
      <c r="A1038" s="17" t="s">
        <v>3930</v>
      </c>
      <c r="B1038" s="17" t="s">
        <v>3931</v>
      </c>
      <c r="C1038" s="17">
        <v>5.5</v>
      </c>
      <c r="D1038" s="1"/>
      <c r="E1038" s="1">
        <v>1830</v>
      </c>
      <c r="F1038" s="1">
        <v>2440</v>
      </c>
      <c r="G1038" s="1">
        <v>17</v>
      </c>
      <c r="H1038" s="1"/>
      <c r="I1038" s="1"/>
      <c r="J1038" s="1"/>
      <c r="K1038" s="1"/>
      <c r="L1038" s="30"/>
      <c r="M1038" s="30"/>
      <c r="N1038" s="30"/>
      <c r="O1038" s="2"/>
    </row>
    <row r="1039" spans="1:15" x14ac:dyDescent="0.2">
      <c r="A1039" s="17" t="s">
        <v>3932</v>
      </c>
      <c r="B1039" s="17" t="s">
        <v>3933</v>
      </c>
      <c r="C1039" s="17">
        <v>3</v>
      </c>
      <c r="D1039" s="1"/>
      <c r="E1039" s="1">
        <v>2150</v>
      </c>
      <c r="F1039" s="1">
        <v>2440</v>
      </c>
      <c r="G1039" s="1">
        <v>117</v>
      </c>
      <c r="H1039" s="1"/>
      <c r="I1039" s="11"/>
      <c r="J1039" s="1"/>
      <c r="K1039" s="1"/>
      <c r="L1039" s="30"/>
      <c r="M1039" s="30"/>
      <c r="N1039" s="30"/>
      <c r="O1039" s="2"/>
    </row>
    <row r="1040" spans="1:15" x14ac:dyDescent="0.2">
      <c r="A1040" s="17" t="s">
        <v>3934</v>
      </c>
      <c r="B1040" s="17" t="s">
        <v>3935</v>
      </c>
      <c r="C1040" s="17">
        <v>4</v>
      </c>
      <c r="D1040" s="1"/>
      <c r="E1040" s="1">
        <v>2150</v>
      </c>
      <c r="F1040" s="1">
        <v>2440</v>
      </c>
      <c r="G1040" s="1">
        <v>117</v>
      </c>
      <c r="H1040" s="1"/>
      <c r="I1040" s="1"/>
      <c r="J1040" s="1"/>
      <c r="K1040" s="1"/>
      <c r="L1040" s="30"/>
      <c r="M1040" s="30"/>
      <c r="N1040" s="30"/>
      <c r="O1040" s="2"/>
    </row>
    <row r="1041" spans="1:15" x14ac:dyDescent="0.2">
      <c r="A1041" s="17" t="s">
        <v>3936</v>
      </c>
      <c r="B1041" s="17" t="s">
        <v>3937</v>
      </c>
      <c r="C1041" s="17">
        <v>2.7</v>
      </c>
      <c r="D1041" s="1"/>
      <c r="E1041" s="1">
        <v>2150</v>
      </c>
      <c r="F1041" s="1">
        <v>2440</v>
      </c>
      <c r="G1041" s="1">
        <v>117</v>
      </c>
      <c r="H1041" s="1"/>
      <c r="I1041" s="1"/>
      <c r="J1041" s="1"/>
      <c r="K1041" s="1"/>
      <c r="L1041" s="30"/>
      <c r="M1041" s="30"/>
      <c r="N1041" s="30"/>
      <c r="O1041" s="2"/>
    </row>
    <row r="1042" spans="1:15" x14ac:dyDescent="0.2">
      <c r="A1042" s="17" t="s">
        <v>3938</v>
      </c>
      <c r="B1042" s="17" t="s">
        <v>3939</v>
      </c>
      <c r="C1042" s="17">
        <v>9</v>
      </c>
      <c r="D1042" s="1"/>
      <c r="E1042" s="1">
        <v>2150</v>
      </c>
      <c r="F1042" s="1">
        <v>2440</v>
      </c>
      <c r="G1042" s="1">
        <v>117</v>
      </c>
      <c r="H1042" s="1"/>
      <c r="I1042" s="1"/>
      <c r="J1042" s="1"/>
      <c r="K1042" s="1"/>
      <c r="L1042" s="30"/>
      <c r="M1042" s="30"/>
      <c r="N1042" s="30"/>
      <c r="O1042" s="2"/>
    </row>
    <row r="1043" spans="1:15" x14ac:dyDescent="0.2">
      <c r="A1043" s="17" t="s">
        <v>3940</v>
      </c>
      <c r="B1043" s="17" t="s">
        <v>3941</v>
      </c>
      <c r="C1043" s="17">
        <v>9</v>
      </c>
      <c r="D1043" s="1"/>
      <c r="E1043" s="1">
        <v>1830</v>
      </c>
      <c r="F1043" s="1">
        <v>2440</v>
      </c>
      <c r="G1043" s="1">
        <v>28</v>
      </c>
      <c r="H1043" s="1"/>
      <c r="I1043" s="1"/>
      <c r="J1043" s="1"/>
      <c r="K1043" s="1"/>
      <c r="L1043" s="30"/>
      <c r="M1043" s="30"/>
      <c r="N1043" s="30"/>
      <c r="O1043" s="2"/>
    </row>
    <row r="1044" spans="1:15" x14ac:dyDescent="0.2">
      <c r="A1044" s="17" t="s">
        <v>3942</v>
      </c>
      <c r="B1044" s="17" t="s">
        <v>3943</v>
      </c>
      <c r="C1044" s="17">
        <v>12</v>
      </c>
      <c r="D1044" s="1"/>
      <c r="E1044" s="1">
        <v>1830</v>
      </c>
      <c r="F1044" s="1">
        <v>2440</v>
      </c>
      <c r="G1044" s="1">
        <v>35</v>
      </c>
      <c r="H1044" s="1"/>
      <c r="I1044" s="1"/>
      <c r="J1044" s="1"/>
      <c r="K1044" s="1"/>
      <c r="L1044" s="30"/>
      <c r="M1044" s="30"/>
      <c r="N1044" s="30"/>
      <c r="O1044" s="2"/>
    </row>
    <row r="1045" spans="1:15" x14ac:dyDescent="0.2">
      <c r="A1045" s="17" t="s">
        <v>3944</v>
      </c>
      <c r="B1045" s="17" t="s">
        <v>3945</v>
      </c>
      <c r="C1045" s="17">
        <v>15</v>
      </c>
      <c r="D1045" s="1"/>
      <c r="E1045" s="1">
        <v>1830</v>
      </c>
      <c r="F1045" s="1">
        <v>2440</v>
      </c>
      <c r="G1045" s="1">
        <v>41</v>
      </c>
      <c r="H1045" s="1"/>
      <c r="I1045" s="1"/>
      <c r="J1045" s="1"/>
      <c r="K1045" s="1"/>
      <c r="L1045" s="30"/>
      <c r="M1045" s="30"/>
      <c r="N1045" s="30"/>
      <c r="O1045" s="2"/>
    </row>
    <row r="1046" spans="1:15" x14ac:dyDescent="0.2">
      <c r="A1046" s="17" t="s">
        <v>3946</v>
      </c>
      <c r="B1046" s="17" t="s">
        <v>3947</v>
      </c>
      <c r="C1046" s="17">
        <v>18</v>
      </c>
      <c r="D1046" s="1"/>
      <c r="E1046" s="1">
        <v>1830</v>
      </c>
      <c r="F1046" s="1">
        <v>2440</v>
      </c>
      <c r="G1046" s="1">
        <v>50</v>
      </c>
      <c r="H1046" s="1"/>
      <c r="I1046" s="1"/>
      <c r="J1046" s="1"/>
      <c r="K1046" s="1"/>
      <c r="L1046" s="30"/>
      <c r="M1046" s="30"/>
      <c r="N1046" s="30"/>
      <c r="O1046" s="2"/>
    </row>
    <row r="1047" spans="1:15" x14ac:dyDescent="0.2">
      <c r="A1047" s="17" t="s">
        <v>3948</v>
      </c>
      <c r="B1047" s="17" t="s">
        <v>3949</v>
      </c>
      <c r="C1047" s="17">
        <v>25</v>
      </c>
      <c r="D1047" s="1"/>
      <c r="E1047" s="1">
        <v>1830</v>
      </c>
      <c r="F1047" s="1">
        <v>2440</v>
      </c>
      <c r="G1047" s="1">
        <v>71</v>
      </c>
      <c r="H1047" s="1"/>
      <c r="I1047" s="1"/>
      <c r="J1047" s="1"/>
      <c r="K1047" s="1"/>
      <c r="L1047" s="30"/>
      <c r="M1047" s="30"/>
      <c r="N1047" s="30"/>
      <c r="O1047" s="2"/>
    </row>
    <row r="1048" spans="1:15" x14ac:dyDescent="0.2">
      <c r="A1048" s="17" t="s">
        <v>3950</v>
      </c>
      <c r="B1048" s="17" t="s">
        <v>3951</v>
      </c>
      <c r="C1048" s="17">
        <v>30</v>
      </c>
      <c r="D1048" s="1"/>
      <c r="E1048" s="1">
        <v>2150</v>
      </c>
      <c r="F1048" s="1">
        <v>2440</v>
      </c>
      <c r="G1048" s="1">
        <v>117</v>
      </c>
      <c r="H1048" s="1"/>
      <c r="I1048" s="1"/>
      <c r="J1048" s="1"/>
      <c r="K1048" s="1"/>
      <c r="L1048" s="30"/>
      <c r="M1048" s="30"/>
      <c r="N1048" s="30"/>
      <c r="O1048" s="2"/>
    </row>
    <row r="1049" spans="1:15" x14ac:dyDescent="0.2">
      <c r="A1049" s="17" t="s">
        <v>3952</v>
      </c>
      <c r="B1049" s="17" t="s">
        <v>3953</v>
      </c>
      <c r="C1049" s="17">
        <v>9</v>
      </c>
      <c r="D1049" s="1"/>
      <c r="E1049" s="1">
        <v>2150</v>
      </c>
      <c r="F1049" s="1">
        <v>2440</v>
      </c>
      <c r="G1049" s="1">
        <v>117</v>
      </c>
      <c r="H1049" s="1"/>
      <c r="I1049" s="1"/>
      <c r="J1049" s="1"/>
      <c r="K1049" s="1"/>
      <c r="L1049" s="30"/>
      <c r="M1049" s="30"/>
      <c r="N1049" s="30"/>
      <c r="O1049" s="2"/>
    </row>
    <row r="1050" spans="1:15" x14ac:dyDescent="0.2">
      <c r="A1050" s="17" t="s">
        <v>3954</v>
      </c>
      <c r="B1050" s="17" t="s">
        <v>3955</v>
      </c>
      <c r="C1050" s="17">
        <v>12</v>
      </c>
      <c r="D1050" s="1"/>
      <c r="E1050" s="1">
        <v>2150</v>
      </c>
      <c r="F1050" s="1">
        <v>2440</v>
      </c>
      <c r="G1050" s="1">
        <v>117</v>
      </c>
      <c r="H1050" s="11"/>
      <c r="I1050" s="11"/>
      <c r="J1050" s="11"/>
      <c r="K1050" s="11"/>
      <c r="L1050" s="30"/>
      <c r="M1050" s="30"/>
      <c r="N1050" s="30"/>
      <c r="O1050" s="2"/>
    </row>
    <row r="1051" spans="1:15" x14ac:dyDescent="0.2">
      <c r="A1051" s="17" t="s">
        <v>3956</v>
      </c>
      <c r="B1051" s="17" t="s">
        <v>3957</v>
      </c>
      <c r="C1051" s="17">
        <v>15</v>
      </c>
      <c r="D1051" s="1"/>
      <c r="E1051" s="1">
        <v>2150</v>
      </c>
      <c r="F1051" s="1">
        <v>2440</v>
      </c>
      <c r="G1051" s="1">
        <v>50</v>
      </c>
      <c r="H1051" s="11"/>
      <c r="I1051" s="11"/>
      <c r="J1051" s="11"/>
      <c r="K1051" s="11"/>
      <c r="L1051" s="30"/>
      <c r="M1051" s="30"/>
      <c r="N1051" s="30"/>
      <c r="O1051" s="2"/>
    </row>
    <row r="1052" spans="1:15" x14ac:dyDescent="0.2">
      <c r="A1052" s="17" t="s">
        <v>3958</v>
      </c>
      <c r="B1052" s="17" t="s">
        <v>3959</v>
      </c>
      <c r="C1052" s="17">
        <v>18</v>
      </c>
      <c r="D1052" s="1"/>
      <c r="E1052" s="1">
        <v>1830</v>
      </c>
      <c r="F1052" s="1">
        <v>2440</v>
      </c>
      <c r="G1052" s="1">
        <v>50</v>
      </c>
      <c r="H1052" s="11"/>
      <c r="I1052" s="11"/>
      <c r="J1052" s="11"/>
      <c r="K1052" s="11"/>
      <c r="L1052" s="30"/>
      <c r="M1052" s="30"/>
      <c r="N1052" s="30"/>
      <c r="O1052" s="2"/>
    </row>
    <row r="1053" spans="1:15" x14ac:dyDescent="0.2">
      <c r="A1053" s="17" t="s">
        <v>3960</v>
      </c>
      <c r="B1053" s="17" t="s">
        <v>3961</v>
      </c>
      <c r="C1053" s="17">
        <v>4</v>
      </c>
      <c r="D1053" s="1"/>
      <c r="E1053" s="1">
        <v>1220</v>
      </c>
      <c r="F1053" s="1">
        <v>2440</v>
      </c>
      <c r="G1053" s="1">
        <v>9</v>
      </c>
      <c r="H1053" s="11"/>
      <c r="I1053" s="11"/>
      <c r="J1053" s="11"/>
      <c r="K1053" s="11"/>
      <c r="L1053" s="30"/>
      <c r="M1053" s="30"/>
      <c r="N1053" s="30"/>
      <c r="O1053" s="2"/>
    </row>
    <row r="1054" spans="1:15" x14ac:dyDescent="0.2">
      <c r="A1054" s="17" t="s">
        <v>3962</v>
      </c>
      <c r="B1054" s="17" t="s">
        <v>3963</v>
      </c>
      <c r="C1054" s="17">
        <v>15</v>
      </c>
      <c r="D1054" s="1"/>
      <c r="E1054" s="1">
        <v>2150</v>
      </c>
      <c r="F1054" s="1">
        <v>2440</v>
      </c>
      <c r="G1054" s="1">
        <v>50</v>
      </c>
      <c r="H1054" s="11"/>
      <c r="I1054" s="11"/>
      <c r="J1054" s="11"/>
      <c r="K1054" s="11"/>
      <c r="L1054" s="30"/>
      <c r="M1054" s="30"/>
      <c r="N1054" s="30"/>
      <c r="O1054" s="2"/>
    </row>
    <row r="1055" spans="1:15" x14ac:dyDescent="0.2">
      <c r="A1055" s="17" t="s">
        <v>3964</v>
      </c>
      <c r="B1055" s="17" t="s">
        <v>3965</v>
      </c>
      <c r="C1055" s="17">
        <v>15</v>
      </c>
      <c r="D1055" s="1"/>
      <c r="E1055" s="1">
        <v>2150</v>
      </c>
      <c r="F1055" s="1">
        <v>2440</v>
      </c>
      <c r="G1055" s="1">
        <v>50</v>
      </c>
      <c r="H1055" s="11"/>
      <c r="I1055" s="11"/>
      <c r="J1055" s="11"/>
      <c r="K1055" s="11"/>
      <c r="L1055" s="30"/>
      <c r="M1055" s="30"/>
      <c r="N1055" s="30"/>
      <c r="O1055" s="2"/>
    </row>
    <row r="1056" spans="1:15" x14ac:dyDescent="0.2">
      <c r="A1056" s="17" t="s">
        <v>3966</v>
      </c>
      <c r="B1056" s="17" t="s">
        <v>3967</v>
      </c>
      <c r="C1056" s="17">
        <v>4</v>
      </c>
      <c r="D1056" s="1"/>
      <c r="E1056" s="1">
        <v>1220</v>
      </c>
      <c r="F1056" s="1">
        <v>2440</v>
      </c>
      <c r="G1056" s="1">
        <v>9</v>
      </c>
      <c r="H1056" s="11"/>
      <c r="I1056" s="11"/>
      <c r="J1056" s="11"/>
      <c r="K1056" s="11"/>
      <c r="L1056" s="30"/>
      <c r="M1056" s="30"/>
      <c r="N1056" s="30"/>
      <c r="O1056" s="2"/>
    </row>
    <row r="1057" spans="1:15" x14ac:dyDescent="0.2">
      <c r="A1057" s="17" t="s">
        <v>3968</v>
      </c>
      <c r="B1057" s="17" t="s">
        <v>3969</v>
      </c>
      <c r="C1057" s="17">
        <v>15</v>
      </c>
      <c r="D1057" s="1"/>
      <c r="E1057" s="1">
        <v>2150</v>
      </c>
      <c r="F1057" s="1">
        <v>2440</v>
      </c>
      <c r="G1057" s="1">
        <v>50</v>
      </c>
      <c r="H1057" s="11"/>
      <c r="I1057" s="11"/>
      <c r="J1057" s="11"/>
      <c r="K1057" s="11"/>
      <c r="L1057" s="30"/>
      <c r="M1057" s="30"/>
      <c r="N1057" s="30"/>
      <c r="O1057" s="2"/>
    </row>
    <row r="1058" spans="1:15" x14ac:dyDescent="0.2">
      <c r="A1058" s="17" t="s">
        <v>3970</v>
      </c>
      <c r="B1058" s="17" t="s">
        <v>3971</v>
      </c>
      <c r="C1058" s="17">
        <v>15</v>
      </c>
      <c r="D1058" s="1"/>
      <c r="E1058" s="1">
        <v>2150</v>
      </c>
      <c r="F1058" s="1">
        <v>2440</v>
      </c>
      <c r="G1058" s="1">
        <v>50</v>
      </c>
      <c r="H1058" s="11"/>
      <c r="I1058" s="11"/>
      <c r="J1058" s="11"/>
      <c r="K1058" s="11"/>
      <c r="L1058" s="30"/>
      <c r="M1058" s="30"/>
      <c r="N1058" s="30"/>
      <c r="O1058" s="2"/>
    </row>
    <row r="1059" spans="1:15" x14ac:dyDescent="0.2">
      <c r="A1059" s="17" t="s">
        <v>3972</v>
      </c>
      <c r="B1059" s="17" t="s">
        <v>3973</v>
      </c>
      <c r="C1059" s="17">
        <v>18</v>
      </c>
      <c r="D1059" s="1"/>
      <c r="E1059" s="1">
        <v>1860</v>
      </c>
      <c r="F1059" s="1">
        <v>2750</v>
      </c>
      <c r="G1059" s="1">
        <v>60</v>
      </c>
      <c r="H1059" s="11"/>
      <c r="I1059" s="11"/>
      <c r="J1059" s="11"/>
      <c r="K1059" s="11"/>
      <c r="L1059" s="30"/>
      <c r="M1059" s="30"/>
      <c r="N1059" s="30"/>
      <c r="O1059" s="2"/>
    </row>
    <row r="1060" spans="1:15" x14ac:dyDescent="0.2">
      <c r="A1060" s="17" t="s">
        <v>3974</v>
      </c>
      <c r="B1060" s="17" t="s">
        <v>3975</v>
      </c>
      <c r="C1060" s="17">
        <v>18</v>
      </c>
      <c r="D1060" s="1"/>
      <c r="E1060" s="1">
        <v>1860</v>
      </c>
      <c r="F1060" s="1">
        <v>2750</v>
      </c>
      <c r="G1060" s="1">
        <v>60</v>
      </c>
      <c r="H1060" s="11"/>
      <c r="I1060" s="11"/>
      <c r="J1060" s="11"/>
      <c r="K1060" s="11"/>
      <c r="L1060" s="30"/>
      <c r="M1060" s="30"/>
      <c r="N1060" s="30"/>
      <c r="O1060" s="2"/>
    </row>
    <row r="1061" spans="1:15" x14ac:dyDescent="0.2">
      <c r="A1061" s="17" t="s">
        <v>3976</v>
      </c>
      <c r="B1061" s="17" t="s">
        <v>3977</v>
      </c>
      <c r="C1061" s="17">
        <v>18</v>
      </c>
      <c r="D1061" s="1"/>
      <c r="E1061" s="1">
        <v>1860</v>
      </c>
      <c r="F1061" s="1">
        <v>2750</v>
      </c>
      <c r="G1061" s="1">
        <v>60</v>
      </c>
      <c r="H1061" s="1"/>
      <c r="I1061" s="1"/>
      <c r="J1061" s="1"/>
      <c r="K1061" s="1"/>
      <c r="L1061" s="30"/>
      <c r="M1061" s="30"/>
      <c r="N1061" s="30"/>
      <c r="O1061" s="2"/>
    </row>
    <row r="1062" spans="1:15" x14ac:dyDescent="0.2">
      <c r="A1062" s="17" t="s">
        <v>3978</v>
      </c>
      <c r="B1062" s="17" t="s">
        <v>3979</v>
      </c>
      <c r="C1062" s="17">
        <v>18</v>
      </c>
      <c r="D1062" s="1"/>
      <c r="E1062" s="1">
        <v>1860</v>
      </c>
      <c r="F1062" s="1">
        <v>2750</v>
      </c>
      <c r="G1062" s="1">
        <v>60</v>
      </c>
      <c r="H1062" s="1"/>
      <c r="I1062" s="1"/>
      <c r="J1062" s="1"/>
      <c r="K1062" s="1"/>
      <c r="L1062" s="30"/>
      <c r="M1062" s="30"/>
      <c r="N1062" s="30"/>
      <c r="O1062" s="2"/>
    </row>
    <row r="1063" spans="1:15" x14ac:dyDescent="0.2">
      <c r="A1063" s="17" t="s">
        <v>3980</v>
      </c>
      <c r="B1063" s="17" t="s">
        <v>3981</v>
      </c>
      <c r="C1063" s="17">
        <v>18</v>
      </c>
      <c r="D1063" s="1"/>
      <c r="E1063" s="1">
        <v>1220</v>
      </c>
      <c r="F1063" s="1">
        <v>2440</v>
      </c>
      <c r="G1063" s="1">
        <v>35</v>
      </c>
      <c r="H1063" s="1"/>
      <c r="I1063" s="1"/>
      <c r="J1063" s="1"/>
      <c r="K1063" s="1"/>
      <c r="L1063" s="30"/>
      <c r="M1063" s="30"/>
      <c r="N1063" s="30"/>
      <c r="O1063" s="2"/>
    </row>
    <row r="1064" spans="1:15" x14ac:dyDescent="0.2">
      <c r="A1064" s="17" t="s">
        <v>3982</v>
      </c>
      <c r="B1064" s="17" t="s">
        <v>3983</v>
      </c>
      <c r="C1064" s="17">
        <v>18</v>
      </c>
      <c r="D1064" s="1"/>
      <c r="E1064" s="1">
        <v>1220</v>
      </c>
      <c r="F1064" s="1">
        <v>2440</v>
      </c>
      <c r="G1064" s="1">
        <v>34</v>
      </c>
      <c r="H1064" s="1"/>
      <c r="I1064" s="1"/>
      <c r="J1064" s="1"/>
      <c r="K1064" s="1"/>
      <c r="L1064" s="30"/>
      <c r="M1064" s="30"/>
      <c r="N1064" s="30"/>
      <c r="O1064" s="2"/>
    </row>
    <row r="1065" spans="1:15" x14ac:dyDescent="0.2">
      <c r="A1065" s="17" t="s">
        <v>3984</v>
      </c>
      <c r="B1065" s="17" t="s">
        <v>3985</v>
      </c>
      <c r="C1065" s="17">
        <v>3</v>
      </c>
      <c r="D1065" s="1"/>
      <c r="E1065" s="1">
        <v>1220</v>
      </c>
      <c r="F1065" s="1">
        <v>2440</v>
      </c>
      <c r="G1065" s="1">
        <v>6</v>
      </c>
      <c r="H1065" s="1"/>
      <c r="I1065" s="1"/>
      <c r="J1065" s="1"/>
      <c r="K1065" s="1"/>
      <c r="L1065" s="30"/>
      <c r="M1065" s="30"/>
      <c r="N1065" s="30"/>
      <c r="O1065" s="2"/>
    </row>
    <row r="1066" spans="1:15" x14ac:dyDescent="0.2">
      <c r="A1066" s="17" t="s">
        <v>3986</v>
      </c>
      <c r="B1066" s="17" t="s">
        <v>3985</v>
      </c>
      <c r="C1066" s="17">
        <v>3</v>
      </c>
      <c r="D1066" s="1"/>
      <c r="E1066" s="1">
        <v>1220</v>
      </c>
      <c r="F1066" s="1">
        <v>2440</v>
      </c>
      <c r="G1066" s="1">
        <v>6</v>
      </c>
      <c r="H1066" s="1"/>
      <c r="I1066" s="1"/>
      <c r="J1066" s="1"/>
      <c r="K1066" s="1"/>
      <c r="L1066" s="30"/>
      <c r="M1066" s="30"/>
      <c r="N1066" s="30"/>
      <c r="O1066" s="2"/>
    </row>
    <row r="1067" spans="1:15" x14ac:dyDescent="0.2">
      <c r="A1067" s="17" t="s">
        <v>3987</v>
      </c>
      <c r="B1067" s="17" t="s">
        <v>3988</v>
      </c>
      <c r="C1067" s="17">
        <v>3</v>
      </c>
      <c r="D1067" s="1"/>
      <c r="E1067" s="1">
        <v>1220</v>
      </c>
      <c r="F1067" s="1">
        <v>2440</v>
      </c>
      <c r="G1067" s="1">
        <v>6</v>
      </c>
      <c r="H1067" s="1"/>
      <c r="I1067" s="1"/>
      <c r="J1067" s="1"/>
      <c r="K1067" s="1"/>
      <c r="L1067" s="30"/>
      <c r="M1067" s="30"/>
      <c r="N1067" s="30"/>
      <c r="O1067" s="2"/>
    </row>
    <row r="1068" spans="1:15" x14ac:dyDescent="0.2">
      <c r="A1068" s="17" t="s">
        <v>3989</v>
      </c>
      <c r="B1068" s="17" t="s">
        <v>3990</v>
      </c>
      <c r="C1068" s="17">
        <v>3</v>
      </c>
      <c r="D1068" s="1"/>
      <c r="E1068" s="1">
        <v>1220</v>
      </c>
      <c r="F1068" s="1">
        <v>2440</v>
      </c>
      <c r="G1068" s="1">
        <v>6</v>
      </c>
      <c r="H1068" s="1"/>
      <c r="I1068" s="1"/>
      <c r="J1068" s="1"/>
      <c r="K1068" s="1"/>
      <c r="L1068" s="30"/>
      <c r="M1068" s="30"/>
      <c r="N1068" s="30"/>
      <c r="O1068" s="2"/>
    </row>
    <row r="1069" spans="1:15" x14ac:dyDescent="0.2">
      <c r="A1069" s="17" t="s">
        <v>3991</v>
      </c>
      <c r="B1069" s="17" t="s">
        <v>3992</v>
      </c>
      <c r="C1069" s="17">
        <v>3</v>
      </c>
      <c r="D1069" s="1"/>
      <c r="E1069" s="1">
        <v>1220</v>
      </c>
      <c r="F1069" s="1">
        <v>2440</v>
      </c>
      <c r="G1069" s="1">
        <v>6</v>
      </c>
      <c r="H1069" s="1"/>
      <c r="I1069" s="1"/>
      <c r="J1069" s="1"/>
      <c r="K1069" s="1"/>
      <c r="L1069" s="30"/>
      <c r="M1069" s="30"/>
      <c r="N1069" s="30"/>
      <c r="O1069" s="2"/>
    </row>
    <row r="1070" spans="1:15" x14ac:dyDescent="0.2">
      <c r="A1070" s="17" t="s">
        <v>3993</v>
      </c>
      <c r="B1070" s="17" t="s">
        <v>3994</v>
      </c>
      <c r="C1070" s="17">
        <v>3</v>
      </c>
      <c r="D1070" s="1"/>
      <c r="E1070" s="1">
        <v>1220</v>
      </c>
      <c r="F1070" s="1">
        <v>2440</v>
      </c>
      <c r="G1070" s="1">
        <v>6</v>
      </c>
      <c r="H1070" s="1"/>
      <c r="I1070" s="1"/>
      <c r="J1070" s="1"/>
      <c r="K1070" s="1"/>
      <c r="L1070" s="30"/>
      <c r="M1070" s="30"/>
      <c r="N1070" s="30"/>
      <c r="O1070" s="2"/>
    </row>
    <row r="1071" spans="1:15" x14ac:dyDescent="0.2">
      <c r="A1071" s="17" t="s">
        <v>3995</v>
      </c>
      <c r="B1071" s="17" t="s">
        <v>3996</v>
      </c>
      <c r="C1071" s="17">
        <v>3</v>
      </c>
      <c r="D1071" s="1"/>
      <c r="E1071" s="1">
        <v>1220</v>
      </c>
      <c r="F1071" s="1">
        <v>2440</v>
      </c>
      <c r="G1071" s="1">
        <v>6</v>
      </c>
      <c r="H1071" s="1"/>
      <c r="I1071" s="1"/>
      <c r="J1071" s="1"/>
      <c r="K1071" s="1"/>
      <c r="L1071" s="30"/>
      <c r="M1071" s="30"/>
      <c r="N1071" s="30"/>
      <c r="O1071" s="2"/>
    </row>
    <row r="1072" spans="1:15" x14ac:dyDescent="0.2">
      <c r="A1072" s="17" t="s">
        <v>3997</v>
      </c>
      <c r="B1072" s="17" t="s">
        <v>3998</v>
      </c>
      <c r="C1072" s="17">
        <v>3</v>
      </c>
      <c r="D1072" s="1"/>
      <c r="E1072" s="1">
        <v>1220</v>
      </c>
      <c r="F1072" s="1">
        <v>2440</v>
      </c>
      <c r="G1072" s="1">
        <v>6</v>
      </c>
      <c r="H1072" s="1"/>
      <c r="I1072" s="1"/>
      <c r="J1072" s="1"/>
      <c r="K1072" s="1"/>
      <c r="L1072" s="30"/>
      <c r="M1072" s="30"/>
      <c r="N1072" s="30"/>
      <c r="O1072" s="2"/>
    </row>
    <row r="1073" spans="1:15" x14ac:dyDescent="0.2">
      <c r="A1073" s="17" t="s">
        <v>3999</v>
      </c>
      <c r="B1073" s="17" t="s">
        <v>4000</v>
      </c>
      <c r="C1073" s="17">
        <v>3</v>
      </c>
      <c r="D1073" s="1"/>
      <c r="E1073" s="1">
        <v>1220</v>
      </c>
      <c r="F1073" s="1">
        <v>2440</v>
      </c>
      <c r="G1073" s="1">
        <v>6</v>
      </c>
      <c r="H1073" s="1"/>
      <c r="I1073" s="1"/>
      <c r="J1073" s="1"/>
      <c r="K1073" s="1"/>
      <c r="L1073" s="30"/>
      <c r="M1073" s="30"/>
      <c r="N1073" s="30"/>
      <c r="O1073" s="2"/>
    </row>
    <row r="1074" spans="1:15" x14ac:dyDescent="0.2">
      <c r="A1074" s="17" t="s">
        <v>4001</v>
      </c>
      <c r="B1074" s="17" t="s">
        <v>4002</v>
      </c>
      <c r="C1074" s="17">
        <v>3</v>
      </c>
      <c r="D1074" s="1"/>
      <c r="E1074" s="1">
        <v>1220</v>
      </c>
      <c r="F1074" s="1">
        <v>2440</v>
      </c>
      <c r="G1074" s="1">
        <v>6</v>
      </c>
      <c r="H1074" s="1"/>
      <c r="I1074" s="1"/>
      <c r="J1074" s="1"/>
      <c r="K1074" s="1"/>
      <c r="L1074" s="30"/>
      <c r="M1074" s="30"/>
      <c r="N1074" s="30"/>
      <c r="O1074" s="2"/>
    </row>
    <row r="1075" spans="1:15" x14ac:dyDescent="0.2">
      <c r="A1075" s="17" t="s">
        <v>4003</v>
      </c>
      <c r="B1075" s="17" t="s">
        <v>4004</v>
      </c>
      <c r="C1075" s="17">
        <v>3</v>
      </c>
      <c r="D1075" s="1"/>
      <c r="E1075" s="1">
        <v>1220</v>
      </c>
      <c r="F1075" s="1">
        <v>2440</v>
      </c>
      <c r="G1075" s="1">
        <v>6</v>
      </c>
      <c r="H1075" s="1"/>
      <c r="I1075" s="1"/>
      <c r="J1075" s="1"/>
      <c r="K1075" s="1"/>
      <c r="L1075" s="30"/>
      <c r="M1075" s="30"/>
      <c r="N1075" s="30"/>
      <c r="O1075" s="2"/>
    </row>
    <row r="1076" spans="1:15" x14ac:dyDescent="0.2">
      <c r="A1076" s="17" t="s">
        <v>4005</v>
      </c>
      <c r="B1076" s="17" t="s">
        <v>4006</v>
      </c>
      <c r="C1076" s="17">
        <v>3</v>
      </c>
      <c r="D1076" s="1"/>
      <c r="E1076" s="1">
        <v>1220</v>
      </c>
      <c r="F1076" s="1">
        <v>2440</v>
      </c>
      <c r="G1076" s="1">
        <v>6</v>
      </c>
      <c r="H1076" s="1"/>
      <c r="I1076" s="1"/>
      <c r="J1076" s="1"/>
      <c r="K1076" s="1"/>
      <c r="L1076" s="30"/>
      <c r="M1076" s="30"/>
      <c r="N1076" s="30"/>
      <c r="O1076" s="2"/>
    </row>
    <row r="1077" spans="1:15" x14ac:dyDescent="0.2">
      <c r="A1077" s="17" t="s">
        <v>4007</v>
      </c>
      <c r="B1077" s="17" t="s">
        <v>4008</v>
      </c>
      <c r="C1077" s="17">
        <v>3</v>
      </c>
      <c r="D1077" s="1"/>
      <c r="E1077" s="1">
        <v>1220</v>
      </c>
      <c r="F1077" s="1">
        <v>2440</v>
      </c>
      <c r="G1077" s="1">
        <v>9</v>
      </c>
      <c r="H1077" s="1"/>
      <c r="I1077" s="1"/>
      <c r="J1077" s="1"/>
      <c r="K1077" s="1"/>
      <c r="L1077" s="30"/>
      <c r="M1077" s="30"/>
      <c r="N1077" s="30"/>
      <c r="O1077" s="2"/>
    </row>
    <row r="1078" spans="1:15" x14ac:dyDescent="0.2">
      <c r="A1078" s="17" t="s">
        <v>4009</v>
      </c>
      <c r="B1078" s="17" t="s">
        <v>4010</v>
      </c>
      <c r="C1078" s="17">
        <v>3</v>
      </c>
      <c r="D1078" s="1"/>
      <c r="E1078" s="1">
        <v>1220</v>
      </c>
      <c r="F1078" s="1">
        <v>2440</v>
      </c>
      <c r="G1078" s="1">
        <v>9</v>
      </c>
      <c r="H1078" s="1"/>
      <c r="I1078" s="1"/>
      <c r="J1078" s="1"/>
      <c r="K1078" s="1"/>
      <c r="L1078" s="30"/>
      <c r="M1078" s="30"/>
      <c r="N1078" s="30"/>
      <c r="O1078" s="2"/>
    </row>
    <row r="1079" spans="1:15" x14ac:dyDescent="0.2">
      <c r="A1079" s="17" t="s">
        <v>4011</v>
      </c>
      <c r="B1079" s="17" t="s">
        <v>4012</v>
      </c>
      <c r="C1079" s="17">
        <v>3</v>
      </c>
      <c r="D1079" s="1"/>
      <c r="E1079" s="1">
        <v>1220</v>
      </c>
      <c r="F1079" s="1">
        <v>2440</v>
      </c>
      <c r="G1079" s="1">
        <v>6</v>
      </c>
      <c r="H1079" s="1"/>
      <c r="I1079" s="1"/>
      <c r="J1079" s="1"/>
      <c r="K1079" s="1"/>
      <c r="L1079" s="30"/>
      <c r="M1079" s="30"/>
      <c r="N1079" s="30"/>
      <c r="O1079" s="2"/>
    </row>
    <row r="1080" spans="1:15" x14ac:dyDescent="0.2">
      <c r="A1080" s="17" t="s">
        <v>4013</v>
      </c>
      <c r="B1080" s="17" t="s">
        <v>4014</v>
      </c>
      <c r="C1080" s="17">
        <v>3</v>
      </c>
      <c r="D1080" s="1"/>
      <c r="E1080" s="1">
        <v>1220</v>
      </c>
      <c r="F1080" s="1">
        <v>2440</v>
      </c>
      <c r="G1080" s="1">
        <v>6</v>
      </c>
      <c r="H1080" s="1"/>
      <c r="I1080" s="1"/>
      <c r="J1080" s="1"/>
      <c r="K1080" s="1"/>
      <c r="L1080" s="30"/>
      <c r="M1080" s="30"/>
      <c r="N1080" s="30"/>
      <c r="O1080" s="2"/>
    </row>
    <row r="1081" spans="1:15" x14ac:dyDescent="0.2">
      <c r="A1081" s="17" t="s">
        <v>4015</v>
      </c>
      <c r="B1081" s="17" t="s">
        <v>4016</v>
      </c>
      <c r="C1081" s="17">
        <v>3</v>
      </c>
      <c r="D1081" s="1"/>
      <c r="E1081" s="1">
        <v>1220</v>
      </c>
      <c r="F1081" s="1">
        <v>2440</v>
      </c>
      <c r="G1081" s="1">
        <v>6</v>
      </c>
      <c r="H1081" s="1"/>
      <c r="I1081" s="1"/>
      <c r="J1081" s="1"/>
      <c r="K1081" s="1"/>
      <c r="L1081" s="30"/>
      <c r="M1081" s="30"/>
      <c r="N1081" s="30"/>
      <c r="O1081" s="2"/>
    </row>
    <row r="1082" spans="1:15" x14ac:dyDescent="0.2">
      <c r="A1082" s="17" t="s">
        <v>4017</v>
      </c>
      <c r="B1082" s="17" t="s">
        <v>4018</v>
      </c>
      <c r="C1082" s="17">
        <v>3</v>
      </c>
      <c r="D1082" s="1"/>
      <c r="E1082" s="1">
        <v>1220</v>
      </c>
      <c r="F1082" s="1">
        <v>2440</v>
      </c>
      <c r="G1082" s="1">
        <v>9</v>
      </c>
      <c r="H1082" s="1"/>
      <c r="I1082" s="1"/>
      <c r="J1082" s="1"/>
      <c r="K1082" s="1"/>
      <c r="L1082" s="30"/>
      <c r="M1082" s="30"/>
      <c r="N1082" s="30"/>
      <c r="O1082" s="2"/>
    </row>
    <row r="1083" spans="1:15" x14ac:dyDescent="0.2">
      <c r="A1083" s="17" t="s">
        <v>4019</v>
      </c>
      <c r="B1083" s="17" t="s">
        <v>4020</v>
      </c>
      <c r="C1083" s="17">
        <v>3</v>
      </c>
      <c r="D1083" s="1"/>
      <c r="E1083" s="1">
        <v>1220</v>
      </c>
      <c r="F1083" s="1">
        <v>2440</v>
      </c>
      <c r="G1083" s="1">
        <v>9</v>
      </c>
      <c r="H1083" s="1"/>
      <c r="I1083" s="1"/>
      <c r="J1083" s="1"/>
      <c r="K1083" s="1"/>
      <c r="L1083" s="30"/>
      <c r="M1083" s="30"/>
      <c r="N1083" s="30"/>
      <c r="O1083" s="2"/>
    </row>
    <row r="1084" spans="1:15" x14ac:dyDescent="0.2">
      <c r="A1084" s="17" t="s">
        <v>4021</v>
      </c>
      <c r="B1084" s="17" t="s">
        <v>4022</v>
      </c>
      <c r="C1084" s="17">
        <v>3</v>
      </c>
      <c r="D1084" s="1"/>
      <c r="E1084" s="1">
        <v>1220</v>
      </c>
      <c r="F1084" s="1">
        <v>2440</v>
      </c>
      <c r="G1084" s="1">
        <v>9</v>
      </c>
      <c r="H1084" s="1"/>
      <c r="I1084" s="1"/>
      <c r="J1084" s="1"/>
      <c r="K1084" s="1"/>
      <c r="L1084" s="30"/>
      <c r="M1084" s="30"/>
      <c r="N1084" s="30"/>
      <c r="O1084" s="2"/>
    </row>
    <row r="1085" spans="1:15" x14ac:dyDescent="0.2">
      <c r="A1085" s="17" t="s">
        <v>4023</v>
      </c>
      <c r="B1085" s="17" t="s">
        <v>4024</v>
      </c>
      <c r="C1085" s="17">
        <v>3</v>
      </c>
      <c r="D1085" s="1"/>
      <c r="E1085" s="1">
        <v>1220</v>
      </c>
      <c r="F1085" s="1">
        <v>2440</v>
      </c>
      <c r="G1085" s="1">
        <v>6</v>
      </c>
      <c r="H1085" s="1"/>
      <c r="I1085" s="1"/>
      <c r="J1085" s="1"/>
      <c r="K1085" s="1"/>
      <c r="L1085" s="30"/>
      <c r="M1085" s="30"/>
      <c r="N1085" s="30"/>
      <c r="O1085" s="2"/>
    </row>
    <row r="1086" spans="1:15" x14ac:dyDescent="0.2">
      <c r="A1086" s="17" t="s">
        <v>4025</v>
      </c>
      <c r="B1086" s="17" t="s">
        <v>4026</v>
      </c>
      <c r="C1086" s="17">
        <v>3</v>
      </c>
      <c r="D1086" s="1"/>
      <c r="E1086" s="1">
        <v>1220</v>
      </c>
      <c r="F1086" s="1">
        <v>2440</v>
      </c>
      <c r="G1086" s="1">
        <v>6</v>
      </c>
      <c r="H1086" s="1"/>
      <c r="I1086" s="1"/>
      <c r="J1086" s="1"/>
      <c r="K1086" s="1"/>
      <c r="L1086" s="30"/>
      <c r="M1086" s="30"/>
      <c r="N1086" s="30"/>
      <c r="O1086" s="2"/>
    </row>
    <row r="1087" spans="1:15" x14ac:dyDescent="0.2">
      <c r="A1087" s="17" t="s">
        <v>4027</v>
      </c>
      <c r="B1087" s="17" t="s">
        <v>4028</v>
      </c>
      <c r="C1087" s="17">
        <v>3</v>
      </c>
      <c r="D1087" s="1"/>
      <c r="E1087" s="1">
        <v>1220</v>
      </c>
      <c r="F1087" s="1">
        <v>2440</v>
      </c>
      <c r="G1087" s="1">
        <v>6</v>
      </c>
      <c r="H1087" s="1"/>
      <c r="I1087" s="1"/>
      <c r="J1087" s="1"/>
      <c r="K1087" s="1"/>
      <c r="L1087" s="30"/>
      <c r="M1087" s="30"/>
      <c r="N1087" s="30"/>
      <c r="O1087" s="2"/>
    </row>
    <row r="1088" spans="1:15" x14ac:dyDescent="0.2">
      <c r="A1088" s="17" t="s">
        <v>4029</v>
      </c>
      <c r="B1088" s="17" t="s">
        <v>4030</v>
      </c>
      <c r="C1088" s="17">
        <v>3</v>
      </c>
      <c r="D1088" s="1"/>
      <c r="E1088" s="1">
        <v>1220</v>
      </c>
      <c r="F1088" s="1">
        <v>2440</v>
      </c>
      <c r="G1088" s="1">
        <v>6</v>
      </c>
      <c r="H1088" s="1"/>
      <c r="I1088" s="1"/>
      <c r="J1088" s="1"/>
      <c r="K1088" s="1"/>
      <c r="L1088" s="30"/>
      <c r="M1088" s="30"/>
      <c r="N1088" s="30"/>
      <c r="O1088" s="2"/>
    </row>
    <row r="1089" spans="1:15" x14ac:dyDescent="0.2">
      <c r="A1089" s="17" t="s">
        <v>4031</v>
      </c>
      <c r="B1089" s="17" t="s">
        <v>4032</v>
      </c>
      <c r="C1089" s="17">
        <v>3</v>
      </c>
      <c r="D1089" s="1"/>
      <c r="E1089" s="1">
        <v>1220</v>
      </c>
      <c r="F1089" s="1">
        <v>2440</v>
      </c>
      <c r="G1089" s="1">
        <v>6</v>
      </c>
      <c r="H1089" s="1"/>
      <c r="I1089" s="1"/>
      <c r="J1089" s="1"/>
      <c r="K1089" s="1"/>
      <c r="L1089" s="30"/>
      <c r="M1089" s="30"/>
      <c r="N1089" s="30"/>
      <c r="O1089" s="2"/>
    </row>
    <row r="1090" spans="1:15" x14ac:dyDescent="0.2">
      <c r="A1090" s="17" t="s">
        <v>4033</v>
      </c>
      <c r="B1090" s="17" t="s">
        <v>4034</v>
      </c>
      <c r="C1090" s="17">
        <v>3</v>
      </c>
      <c r="D1090" s="1"/>
      <c r="E1090" s="1">
        <v>1220</v>
      </c>
      <c r="F1090" s="1">
        <v>2440</v>
      </c>
      <c r="G1090" s="1">
        <v>6</v>
      </c>
      <c r="H1090" s="1"/>
      <c r="I1090" s="1"/>
      <c r="J1090" s="1"/>
      <c r="K1090" s="1"/>
      <c r="L1090" s="30"/>
      <c r="M1090" s="30"/>
      <c r="N1090" s="30"/>
      <c r="O1090" s="2"/>
    </row>
    <row r="1091" spans="1:15" x14ac:dyDescent="0.2">
      <c r="A1091" s="17" t="s">
        <v>4035</v>
      </c>
      <c r="B1091" s="17" t="s">
        <v>4036</v>
      </c>
      <c r="C1091" s="17">
        <v>3</v>
      </c>
      <c r="D1091" s="1"/>
      <c r="E1091" s="1">
        <v>1220</v>
      </c>
      <c r="F1091" s="1">
        <v>2440</v>
      </c>
      <c r="G1091" s="1">
        <v>6</v>
      </c>
      <c r="H1091" s="1"/>
      <c r="I1091" s="1"/>
      <c r="J1091" s="1"/>
      <c r="K1091" s="1"/>
      <c r="L1091" s="30"/>
      <c r="M1091" s="30"/>
      <c r="N1091" s="30"/>
      <c r="O1091" s="2"/>
    </row>
    <row r="1092" spans="1:15" x14ac:dyDescent="0.2">
      <c r="A1092" s="17" t="s">
        <v>4037</v>
      </c>
      <c r="B1092" s="17" t="s">
        <v>4038</v>
      </c>
      <c r="C1092" s="17">
        <v>3</v>
      </c>
      <c r="D1092" s="1"/>
      <c r="E1092" s="1">
        <v>1220</v>
      </c>
      <c r="F1092" s="1">
        <v>2440</v>
      </c>
      <c r="G1092" s="1">
        <v>9</v>
      </c>
      <c r="H1092" s="1"/>
      <c r="I1092" s="1"/>
      <c r="J1092" s="1"/>
      <c r="K1092" s="1"/>
      <c r="L1092" s="30"/>
      <c r="M1092" s="30"/>
      <c r="N1092" s="30"/>
      <c r="O1092" s="2"/>
    </row>
    <row r="1093" spans="1:15" x14ac:dyDescent="0.2">
      <c r="A1093" s="17" t="s">
        <v>4039</v>
      </c>
      <c r="B1093" s="17" t="s">
        <v>4040</v>
      </c>
      <c r="C1093" s="17">
        <v>3</v>
      </c>
      <c r="D1093" s="1"/>
      <c r="E1093" s="1">
        <v>1220</v>
      </c>
      <c r="F1093" s="1">
        <v>2440</v>
      </c>
      <c r="G1093" s="1">
        <v>9</v>
      </c>
      <c r="H1093" s="1"/>
      <c r="I1093" s="1"/>
      <c r="J1093" s="1"/>
      <c r="K1093" s="1"/>
      <c r="L1093" s="30"/>
      <c r="M1093" s="30"/>
      <c r="N1093" s="30"/>
      <c r="O1093" s="2"/>
    </row>
    <row r="1094" spans="1:15" x14ac:dyDescent="0.2">
      <c r="A1094" s="17" t="s">
        <v>4041</v>
      </c>
      <c r="B1094" s="17" t="s">
        <v>4042</v>
      </c>
      <c r="C1094" s="17">
        <v>18</v>
      </c>
      <c r="D1094" s="1"/>
      <c r="E1094" s="1">
        <v>1220</v>
      </c>
      <c r="F1094" s="1">
        <v>2750</v>
      </c>
      <c r="G1094" s="1">
        <v>40</v>
      </c>
      <c r="H1094" s="1"/>
      <c r="I1094" s="1"/>
      <c r="J1094" s="1"/>
      <c r="K1094" s="1"/>
      <c r="L1094" s="30"/>
      <c r="M1094" s="30"/>
      <c r="N1094" s="30"/>
      <c r="O1094" s="2"/>
    </row>
    <row r="1095" spans="1:15" x14ac:dyDescent="0.2">
      <c r="A1095" s="17" t="s">
        <v>4043</v>
      </c>
      <c r="B1095" s="17" t="s">
        <v>4044</v>
      </c>
      <c r="C1095" s="17">
        <v>18</v>
      </c>
      <c r="D1095" s="1"/>
      <c r="E1095" s="1">
        <v>1220</v>
      </c>
      <c r="F1095" s="1">
        <v>2750</v>
      </c>
      <c r="G1095" s="1">
        <v>40</v>
      </c>
      <c r="H1095" s="1"/>
      <c r="I1095" s="1"/>
      <c r="J1095" s="1"/>
      <c r="K1095" s="1"/>
      <c r="L1095" s="30"/>
      <c r="M1095" s="30"/>
      <c r="N1095" s="30"/>
      <c r="O1095" s="2"/>
    </row>
    <row r="1096" spans="1:15" x14ac:dyDescent="0.2">
      <c r="A1096" s="17" t="s">
        <v>4045</v>
      </c>
      <c r="B1096" s="17" t="s">
        <v>4046</v>
      </c>
      <c r="C1096" s="17">
        <v>3</v>
      </c>
      <c r="D1096" s="1"/>
      <c r="E1096" s="1">
        <v>2150</v>
      </c>
      <c r="F1096" s="1">
        <v>2440</v>
      </c>
      <c r="G1096" s="1">
        <v>117</v>
      </c>
      <c r="H1096" s="1"/>
      <c r="I1096" s="1"/>
      <c r="J1096" s="1"/>
      <c r="K1096" s="1"/>
      <c r="L1096" s="30"/>
      <c r="M1096" s="30"/>
      <c r="N1096" s="30"/>
      <c r="O1096" s="2"/>
    </row>
    <row r="1097" spans="1:15" x14ac:dyDescent="0.2">
      <c r="A1097" s="17" t="s">
        <v>4047</v>
      </c>
      <c r="B1097" s="17" t="s">
        <v>4048</v>
      </c>
      <c r="C1097" s="17">
        <v>9</v>
      </c>
      <c r="D1097" s="1"/>
      <c r="E1097" s="1">
        <v>2150</v>
      </c>
      <c r="F1097" s="1">
        <v>2440</v>
      </c>
      <c r="G1097" s="1">
        <v>33</v>
      </c>
      <c r="H1097" s="1"/>
      <c r="I1097" s="1"/>
      <c r="J1097" s="1"/>
      <c r="K1097" s="1"/>
      <c r="L1097" s="30"/>
      <c r="M1097" s="30"/>
      <c r="N1097" s="30"/>
      <c r="O1097" s="2"/>
    </row>
    <row r="1098" spans="1:15" x14ac:dyDescent="0.2">
      <c r="A1098" s="17" t="s">
        <v>4049</v>
      </c>
      <c r="B1098" s="17" t="s">
        <v>4050</v>
      </c>
      <c r="C1098" s="17">
        <v>11</v>
      </c>
      <c r="D1098" s="1"/>
      <c r="E1098" s="1">
        <v>1220</v>
      </c>
      <c r="F1098" s="1">
        <v>2440</v>
      </c>
      <c r="G1098" s="1">
        <v>20</v>
      </c>
      <c r="H1098" s="1"/>
      <c r="I1098" s="1"/>
      <c r="J1098" s="1"/>
      <c r="K1098" s="1"/>
      <c r="L1098" s="30"/>
      <c r="M1098" s="30"/>
      <c r="N1098" s="30"/>
      <c r="O1098" s="2"/>
    </row>
    <row r="1099" spans="1:15" x14ac:dyDescent="0.2">
      <c r="A1099" s="17" t="s">
        <v>4051</v>
      </c>
      <c r="B1099" s="17" t="s">
        <v>4052</v>
      </c>
      <c r="C1099" s="17">
        <v>18</v>
      </c>
      <c r="D1099" s="1"/>
      <c r="E1099" s="1">
        <v>2150</v>
      </c>
      <c r="F1099" s="1">
        <v>2440</v>
      </c>
      <c r="G1099" s="1">
        <v>40</v>
      </c>
      <c r="H1099" s="1"/>
      <c r="I1099" s="1"/>
      <c r="J1099" s="1"/>
      <c r="K1099" s="1"/>
      <c r="L1099" s="30"/>
      <c r="M1099" s="30"/>
      <c r="N1099" s="30"/>
      <c r="O1099" s="2"/>
    </row>
    <row r="1100" spans="1:15" x14ac:dyDescent="0.2">
      <c r="A1100" s="17" t="s">
        <v>4053</v>
      </c>
      <c r="B1100" s="17" t="s">
        <v>4054</v>
      </c>
      <c r="C1100" s="17">
        <v>25</v>
      </c>
      <c r="D1100" s="1"/>
      <c r="E1100" s="1">
        <v>2150</v>
      </c>
      <c r="F1100" s="1">
        <v>2440</v>
      </c>
      <c r="G1100" s="1">
        <v>117</v>
      </c>
      <c r="H1100" s="1"/>
      <c r="I1100" s="1"/>
      <c r="J1100" s="1"/>
      <c r="K1100" s="1"/>
      <c r="L1100" s="30"/>
      <c r="M1100" s="30"/>
      <c r="N1100" s="30"/>
      <c r="O1100" s="2"/>
    </row>
    <row r="1101" spans="1:15" x14ac:dyDescent="0.2">
      <c r="A1101" s="17" t="s">
        <v>4055</v>
      </c>
      <c r="B1101" s="17" t="s">
        <v>4056</v>
      </c>
      <c r="C1101" s="30"/>
      <c r="D1101" s="1"/>
      <c r="E1101" s="1">
        <v>2150</v>
      </c>
      <c r="F1101" s="1">
        <v>2440</v>
      </c>
      <c r="G1101" s="1">
        <v>117</v>
      </c>
      <c r="H1101" s="1"/>
      <c r="I1101" s="1"/>
      <c r="J1101" s="1"/>
      <c r="K1101" s="1"/>
      <c r="L1101" s="30"/>
      <c r="M1101" s="30"/>
      <c r="N1101" s="30"/>
      <c r="O1101" s="2"/>
    </row>
    <row r="1102" spans="1:15" x14ac:dyDescent="0.2">
      <c r="A1102" s="17" t="s">
        <v>4057</v>
      </c>
      <c r="B1102" s="17" t="s">
        <v>4058</v>
      </c>
      <c r="C1102" s="17"/>
      <c r="D1102" s="1"/>
      <c r="E1102" s="1">
        <v>2150</v>
      </c>
      <c r="F1102" s="1">
        <v>2440</v>
      </c>
      <c r="G1102" s="1">
        <v>117</v>
      </c>
      <c r="H1102" s="1"/>
      <c r="I1102" s="1"/>
      <c r="J1102" s="1"/>
      <c r="K1102" s="1"/>
      <c r="L1102" s="30"/>
      <c r="M1102" s="30"/>
      <c r="N1102" s="30"/>
      <c r="O1102" s="2"/>
    </row>
    <row r="1103" spans="1:15" x14ac:dyDescent="0.2">
      <c r="A1103" s="17" t="s">
        <v>4059</v>
      </c>
      <c r="B1103" s="17" t="s">
        <v>4060</v>
      </c>
      <c r="C1103" s="17">
        <v>15</v>
      </c>
      <c r="D1103" s="1"/>
      <c r="E1103" s="1">
        <v>2150</v>
      </c>
      <c r="F1103" s="1">
        <v>2440</v>
      </c>
      <c r="G1103" s="1">
        <v>117</v>
      </c>
      <c r="H1103" s="1"/>
      <c r="I1103" s="1"/>
      <c r="J1103" s="1"/>
      <c r="K1103" s="1"/>
      <c r="L1103" s="30"/>
      <c r="M1103" s="30"/>
      <c r="N1103" s="30"/>
      <c r="O1103" s="2"/>
    </row>
    <row r="1104" spans="1:15" x14ac:dyDescent="0.2">
      <c r="A1104" s="17" t="s">
        <v>4061</v>
      </c>
      <c r="B1104" s="17" t="s">
        <v>4062</v>
      </c>
      <c r="C1104" s="17">
        <v>15</v>
      </c>
      <c r="D1104" s="1"/>
      <c r="E1104" s="1">
        <v>2150</v>
      </c>
      <c r="F1104" s="1">
        <v>2440</v>
      </c>
      <c r="G1104" s="1">
        <v>117</v>
      </c>
      <c r="H1104" s="1"/>
      <c r="I1104" s="1"/>
      <c r="J1104" s="1"/>
      <c r="K1104" s="1"/>
      <c r="L1104" s="30"/>
      <c r="M1104" s="30"/>
      <c r="N1104" s="30"/>
      <c r="O1104" s="2"/>
    </row>
    <row r="1105" spans="1:15" x14ac:dyDescent="0.2">
      <c r="A1105" s="17" t="s">
        <v>4063</v>
      </c>
      <c r="B1105" s="17" t="s">
        <v>4064</v>
      </c>
      <c r="C1105" s="17">
        <v>18</v>
      </c>
      <c r="D1105" s="1"/>
      <c r="E1105" s="1">
        <v>2150</v>
      </c>
      <c r="F1105" s="1">
        <v>2440</v>
      </c>
      <c r="G1105" s="1">
        <v>117</v>
      </c>
      <c r="H1105" s="1"/>
      <c r="I1105" s="1"/>
      <c r="J1105" s="1"/>
      <c r="K1105" s="1"/>
      <c r="L1105" s="30"/>
      <c r="M1105" s="30"/>
      <c r="N1105" s="30"/>
      <c r="O1105" s="2"/>
    </row>
    <row r="1106" spans="1:15" x14ac:dyDescent="0.2">
      <c r="A1106" s="17" t="s">
        <v>4065</v>
      </c>
      <c r="B1106" s="17" t="s">
        <v>4066</v>
      </c>
      <c r="C1106" s="17">
        <v>25</v>
      </c>
      <c r="D1106" s="1"/>
      <c r="E1106" s="1">
        <v>2150</v>
      </c>
      <c r="F1106" s="1">
        <v>2440</v>
      </c>
      <c r="G1106" s="1">
        <v>117</v>
      </c>
      <c r="H1106" s="1"/>
      <c r="I1106" s="1"/>
      <c r="J1106" s="1"/>
      <c r="K1106" s="1"/>
      <c r="L1106" s="30"/>
      <c r="M1106" s="30"/>
      <c r="N1106" s="30"/>
      <c r="O1106" s="2"/>
    </row>
    <row r="1107" spans="1:15" x14ac:dyDescent="0.2">
      <c r="A1107" s="17" t="s">
        <v>4067</v>
      </c>
      <c r="B1107" s="17" t="s">
        <v>4068</v>
      </c>
      <c r="C1107" s="17" t="s">
        <v>384</v>
      </c>
      <c r="D1107" s="1"/>
      <c r="E1107" s="1">
        <v>2150</v>
      </c>
      <c r="F1107" s="1">
        <v>2440</v>
      </c>
      <c r="G1107" s="1">
        <v>117</v>
      </c>
      <c r="H1107" s="1"/>
      <c r="I1107" s="1"/>
      <c r="J1107" s="1"/>
      <c r="K1107" s="1"/>
      <c r="L1107" s="30"/>
      <c r="M1107" s="30"/>
      <c r="N1107" s="30"/>
      <c r="O1107" s="2"/>
    </row>
    <row r="1108" spans="1:15" x14ac:dyDescent="0.2">
      <c r="A1108" s="17" t="s">
        <v>4069</v>
      </c>
      <c r="B1108" s="17" t="s">
        <v>4070</v>
      </c>
      <c r="C1108" s="17">
        <v>30</v>
      </c>
      <c r="D1108" s="1"/>
      <c r="E1108" s="1">
        <v>2150</v>
      </c>
      <c r="F1108" s="1">
        <v>2440</v>
      </c>
      <c r="G1108" s="1">
        <v>117</v>
      </c>
      <c r="H1108" s="1"/>
      <c r="I1108" s="1"/>
      <c r="J1108" s="1"/>
      <c r="K1108" s="1"/>
      <c r="L1108" s="30"/>
      <c r="M1108" s="30"/>
      <c r="N1108" s="30"/>
      <c r="O1108" s="2"/>
    </row>
    <row r="1109" spans="1:15" x14ac:dyDescent="0.2">
      <c r="A1109" s="17" t="s">
        <v>4071</v>
      </c>
      <c r="B1109" s="17" t="s">
        <v>4072</v>
      </c>
      <c r="C1109" s="17">
        <v>30</v>
      </c>
      <c r="D1109" s="1"/>
      <c r="E1109" s="1">
        <v>2150</v>
      </c>
      <c r="F1109" s="1">
        <v>2440</v>
      </c>
      <c r="G1109" s="1">
        <v>117</v>
      </c>
      <c r="H1109" s="1"/>
      <c r="I1109" s="1"/>
      <c r="J1109" s="1"/>
      <c r="K1109" s="1"/>
      <c r="L1109" s="30"/>
      <c r="M1109" s="30"/>
      <c r="N1109" s="30"/>
      <c r="O1109" s="2"/>
    </row>
    <row r="1110" spans="1:15" x14ac:dyDescent="0.2">
      <c r="A1110" s="17" t="s">
        <v>4073</v>
      </c>
      <c r="B1110" s="17" t="s">
        <v>4074</v>
      </c>
      <c r="C1110" s="17">
        <v>15</v>
      </c>
      <c r="D1110" s="1"/>
      <c r="E1110" s="1">
        <v>2150</v>
      </c>
      <c r="F1110" s="1">
        <v>2440</v>
      </c>
      <c r="G1110" s="1">
        <v>117</v>
      </c>
      <c r="H1110" s="1"/>
      <c r="I1110" s="1"/>
      <c r="J1110" s="1"/>
      <c r="K1110" s="1"/>
      <c r="L1110" s="30"/>
      <c r="M1110" s="30"/>
      <c r="N1110" s="30"/>
      <c r="O1110" s="2"/>
    </row>
    <row r="1111" spans="1:15" x14ac:dyDescent="0.2">
      <c r="A1111" s="17" t="s">
        <v>4075</v>
      </c>
      <c r="B1111" s="17" t="s">
        <v>4076</v>
      </c>
      <c r="C1111" s="17">
        <v>8</v>
      </c>
      <c r="D1111" s="1"/>
      <c r="E1111" s="1">
        <v>2150</v>
      </c>
      <c r="F1111" s="1">
        <v>2440</v>
      </c>
      <c r="G1111" s="1">
        <v>117</v>
      </c>
      <c r="H1111" s="1"/>
      <c r="I1111" s="1"/>
      <c r="J1111" s="1"/>
      <c r="K1111" s="1"/>
      <c r="L1111" s="30"/>
      <c r="M1111" s="30"/>
      <c r="N1111" s="30"/>
      <c r="O1111" s="2"/>
    </row>
    <row r="1112" spans="1:15" x14ac:dyDescent="0.2">
      <c r="A1112" s="17" t="s">
        <v>4077</v>
      </c>
      <c r="B1112" s="17" t="s">
        <v>4078</v>
      </c>
      <c r="C1112" s="17">
        <v>30</v>
      </c>
      <c r="D1112" s="1"/>
      <c r="E1112" s="1">
        <v>2150</v>
      </c>
      <c r="F1112" s="1">
        <v>2440</v>
      </c>
      <c r="G1112" s="1">
        <v>117</v>
      </c>
      <c r="H1112" s="1"/>
      <c r="I1112" s="1"/>
      <c r="J1112" s="1"/>
      <c r="K1112" s="1"/>
      <c r="L1112" s="30"/>
      <c r="M1112" s="30"/>
      <c r="N1112" s="30"/>
      <c r="O1112" s="2"/>
    </row>
    <row r="1113" spans="1:15" x14ac:dyDescent="0.2">
      <c r="A1113" s="17" t="s">
        <v>4079</v>
      </c>
      <c r="B1113" s="17" t="s">
        <v>4080</v>
      </c>
      <c r="C1113" s="17">
        <v>15</v>
      </c>
      <c r="D1113" s="1"/>
      <c r="E1113" s="1">
        <v>2150</v>
      </c>
      <c r="F1113" s="1">
        <v>2440</v>
      </c>
      <c r="G1113" s="1">
        <v>117</v>
      </c>
      <c r="H1113" s="1"/>
      <c r="I1113" s="1"/>
      <c r="J1113" s="1"/>
      <c r="K1113" s="1"/>
      <c r="L1113" s="30"/>
      <c r="M1113" s="30"/>
      <c r="N1113" s="30"/>
      <c r="O1113" s="2"/>
    </row>
    <row r="1114" spans="1:15" x14ac:dyDescent="0.2">
      <c r="A1114" s="17" t="s">
        <v>4081</v>
      </c>
      <c r="B1114" s="17" t="s">
        <v>4082</v>
      </c>
      <c r="C1114" s="17">
        <v>18</v>
      </c>
      <c r="D1114" s="1"/>
      <c r="E1114" s="1">
        <v>2150</v>
      </c>
      <c r="F1114" s="1">
        <v>2440</v>
      </c>
      <c r="G1114" s="1">
        <v>117</v>
      </c>
      <c r="H1114" s="1"/>
      <c r="I1114" s="1"/>
      <c r="J1114" s="1"/>
      <c r="K1114" s="1"/>
      <c r="L1114" s="30"/>
      <c r="M1114" s="30"/>
      <c r="N1114" s="30"/>
      <c r="O1114" s="2"/>
    </row>
    <row r="1115" spans="1:15" x14ac:dyDescent="0.2">
      <c r="A1115" s="17" t="s">
        <v>4083</v>
      </c>
      <c r="B1115" s="17" t="s">
        <v>4084</v>
      </c>
      <c r="C1115" s="17">
        <v>30</v>
      </c>
      <c r="D1115" s="1"/>
      <c r="E1115" s="1">
        <v>2150</v>
      </c>
      <c r="F1115" s="1">
        <v>2440</v>
      </c>
      <c r="G1115" s="1">
        <v>117</v>
      </c>
      <c r="H1115" s="1"/>
      <c r="I1115" s="1"/>
      <c r="J1115" s="1"/>
      <c r="K1115" s="1"/>
      <c r="L1115" s="30"/>
      <c r="M1115" s="30"/>
      <c r="N1115" s="30"/>
      <c r="O1115" s="2"/>
    </row>
    <row r="1116" spans="1:15" x14ac:dyDescent="0.2">
      <c r="A1116" s="17" t="s">
        <v>4085</v>
      </c>
      <c r="B1116" s="17" t="s">
        <v>4086</v>
      </c>
      <c r="C1116" s="17">
        <v>15</v>
      </c>
      <c r="D1116" s="1"/>
      <c r="E1116" s="1">
        <v>2150</v>
      </c>
      <c r="F1116" s="1">
        <v>2440</v>
      </c>
      <c r="G1116" s="1">
        <v>117</v>
      </c>
      <c r="H1116" s="1"/>
      <c r="I1116" s="1"/>
      <c r="J1116" s="1"/>
      <c r="K1116" s="1"/>
      <c r="L1116" s="30"/>
      <c r="M1116" s="30"/>
      <c r="N1116" s="30"/>
      <c r="O1116" s="2"/>
    </row>
    <row r="1117" spans="1:15" x14ac:dyDescent="0.2">
      <c r="A1117" s="17" t="s">
        <v>4087</v>
      </c>
      <c r="B1117" s="17" t="s">
        <v>4088</v>
      </c>
      <c r="C1117" s="17">
        <v>9</v>
      </c>
      <c r="D1117" s="1"/>
      <c r="E1117" s="1">
        <v>2150</v>
      </c>
      <c r="F1117" s="1">
        <v>2440</v>
      </c>
      <c r="G1117" s="1">
        <v>117</v>
      </c>
      <c r="H1117" s="1"/>
      <c r="I1117" s="1"/>
      <c r="J1117" s="1"/>
      <c r="K1117" s="1"/>
      <c r="L1117" s="30"/>
      <c r="M1117" s="30"/>
      <c r="N1117" s="30"/>
      <c r="O1117" s="2"/>
    </row>
    <row r="1118" spans="1:15" x14ac:dyDescent="0.2">
      <c r="A1118" s="17" t="s">
        <v>4089</v>
      </c>
      <c r="B1118" s="17" t="s">
        <v>4090</v>
      </c>
      <c r="C1118" s="17">
        <v>12</v>
      </c>
      <c r="D1118" s="1"/>
      <c r="E1118" s="1">
        <v>1220</v>
      </c>
      <c r="F1118" s="1">
        <v>2440</v>
      </c>
      <c r="G1118" s="1">
        <v>22</v>
      </c>
      <c r="H1118" s="1"/>
      <c r="I1118" s="1"/>
      <c r="J1118" s="1"/>
      <c r="K1118" s="1"/>
      <c r="L1118" s="30"/>
      <c r="M1118" s="30"/>
      <c r="N1118" s="30"/>
      <c r="O1118" s="2"/>
    </row>
    <row r="1119" spans="1:15" x14ac:dyDescent="0.2">
      <c r="A1119" s="26" t="s">
        <v>4091</v>
      </c>
      <c r="B1119" s="26" t="s">
        <v>4092</v>
      </c>
      <c r="C1119" s="26">
        <v>15</v>
      </c>
      <c r="D1119" s="1"/>
      <c r="E1119" s="1">
        <v>1220</v>
      </c>
      <c r="F1119" s="1">
        <v>2440</v>
      </c>
      <c r="G1119" s="1">
        <v>29</v>
      </c>
      <c r="H1119" s="1"/>
      <c r="I1119" s="1"/>
      <c r="J1119" s="1"/>
      <c r="K1119" s="1"/>
      <c r="L1119" s="30"/>
      <c r="M1119" s="30"/>
      <c r="N1119" s="30"/>
      <c r="O1119" s="2"/>
    </row>
    <row r="1120" spans="1:15" x14ac:dyDescent="0.2">
      <c r="A1120" s="17" t="s">
        <v>4093</v>
      </c>
      <c r="B1120" s="17" t="s">
        <v>4094</v>
      </c>
      <c r="C1120" s="17">
        <v>18</v>
      </c>
      <c r="D1120" s="1"/>
      <c r="E1120" s="1">
        <v>1220</v>
      </c>
      <c r="F1120" s="1">
        <v>2440</v>
      </c>
      <c r="G1120" s="1">
        <v>35</v>
      </c>
      <c r="H1120" s="1"/>
      <c r="I1120" s="1"/>
      <c r="J1120" s="1"/>
      <c r="K1120" s="1"/>
      <c r="L1120" s="30"/>
      <c r="M1120" s="30"/>
      <c r="N1120" s="30"/>
      <c r="O1120" s="2"/>
    </row>
    <row r="1121" spans="1:15" x14ac:dyDescent="0.2">
      <c r="A1121" s="17" t="s">
        <v>4095</v>
      </c>
      <c r="B1121" s="17" t="s">
        <v>4096</v>
      </c>
      <c r="C1121" s="17">
        <v>9</v>
      </c>
      <c r="D1121" s="1"/>
      <c r="E1121" s="1">
        <v>1220</v>
      </c>
      <c r="F1121" s="1">
        <v>2440</v>
      </c>
      <c r="G1121" s="1">
        <v>19</v>
      </c>
      <c r="H1121" s="1"/>
      <c r="I1121" s="1"/>
      <c r="J1121" s="1"/>
      <c r="K1121" s="1"/>
      <c r="L1121" s="30"/>
      <c r="M1121" s="30"/>
      <c r="N1121" s="30"/>
      <c r="O1121" s="2"/>
    </row>
    <row r="1122" spans="1:15" x14ac:dyDescent="0.2">
      <c r="A1122" s="17" t="s">
        <v>4097</v>
      </c>
      <c r="B1122" s="17" t="s">
        <v>4098</v>
      </c>
      <c r="C1122" s="17">
        <v>12</v>
      </c>
      <c r="D1122" s="1"/>
      <c r="E1122" s="1">
        <v>1220</v>
      </c>
      <c r="F1122" s="1">
        <v>2440</v>
      </c>
      <c r="G1122" s="1">
        <v>24</v>
      </c>
      <c r="H1122" s="1"/>
      <c r="I1122" s="1"/>
      <c r="J1122" s="1"/>
      <c r="K1122" s="1"/>
      <c r="L1122" s="30"/>
      <c r="M1122" s="30"/>
      <c r="N1122" s="30"/>
      <c r="O1122" s="2"/>
    </row>
    <row r="1123" spans="1:15" x14ac:dyDescent="0.2">
      <c r="A1123" s="17" t="s">
        <v>4099</v>
      </c>
      <c r="B1123" s="17" t="s">
        <v>4100</v>
      </c>
      <c r="C1123" s="17">
        <v>15</v>
      </c>
      <c r="D1123" s="1"/>
      <c r="E1123" s="1">
        <v>1220</v>
      </c>
      <c r="F1123" s="1">
        <v>2440</v>
      </c>
      <c r="G1123" s="1">
        <v>29</v>
      </c>
      <c r="H1123" s="1"/>
      <c r="I1123" s="1"/>
      <c r="J1123" s="1"/>
      <c r="K1123" s="1"/>
      <c r="L1123" s="30"/>
      <c r="M1123" s="30"/>
      <c r="N1123" s="30"/>
      <c r="O1123" s="2"/>
    </row>
    <row r="1124" spans="1:15" x14ac:dyDescent="0.2">
      <c r="A1124" s="17" t="s">
        <v>4101</v>
      </c>
      <c r="B1124" s="17" t="s">
        <v>4102</v>
      </c>
      <c r="C1124" s="17">
        <v>18</v>
      </c>
      <c r="D1124" s="1"/>
      <c r="E1124" s="1">
        <v>1220</v>
      </c>
      <c r="F1124" s="1">
        <v>2440</v>
      </c>
      <c r="G1124" s="1">
        <v>35</v>
      </c>
      <c r="H1124" s="1"/>
      <c r="I1124" s="1"/>
      <c r="J1124" s="1"/>
      <c r="K1124" s="1"/>
      <c r="L1124" s="30"/>
      <c r="M1124" s="30"/>
      <c r="N1124" s="30"/>
      <c r="O1124" s="2"/>
    </row>
    <row r="1125" spans="1:15" x14ac:dyDescent="0.2">
      <c r="A1125" s="17" t="s">
        <v>4103</v>
      </c>
      <c r="B1125" s="17" t="s">
        <v>4104</v>
      </c>
      <c r="C1125" s="17">
        <v>9</v>
      </c>
      <c r="D1125" s="1"/>
      <c r="E1125" s="1">
        <v>2150</v>
      </c>
      <c r="F1125" s="1">
        <v>2440</v>
      </c>
      <c r="G1125" s="1">
        <v>117</v>
      </c>
      <c r="H1125" s="1"/>
      <c r="I1125" s="1"/>
      <c r="J1125" s="1"/>
      <c r="K1125" s="1"/>
      <c r="L1125" s="30"/>
      <c r="M1125" s="30"/>
      <c r="N1125" s="30"/>
      <c r="O1125" s="2"/>
    </row>
    <row r="1126" spans="1:15" x14ac:dyDescent="0.2">
      <c r="A1126" s="17" t="s">
        <v>4105</v>
      </c>
      <c r="B1126" s="17" t="s">
        <v>4106</v>
      </c>
      <c r="C1126" s="17">
        <v>12</v>
      </c>
      <c r="D1126" s="1"/>
      <c r="E1126" s="1">
        <v>2150</v>
      </c>
      <c r="F1126" s="1">
        <v>2440</v>
      </c>
      <c r="G1126" s="1">
        <v>117</v>
      </c>
      <c r="H1126" s="1"/>
      <c r="I1126" s="1"/>
      <c r="J1126" s="1"/>
      <c r="K1126" s="1"/>
      <c r="L1126" s="30"/>
      <c r="M1126" s="30"/>
      <c r="N1126" s="30"/>
      <c r="O1126" s="2"/>
    </row>
    <row r="1127" spans="1:15" x14ac:dyDescent="0.2">
      <c r="A1127" s="17" t="s">
        <v>4107</v>
      </c>
      <c r="B1127" s="17" t="s">
        <v>4108</v>
      </c>
      <c r="C1127" s="17">
        <v>6.5</v>
      </c>
      <c r="D1127" s="1"/>
      <c r="E1127" s="1">
        <v>1220</v>
      </c>
      <c r="F1127" s="1">
        <v>2440</v>
      </c>
      <c r="G1127" s="1">
        <v>13</v>
      </c>
      <c r="H1127" s="1"/>
      <c r="I1127" s="1"/>
      <c r="J1127" s="1"/>
      <c r="K1127" s="1"/>
      <c r="L1127" s="30"/>
      <c r="M1127" s="30"/>
      <c r="N1127" s="30"/>
      <c r="O1127" s="2"/>
    </row>
    <row r="1128" spans="1:15" x14ac:dyDescent="0.2">
      <c r="A1128" s="17" t="s">
        <v>4109</v>
      </c>
      <c r="B1128" s="17" t="s">
        <v>4110</v>
      </c>
      <c r="C1128" s="17">
        <v>9</v>
      </c>
      <c r="D1128" s="1"/>
      <c r="E1128" s="1">
        <v>2150</v>
      </c>
      <c r="F1128" s="1">
        <v>2440</v>
      </c>
      <c r="G1128" s="1">
        <v>117</v>
      </c>
      <c r="H1128" s="1"/>
      <c r="I1128" s="1"/>
      <c r="J1128" s="1"/>
      <c r="K1128" s="1"/>
      <c r="L1128" s="30"/>
      <c r="M1128" s="30"/>
      <c r="N1128" s="30"/>
      <c r="O1128" s="2"/>
    </row>
    <row r="1129" spans="1:15" x14ac:dyDescent="0.2">
      <c r="A1129" s="17" t="s">
        <v>4111</v>
      </c>
      <c r="B1129" s="17" t="s">
        <v>4112</v>
      </c>
      <c r="C1129" s="17">
        <v>12</v>
      </c>
      <c r="D1129" s="1"/>
      <c r="E1129" s="1">
        <v>1220</v>
      </c>
      <c r="F1129" s="1">
        <v>2440</v>
      </c>
      <c r="G1129" s="1">
        <v>24</v>
      </c>
      <c r="H1129" s="1"/>
      <c r="I1129" s="1"/>
      <c r="J1129" s="1"/>
      <c r="K1129" s="1"/>
      <c r="L1129" s="30"/>
      <c r="M1129" s="30"/>
      <c r="N1129" s="30"/>
      <c r="O1129" s="2"/>
    </row>
    <row r="1130" spans="1:15" x14ac:dyDescent="0.2">
      <c r="A1130" s="17" t="s">
        <v>4113</v>
      </c>
      <c r="B1130" s="17" t="s">
        <v>4114</v>
      </c>
      <c r="C1130" s="17">
        <v>15</v>
      </c>
      <c r="D1130" s="1"/>
      <c r="E1130" s="1">
        <v>1220</v>
      </c>
      <c r="F1130" s="1">
        <v>2440</v>
      </c>
      <c r="G1130" s="1">
        <v>29</v>
      </c>
      <c r="H1130" s="1"/>
      <c r="I1130" s="1"/>
      <c r="J1130" s="1"/>
      <c r="K1130" s="1"/>
      <c r="L1130" s="30"/>
      <c r="M1130" s="30"/>
      <c r="N1130" s="30"/>
      <c r="O1130" s="2"/>
    </row>
    <row r="1131" spans="1:15" x14ac:dyDescent="0.2">
      <c r="A1131" s="17" t="s">
        <v>4115</v>
      </c>
      <c r="B1131" s="17" t="s">
        <v>4116</v>
      </c>
      <c r="C1131" s="17">
        <v>18</v>
      </c>
      <c r="D1131" s="1"/>
      <c r="E1131" s="1">
        <v>1220</v>
      </c>
      <c r="F1131" s="1">
        <v>2440</v>
      </c>
      <c r="G1131" s="1">
        <v>35</v>
      </c>
      <c r="H1131" s="1"/>
      <c r="I1131" s="1"/>
      <c r="J1131" s="1"/>
      <c r="K1131" s="1"/>
      <c r="L1131" s="30"/>
      <c r="M1131" s="30"/>
      <c r="N1131" s="30"/>
      <c r="O1131" s="2"/>
    </row>
    <row r="1132" spans="1:15" x14ac:dyDescent="0.2">
      <c r="A1132" s="17" t="s">
        <v>4117</v>
      </c>
      <c r="B1132" s="17" t="s">
        <v>4118</v>
      </c>
      <c r="C1132" s="17">
        <v>3.6</v>
      </c>
      <c r="D1132" s="1"/>
      <c r="E1132" s="1">
        <v>1220</v>
      </c>
      <c r="F1132" s="1">
        <v>2440</v>
      </c>
      <c r="G1132" s="1">
        <v>66</v>
      </c>
      <c r="H1132" s="1"/>
      <c r="I1132" s="1"/>
      <c r="J1132" s="1"/>
      <c r="K1132" s="1"/>
      <c r="L1132" s="30"/>
      <c r="M1132" s="30"/>
      <c r="N1132" s="30"/>
      <c r="O1132" s="2"/>
    </row>
    <row r="1133" spans="1:15" x14ac:dyDescent="0.2">
      <c r="A1133" s="17" t="s">
        <v>4119</v>
      </c>
      <c r="B1133" s="17" t="s">
        <v>4120</v>
      </c>
      <c r="C1133" s="17">
        <v>12</v>
      </c>
      <c r="D1133" s="1"/>
      <c r="E1133" s="1">
        <v>2150</v>
      </c>
      <c r="F1133" s="1">
        <v>2440</v>
      </c>
      <c r="G1133" s="1">
        <v>117</v>
      </c>
      <c r="H1133" s="1"/>
      <c r="I1133" s="1"/>
      <c r="J1133" s="1"/>
      <c r="K1133" s="1"/>
      <c r="L1133" s="30"/>
      <c r="M1133" s="30"/>
      <c r="N1133" s="30"/>
      <c r="O1133" s="2"/>
    </row>
    <row r="1134" spans="1:15" x14ac:dyDescent="0.2">
      <c r="A1134" s="17" t="s">
        <v>4121</v>
      </c>
      <c r="B1134" s="17" t="s">
        <v>4122</v>
      </c>
      <c r="C1134" s="17">
        <v>15</v>
      </c>
      <c r="D1134" s="1"/>
      <c r="E1134" s="1">
        <v>2150</v>
      </c>
      <c r="F1134" s="1">
        <v>2440</v>
      </c>
      <c r="G1134" s="1">
        <v>117</v>
      </c>
      <c r="H1134" s="1"/>
      <c r="I1134" s="1"/>
      <c r="J1134" s="1"/>
      <c r="K1134" s="1"/>
      <c r="L1134" s="30"/>
      <c r="M1134" s="30"/>
      <c r="N1134" s="30"/>
      <c r="O1134" s="2"/>
    </row>
    <row r="1135" spans="1:15" x14ac:dyDescent="0.2">
      <c r="A1135" s="17" t="s">
        <v>4123</v>
      </c>
      <c r="B1135" s="17" t="s">
        <v>4124</v>
      </c>
      <c r="C1135" s="17">
        <v>9</v>
      </c>
      <c r="D1135" s="1"/>
      <c r="E1135" s="1">
        <v>1220</v>
      </c>
      <c r="F1135" s="1">
        <v>2440</v>
      </c>
      <c r="G1135" s="1">
        <v>19</v>
      </c>
      <c r="H1135" s="1"/>
      <c r="I1135" s="1"/>
      <c r="J1135" s="1"/>
      <c r="K1135" s="1"/>
      <c r="L1135" s="30"/>
      <c r="M1135" s="30"/>
      <c r="N1135" s="30"/>
      <c r="O1135" s="2"/>
    </row>
    <row r="1136" spans="1:15" x14ac:dyDescent="0.2">
      <c r="A1136" s="17" t="s">
        <v>4125</v>
      </c>
      <c r="B1136" s="17" t="s">
        <v>4126</v>
      </c>
      <c r="C1136" s="17">
        <v>12</v>
      </c>
      <c r="D1136" s="1"/>
      <c r="E1136" s="1">
        <v>1220</v>
      </c>
      <c r="F1136" s="1">
        <v>2440</v>
      </c>
      <c r="G1136" s="1">
        <v>24</v>
      </c>
      <c r="H1136" s="1"/>
      <c r="I1136" s="1"/>
      <c r="J1136" s="1"/>
      <c r="K1136" s="1"/>
      <c r="L1136" s="30"/>
      <c r="M1136" s="30"/>
      <c r="N1136" s="30"/>
      <c r="O1136" s="2"/>
    </row>
    <row r="1137" spans="1:15" x14ac:dyDescent="0.2">
      <c r="A1137" s="17" t="s">
        <v>4127</v>
      </c>
      <c r="B1137" s="17" t="s">
        <v>4128</v>
      </c>
      <c r="C1137" s="17">
        <v>15</v>
      </c>
      <c r="D1137" s="1"/>
      <c r="E1137" s="1">
        <v>1220</v>
      </c>
      <c r="F1137" s="1">
        <v>2440</v>
      </c>
      <c r="G1137" s="1">
        <v>29</v>
      </c>
      <c r="H1137" s="1"/>
      <c r="I1137" s="1"/>
      <c r="J1137" s="1"/>
      <c r="K1137" s="1"/>
      <c r="L1137" s="30"/>
      <c r="M1137" s="30"/>
      <c r="N1137" s="30"/>
      <c r="O1137" s="2"/>
    </row>
    <row r="1138" spans="1:15" x14ac:dyDescent="0.2">
      <c r="A1138" s="17" t="s">
        <v>4129</v>
      </c>
      <c r="B1138" s="17" t="s">
        <v>4130</v>
      </c>
      <c r="C1138" s="17">
        <v>18</v>
      </c>
      <c r="D1138" s="1"/>
      <c r="E1138" s="1">
        <v>1220</v>
      </c>
      <c r="F1138" s="1">
        <v>2440</v>
      </c>
      <c r="G1138" s="1">
        <v>35</v>
      </c>
      <c r="H1138" s="1"/>
      <c r="I1138" s="1"/>
      <c r="J1138" s="1"/>
      <c r="K1138" s="1"/>
      <c r="L1138" s="30"/>
      <c r="M1138" s="30"/>
      <c r="N1138" s="30"/>
      <c r="O1138" s="2"/>
    </row>
    <row r="1139" spans="1:15" x14ac:dyDescent="0.2">
      <c r="A1139" s="17" t="s">
        <v>4131</v>
      </c>
      <c r="B1139" s="17" t="s">
        <v>4132</v>
      </c>
      <c r="C1139" s="17">
        <v>3.6</v>
      </c>
      <c r="D1139" s="1"/>
      <c r="E1139" s="1">
        <v>1220</v>
      </c>
      <c r="F1139" s="1">
        <v>2440</v>
      </c>
      <c r="G1139" s="1">
        <v>66</v>
      </c>
      <c r="H1139" s="1"/>
      <c r="I1139" s="1"/>
      <c r="J1139" s="1"/>
      <c r="K1139" s="1"/>
      <c r="L1139" s="30"/>
      <c r="M1139" s="30"/>
      <c r="N1139" s="30"/>
      <c r="O1139" s="2"/>
    </row>
    <row r="1140" spans="1:15" x14ac:dyDescent="0.2">
      <c r="A1140" s="17" t="s">
        <v>4133</v>
      </c>
      <c r="B1140" s="17" t="s">
        <v>4134</v>
      </c>
      <c r="C1140" s="17">
        <v>5.5</v>
      </c>
      <c r="D1140" s="1"/>
      <c r="E1140" s="1">
        <v>1830</v>
      </c>
      <c r="F1140" s="1">
        <v>2440</v>
      </c>
      <c r="G1140" s="1">
        <v>17</v>
      </c>
      <c r="H1140" s="1"/>
      <c r="I1140" s="1"/>
      <c r="J1140" s="1"/>
      <c r="K1140" s="1"/>
      <c r="L1140" s="30"/>
      <c r="M1140" s="30"/>
      <c r="N1140" s="30"/>
      <c r="O1140" s="2"/>
    </row>
    <row r="1141" spans="1:15" x14ac:dyDescent="0.2">
      <c r="A1141" s="17" t="s">
        <v>4135</v>
      </c>
      <c r="B1141" s="17" t="s">
        <v>4136</v>
      </c>
      <c r="C1141" s="17">
        <v>15</v>
      </c>
      <c r="D1141" s="1"/>
      <c r="E1141" s="1">
        <v>2150</v>
      </c>
      <c r="F1141" s="1">
        <v>2440</v>
      </c>
      <c r="G1141" s="1">
        <v>53</v>
      </c>
      <c r="H1141" s="1"/>
      <c r="I1141" s="1"/>
      <c r="J1141" s="1"/>
      <c r="K1141" s="1"/>
      <c r="L1141" s="30"/>
      <c r="M1141" s="30"/>
      <c r="N1141" s="30"/>
      <c r="O1141" s="2"/>
    </row>
    <row r="1142" spans="1:15" x14ac:dyDescent="0.2">
      <c r="A1142" s="17" t="s">
        <v>4137</v>
      </c>
      <c r="B1142" s="17" t="s">
        <v>4138</v>
      </c>
      <c r="C1142" s="17">
        <v>15</v>
      </c>
      <c r="D1142" s="1"/>
      <c r="E1142" s="1">
        <v>2150</v>
      </c>
      <c r="F1142" s="1">
        <v>2440</v>
      </c>
      <c r="G1142" s="1">
        <v>53</v>
      </c>
      <c r="H1142" s="1"/>
      <c r="I1142" s="1"/>
      <c r="J1142" s="1"/>
      <c r="K1142" s="1"/>
      <c r="L1142" s="30"/>
      <c r="M1142" s="30"/>
      <c r="N1142" s="30"/>
      <c r="O1142" s="2"/>
    </row>
    <row r="1143" spans="1:15" x14ac:dyDescent="0.2">
      <c r="A1143" s="17" t="s">
        <v>4139</v>
      </c>
      <c r="B1143" s="17" t="s">
        <v>4140</v>
      </c>
      <c r="C1143" s="17">
        <v>15</v>
      </c>
      <c r="D1143" s="1"/>
      <c r="E1143" s="1">
        <v>2150</v>
      </c>
      <c r="F1143" s="1">
        <v>2440</v>
      </c>
      <c r="G1143" s="1">
        <v>53</v>
      </c>
      <c r="H1143" s="1"/>
      <c r="I1143" s="1"/>
      <c r="J1143" s="1"/>
      <c r="K1143" s="1"/>
      <c r="L1143" s="30"/>
      <c r="M1143" s="30"/>
      <c r="N1143" s="30"/>
      <c r="O1143" s="2"/>
    </row>
    <row r="1144" spans="1:15" x14ac:dyDescent="0.2">
      <c r="A1144" s="17" t="s">
        <v>4141</v>
      </c>
      <c r="B1144" s="17" t="s">
        <v>4142</v>
      </c>
      <c r="C1144" s="17">
        <v>18</v>
      </c>
      <c r="D1144" s="1"/>
      <c r="E1144" s="1">
        <v>1220</v>
      </c>
      <c r="F1144" s="1">
        <v>2440</v>
      </c>
      <c r="G1144" s="1">
        <v>24</v>
      </c>
      <c r="H1144" s="1"/>
      <c r="I1144" s="1"/>
      <c r="J1144" s="1"/>
      <c r="K1144" s="1"/>
      <c r="L1144" s="30"/>
      <c r="M1144" s="30"/>
      <c r="N1144" s="30"/>
      <c r="O1144" s="2"/>
    </row>
    <row r="1145" spans="1:15" x14ac:dyDescent="0.2">
      <c r="A1145" s="17" t="s">
        <v>4143</v>
      </c>
      <c r="B1145" s="17" t="s">
        <v>4144</v>
      </c>
      <c r="C1145" s="17">
        <v>3</v>
      </c>
      <c r="D1145" s="1"/>
      <c r="E1145" s="1">
        <v>1220</v>
      </c>
      <c r="F1145" s="1">
        <v>2440</v>
      </c>
      <c r="G1145" s="1">
        <v>9</v>
      </c>
      <c r="H1145" s="1"/>
      <c r="I1145" s="1"/>
      <c r="J1145" s="1"/>
      <c r="K1145" s="1"/>
      <c r="L1145" s="30"/>
      <c r="M1145" s="30"/>
      <c r="N1145" s="30"/>
      <c r="O1145" s="2"/>
    </row>
    <row r="1146" spans="1:15" x14ac:dyDescent="0.2">
      <c r="A1146" s="17" t="s">
        <v>4145</v>
      </c>
      <c r="B1146" s="17" t="s">
        <v>4146</v>
      </c>
      <c r="C1146" s="17">
        <v>15</v>
      </c>
      <c r="D1146" s="1"/>
      <c r="E1146" s="1">
        <v>2150</v>
      </c>
      <c r="F1146" s="1">
        <v>2440</v>
      </c>
      <c r="G1146" s="1">
        <v>53</v>
      </c>
      <c r="H1146" s="1"/>
      <c r="I1146" s="1"/>
      <c r="J1146" s="1"/>
      <c r="K1146" s="1"/>
      <c r="L1146" s="30"/>
      <c r="M1146" s="30"/>
      <c r="N1146" s="30"/>
      <c r="O1146" s="2"/>
    </row>
    <row r="1147" spans="1:15" x14ac:dyDescent="0.2">
      <c r="A1147" s="17" t="s">
        <v>4147</v>
      </c>
      <c r="B1147" s="17" t="s">
        <v>1991</v>
      </c>
      <c r="C1147" s="17">
        <v>5</v>
      </c>
      <c r="D1147" s="1"/>
      <c r="E1147" s="1">
        <v>2150</v>
      </c>
      <c r="F1147" s="1">
        <v>2440</v>
      </c>
      <c r="G1147" s="1">
        <v>52</v>
      </c>
      <c r="H1147" s="1"/>
      <c r="I1147" s="1"/>
      <c r="J1147" s="1"/>
      <c r="K1147" s="1"/>
      <c r="L1147" s="30"/>
      <c r="M1147" s="30"/>
      <c r="N1147" s="30"/>
      <c r="O1147" s="2"/>
    </row>
    <row r="1148" spans="1:15" x14ac:dyDescent="0.2">
      <c r="A1148" s="17" t="s">
        <v>4148</v>
      </c>
      <c r="B1148" s="17" t="s">
        <v>4149</v>
      </c>
      <c r="C1148" s="17">
        <v>36</v>
      </c>
      <c r="D1148" s="1"/>
      <c r="E1148" s="1">
        <v>2150</v>
      </c>
      <c r="F1148" s="1">
        <v>2440</v>
      </c>
      <c r="G1148" s="1">
        <v>117</v>
      </c>
      <c r="H1148" s="1"/>
      <c r="I1148" s="1"/>
      <c r="J1148" s="1"/>
      <c r="K1148" s="1"/>
      <c r="L1148" s="30"/>
      <c r="M1148" s="30"/>
      <c r="N1148" s="30"/>
      <c r="O1148" s="2"/>
    </row>
    <row r="1149" spans="1:15" x14ac:dyDescent="0.2">
      <c r="A1149" s="17" t="s">
        <v>4150</v>
      </c>
      <c r="B1149" s="17" t="s">
        <v>4151</v>
      </c>
      <c r="C1149" s="17">
        <v>36</v>
      </c>
      <c r="D1149" s="1"/>
      <c r="E1149" s="1">
        <v>2150</v>
      </c>
      <c r="F1149" s="1">
        <v>2440</v>
      </c>
      <c r="G1149" s="1">
        <v>117</v>
      </c>
      <c r="H1149" s="1"/>
      <c r="I1149" s="1"/>
      <c r="J1149" s="1"/>
      <c r="K1149" s="1"/>
      <c r="L1149" s="30"/>
      <c r="M1149" s="30"/>
      <c r="N1149" s="30"/>
      <c r="O1149" s="2"/>
    </row>
    <row r="1150" spans="1:15" x14ac:dyDescent="0.2">
      <c r="A1150" s="17" t="s">
        <v>4152</v>
      </c>
      <c r="B1150" s="17" t="s">
        <v>4153</v>
      </c>
      <c r="C1150" s="17" t="s">
        <v>384</v>
      </c>
      <c r="D1150" s="1"/>
      <c r="E1150" s="1">
        <v>2150</v>
      </c>
      <c r="F1150" s="1">
        <v>2440</v>
      </c>
      <c r="G1150" s="1">
        <v>117</v>
      </c>
      <c r="H1150" s="1"/>
      <c r="I1150" s="1"/>
      <c r="J1150" s="1"/>
      <c r="K1150" s="1"/>
      <c r="L1150" s="30"/>
      <c r="M1150" s="30"/>
      <c r="N1150" s="30"/>
      <c r="O1150" s="2"/>
    </row>
    <row r="1151" spans="1:15" x14ac:dyDescent="0.2">
      <c r="A1151" s="17" t="s">
        <v>4154</v>
      </c>
      <c r="B1151" s="17" t="s">
        <v>4155</v>
      </c>
      <c r="C1151" s="17" t="s">
        <v>384</v>
      </c>
      <c r="D1151" s="1"/>
      <c r="E1151" s="1">
        <v>2150</v>
      </c>
      <c r="F1151" s="1">
        <v>2440</v>
      </c>
      <c r="G1151" s="1">
        <v>117</v>
      </c>
      <c r="H1151" s="1"/>
      <c r="I1151" s="1"/>
      <c r="J1151" s="1"/>
      <c r="K1151" s="1"/>
      <c r="L1151" s="30"/>
      <c r="M1151" s="30"/>
      <c r="N1151" s="30"/>
      <c r="O1151" s="2"/>
    </row>
    <row r="1152" spans="1:15" x14ac:dyDescent="0.2">
      <c r="A1152" s="17" t="s">
        <v>4156</v>
      </c>
      <c r="B1152" s="17" t="s">
        <v>4157</v>
      </c>
      <c r="C1152" s="17" t="s">
        <v>384</v>
      </c>
      <c r="D1152" s="1"/>
      <c r="E1152" s="1">
        <v>2150</v>
      </c>
      <c r="F1152" s="1">
        <v>2440</v>
      </c>
      <c r="G1152" s="1">
        <v>117</v>
      </c>
      <c r="H1152" s="1"/>
      <c r="I1152" s="1"/>
      <c r="J1152" s="1"/>
      <c r="K1152" s="1"/>
      <c r="L1152" s="30"/>
      <c r="M1152" s="30"/>
      <c r="N1152" s="30"/>
      <c r="O1152" s="2"/>
    </row>
    <row r="1153" spans="1:15" x14ac:dyDescent="0.2">
      <c r="A1153" s="17" t="s">
        <v>4158</v>
      </c>
      <c r="B1153" s="17" t="s">
        <v>4159</v>
      </c>
      <c r="C1153" s="17">
        <v>4</v>
      </c>
      <c r="D1153" s="1"/>
      <c r="E1153" s="1">
        <v>1530</v>
      </c>
      <c r="F1153" s="1">
        <v>2440</v>
      </c>
      <c r="G1153" s="1">
        <v>117</v>
      </c>
      <c r="H1153" s="1"/>
      <c r="I1153" s="1"/>
      <c r="J1153" s="1"/>
      <c r="K1153" s="1"/>
      <c r="L1153" s="30"/>
      <c r="M1153" s="30"/>
      <c r="N1153" s="30"/>
      <c r="O1153" s="2"/>
    </row>
    <row r="1154" spans="1:15" x14ac:dyDescent="0.2">
      <c r="A1154" s="17" t="s">
        <v>4160</v>
      </c>
      <c r="B1154" s="27" t="s">
        <v>4161</v>
      </c>
      <c r="C1154" s="17">
        <v>12</v>
      </c>
      <c r="D1154" s="1"/>
      <c r="E1154" s="1">
        <v>1220</v>
      </c>
      <c r="F1154" s="1">
        <v>2440</v>
      </c>
      <c r="G1154" s="1">
        <v>24</v>
      </c>
      <c r="H1154" s="1"/>
      <c r="I1154" s="1"/>
      <c r="J1154" s="1"/>
      <c r="K1154" s="1"/>
      <c r="L1154" s="30"/>
      <c r="M1154" s="30"/>
      <c r="N1154" s="30"/>
      <c r="O1154" s="2"/>
    </row>
    <row r="1155" spans="1:15" x14ac:dyDescent="0.2">
      <c r="A1155" s="17" t="s">
        <v>4162</v>
      </c>
      <c r="B1155" s="17" t="s">
        <v>4163</v>
      </c>
      <c r="C1155" s="17">
        <v>1</v>
      </c>
      <c r="D1155" s="1"/>
      <c r="E1155" s="1">
        <v>2150</v>
      </c>
      <c r="F1155" s="1">
        <v>2440</v>
      </c>
      <c r="G1155" s="1">
        <v>117</v>
      </c>
      <c r="H1155" s="1"/>
      <c r="I1155" s="1"/>
      <c r="J1155" s="1"/>
      <c r="K1155" s="1"/>
      <c r="L1155" s="30"/>
      <c r="M1155" s="30"/>
      <c r="N1155" s="30"/>
      <c r="O1155" s="2"/>
    </row>
    <row r="1156" spans="1:15" x14ac:dyDescent="0.2">
      <c r="A1156" s="17" t="s">
        <v>4164</v>
      </c>
      <c r="B1156" s="17" t="s">
        <v>4165</v>
      </c>
      <c r="C1156" s="17" t="s">
        <v>384</v>
      </c>
      <c r="D1156" s="1"/>
      <c r="E1156" s="1">
        <v>2150</v>
      </c>
      <c r="F1156" s="1">
        <v>2440</v>
      </c>
      <c r="G1156" s="1">
        <v>117</v>
      </c>
      <c r="H1156" s="1"/>
      <c r="I1156" s="1"/>
      <c r="J1156" s="1"/>
      <c r="K1156" s="1"/>
      <c r="L1156" s="30"/>
      <c r="M1156" s="30"/>
      <c r="N1156" s="30"/>
      <c r="O1156" s="2"/>
    </row>
    <row r="1157" spans="1:15" x14ac:dyDescent="0.2">
      <c r="A1157" s="17" t="s">
        <v>4166</v>
      </c>
      <c r="B1157" s="17" t="s">
        <v>4167</v>
      </c>
      <c r="C1157" s="17">
        <v>15</v>
      </c>
      <c r="D1157" s="1"/>
      <c r="E1157" s="1">
        <v>2150</v>
      </c>
      <c r="F1157" s="1">
        <v>2440</v>
      </c>
      <c r="G1157" s="1">
        <v>53</v>
      </c>
      <c r="H1157" s="1"/>
      <c r="I1157" s="1"/>
      <c r="J1157" s="1"/>
      <c r="K1157" s="1"/>
      <c r="L1157" s="30"/>
      <c r="M1157" s="30"/>
      <c r="N1157" s="30"/>
      <c r="O1157" s="2"/>
    </row>
    <row r="1158" spans="1:15" x14ac:dyDescent="0.2">
      <c r="A1158" s="17" t="s">
        <v>4168</v>
      </c>
      <c r="B1158" s="17" t="s">
        <v>4169</v>
      </c>
      <c r="C1158" s="17">
        <v>15</v>
      </c>
      <c r="D1158" s="1"/>
      <c r="E1158" s="1">
        <v>2150</v>
      </c>
      <c r="F1158" s="1">
        <v>2440</v>
      </c>
      <c r="G1158" s="1">
        <v>53</v>
      </c>
      <c r="H1158" s="1"/>
      <c r="I1158" s="1"/>
      <c r="J1158" s="1"/>
      <c r="K1158" s="1"/>
      <c r="L1158" s="30"/>
      <c r="M1158" s="30"/>
      <c r="N1158" s="30"/>
      <c r="O1158" s="2"/>
    </row>
    <row r="1159" spans="1:15" x14ac:dyDescent="0.2">
      <c r="A1159" s="17" t="s">
        <v>4170</v>
      </c>
      <c r="B1159" s="17" t="s">
        <v>4171</v>
      </c>
      <c r="C1159" s="17">
        <v>15</v>
      </c>
      <c r="D1159" s="1"/>
      <c r="E1159" s="1">
        <v>2150</v>
      </c>
      <c r="F1159" s="1">
        <v>2440</v>
      </c>
      <c r="G1159" s="1">
        <v>53</v>
      </c>
      <c r="H1159" s="1"/>
      <c r="I1159" s="1"/>
      <c r="J1159" s="1"/>
      <c r="K1159" s="1"/>
      <c r="L1159" s="30"/>
      <c r="M1159" s="30"/>
      <c r="N1159" s="30"/>
      <c r="O1159" s="2"/>
    </row>
    <row r="1160" spans="1:15" x14ac:dyDescent="0.2">
      <c r="A1160" s="17" t="s">
        <v>4172</v>
      </c>
      <c r="B1160" s="17" t="s">
        <v>4173</v>
      </c>
      <c r="C1160" s="17">
        <v>18</v>
      </c>
      <c r="D1160" s="1"/>
      <c r="E1160" s="1">
        <v>2150</v>
      </c>
      <c r="F1160" s="1">
        <v>2440</v>
      </c>
      <c r="G1160" s="1">
        <v>117</v>
      </c>
      <c r="H1160" s="1"/>
      <c r="I1160" s="1"/>
      <c r="J1160" s="1"/>
      <c r="K1160" s="1"/>
      <c r="L1160" s="30"/>
      <c r="M1160" s="30"/>
      <c r="N1160" s="30"/>
      <c r="O1160" s="2"/>
    </row>
    <row r="1161" spans="1:15" x14ac:dyDescent="0.2">
      <c r="A1161" s="17" t="s">
        <v>4174</v>
      </c>
      <c r="B1161" s="17" t="s">
        <v>4175</v>
      </c>
      <c r="C1161" s="17">
        <v>18</v>
      </c>
      <c r="D1161" s="1"/>
      <c r="E1161" s="1">
        <v>1860</v>
      </c>
      <c r="F1161" s="1">
        <v>2750</v>
      </c>
      <c r="G1161" s="1">
        <v>60</v>
      </c>
      <c r="H1161" s="1"/>
      <c r="I1161" s="1"/>
      <c r="J1161" s="1"/>
      <c r="K1161" s="1"/>
      <c r="L1161" s="30"/>
      <c r="M1161" s="30"/>
      <c r="N1161" s="30"/>
      <c r="O1161" s="2"/>
    </row>
    <row r="1162" spans="1:15" x14ac:dyDescent="0.2">
      <c r="A1162" s="17" t="s">
        <v>4176</v>
      </c>
      <c r="B1162" s="17" t="s">
        <v>4177</v>
      </c>
      <c r="C1162" s="17">
        <v>15</v>
      </c>
      <c r="D1162" s="1"/>
      <c r="E1162" s="1">
        <v>2150</v>
      </c>
      <c r="F1162" s="1">
        <v>2440</v>
      </c>
      <c r="G1162" s="1">
        <v>53</v>
      </c>
      <c r="H1162" s="1"/>
      <c r="I1162" s="1"/>
      <c r="J1162" s="1"/>
      <c r="K1162" s="1"/>
      <c r="L1162" s="17"/>
      <c r="M1162" s="17"/>
      <c r="N1162" s="17"/>
      <c r="O1162" s="2"/>
    </row>
    <row r="1163" spans="1:15" x14ac:dyDescent="0.2">
      <c r="A1163" s="17" t="s">
        <v>4178</v>
      </c>
      <c r="B1163" s="17" t="s">
        <v>125</v>
      </c>
      <c r="C1163" s="17">
        <v>18</v>
      </c>
      <c r="D1163" s="1"/>
      <c r="E1163" s="1">
        <v>1860</v>
      </c>
      <c r="F1163" s="1">
        <v>2750</v>
      </c>
      <c r="G1163" s="1">
        <v>60</v>
      </c>
      <c r="H1163" s="1"/>
      <c r="I1163" s="1"/>
      <c r="J1163" s="1"/>
      <c r="K1163" s="1"/>
      <c r="L1163" s="17"/>
      <c r="M1163" s="17"/>
      <c r="N1163" s="17"/>
      <c r="O1163" s="2"/>
    </row>
    <row r="1164" spans="1:15" x14ac:dyDescent="0.2">
      <c r="A1164" s="17" t="s">
        <v>4179</v>
      </c>
      <c r="B1164" s="17" t="s">
        <v>4180</v>
      </c>
      <c r="C1164" s="17">
        <v>6</v>
      </c>
      <c r="D1164" s="1"/>
      <c r="E1164" s="1">
        <v>2150</v>
      </c>
      <c r="F1164" s="1">
        <v>2440</v>
      </c>
      <c r="G1164" s="1">
        <v>23</v>
      </c>
      <c r="H1164" s="1"/>
      <c r="I1164" s="1"/>
      <c r="J1164" s="1"/>
      <c r="K1164" s="1"/>
      <c r="L1164" s="30"/>
      <c r="M1164" s="30"/>
      <c r="N1164" s="30"/>
      <c r="O1164" s="2"/>
    </row>
    <row r="1165" spans="1:15" x14ac:dyDescent="0.2">
      <c r="A1165" s="17" t="s">
        <v>4181</v>
      </c>
      <c r="B1165" s="17" t="s">
        <v>4182</v>
      </c>
      <c r="C1165" s="17">
        <v>25</v>
      </c>
      <c r="D1165" s="1"/>
      <c r="E1165" s="1">
        <v>1220</v>
      </c>
      <c r="F1165" s="1">
        <v>2440</v>
      </c>
      <c r="G1165" s="1">
        <v>47</v>
      </c>
      <c r="H1165" s="1"/>
      <c r="I1165" s="1"/>
      <c r="J1165" s="1"/>
      <c r="K1165" s="1"/>
      <c r="L1165" s="30"/>
      <c r="M1165" s="30"/>
      <c r="N1165" s="30"/>
      <c r="O1165" s="2"/>
    </row>
    <row r="1166" spans="1:15" x14ac:dyDescent="0.2">
      <c r="A1166" s="17" t="s">
        <v>4183</v>
      </c>
      <c r="B1166" s="17" t="s">
        <v>4184</v>
      </c>
      <c r="C1166" s="17">
        <v>18</v>
      </c>
      <c r="D1166" s="1"/>
      <c r="E1166" s="1">
        <v>2150</v>
      </c>
      <c r="F1166" s="1">
        <v>2440</v>
      </c>
      <c r="G1166" s="1">
        <v>61</v>
      </c>
      <c r="H1166" s="1"/>
      <c r="I1166" s="1"/>
      <c r="J1166" s="1"/>
      <c r="K1166" s="1"/>
      <c r="L1166" s="30"/>
      <c r="M1166" s="30"/>
      <c r="N1166" s="30"/>
      <c r="O1166" s="2"/>
    </row>
    <row r="1167" spans="1:15" x14ac:dyDescent="0.2">
      <c r="A1167" s="17" t="s">
        <v>4185</v>
      </c>
      <c r="B1167" s="17" t="s">
        <v>4186</v>
      </c>
      <c r="C1167" s="17">
        <v>15</v>
      </c>
      <c r="D1167" s="1"/>
      <c r="E1167" s="1">
        <v>1220</v>
      </c>
      <c r="F1167" s="1">
        <v>2440</v>
      </c>
      <c r="G1167" s="1">
        <v>29</v>
      </c>
      <c r="H1167" s="1"/>
      <c r="I1167" s="1"/>
      <c r="J1167" s="1"/>
      <c r="K1167" s="1"/>
      <c r="L1167" s="30"/>
      <c r="M1167" s="30"/>
      <c r="N1167" s="30"/>
      <c r="O1167" s="2"/>
    </row>
    <row r="1168" spans="1:15" x14ac:dyDescent="0.2">
      <c r="A1168" s="17" t="s">
        <v>4187</v>
      </c>
      <c r="B1168" s="17" t="s">
        <v>4188</v>
      </c>
      <c r="C1168" s="17">
        <v>12</v>
      </c>
      <c r="D1168" s="1"/>
      <c r="E1168" s="1">
        <v>1830</v>
      </c>
      <c r="F1168" s="1">
        <v>2440</v>
      </c>
      <c r="G1168" s="1">
        <v>35</v>
      </c>
      <c r="H1168" s="1"/>
      <c r="I1168" s="1"/>
      <c r="J1168" s="31"/>
      <c r="K1168" s="1"/>
      <c r="L1168" s="30"/>
      <c r="M1168" s="30"/>
      <c r="N1168" s="30"/>
      <c r="O1168" s="2"/>
    </row>
    <row r="1169" spans="1:15" x14ac:dyDescent="0.2">
      <c r="A1169" s="17" t="s">
        <v>4189</v>
      </c>
      <c r="B1169" s="17" t="s">
        <v>4190</v>
      </c>
      <c r="C1169" s="17" t="s">
        <v>528</v>
      </c>
      <c r="D1169" s="1"/>
      <c r="E1169" s="1">
        <v>2150</v>
      </c>
      <c r="F1169" s="1">
        <v>2440</v>
      </c>
      <c r="G1169" s="1">
        <v>117</v>
      </c>
      <c r="H1169" s="1"/>
      <c r="I1169" s="1"/>
      <c r="J1169" s="1"/>
      <c r="K1169" s="1"/>
      <c r="L1169" s="30"/>
      <c r="M1169" s="30"/>
      <c r="N1169" s="30"/>
      <c r="O1169" s="2"/>
    </row>
    <row r="1170" spans="1:15" x14ac:dyDescent="0.2">
      <c r="A1170" s="17" t="s">
        <v>4191</v>
      </c>
      <c r="B1170" s="17" t="s">
        <v>4192</v>
      </c>
      <c r="C1170" s="17">
        <v>15</v>
      </c>
      <c r="D1170" s="1"/>
      <c r="E1170" s="1">
        <v>2150</v>
      </c>
      <c r="F1170" s="1">
        <v>2440</v>
      </c>
      <c r="G1170" s="1">
        <v>50</v>
      </c>
      <c r="H1170" s="1"/>
      <c r="I1170" s="1"/>
      <c r="J1170" s="1"/>
      <c r="K1170" s="1"/>
      <c r="L1170" s="30"/>
      <c r="M1170" s="30"/>
      <c r="N1170" s="30"/>
      <c r="O1170" s="2"/>
    </row>
    <row r="1171" spans="1:15" x14ac:dyDescent="0.2">
      <c r="A1171" s="17" t="s">
        <v>4193</v>
      </c>
      <c r="B1171" s="17" t="s">
        <v>4194</v>
      </c>
      <c r="C1171" s="17">
        <v>15</v>
      </c>
      <c r="D1171" s="1"/>
      <c r="E1171" s="1">
        <v>2150</v>
      </c>
      <c r="F1171" s="1">
        <v>2440</v>
      </c>
      <c r="G1171" s="1">
        <v>53</v>
      </c>
      <c r="H1171" s="1"/>
      <c r="I1171" s="1"/>
      <c r="J1171" s="1"/>
      <c r="K1171" s="11"/>
      <c r="L1171" s="30"/>
      <c r="M1171" s="30"/>
      <c r="N1171" s="30"/>
      <c r="O1171" s="2"/>
    </row>
    <row r="1172" spans="1:15" x14ac:dyDescent="0.2">
      <c r="A1172" s="17" t="s">
        <v>4195</v>
      </c>
      <c r="B1172" s="17" t="s">
        <v>4196</v>
      </c>
      <c r="C1172" s="17" t="s">
        <v>4197</v>
      </c>
      <c r="D1172" s="1"/>
      <c r="E1172" s="1">
        <v>2150</v>
      </c>
      <c r="F1172" s="1">
        <v>2440</v>
      </c>
      <c r="G1172" s="1">
        <v>117</v>
      </c>
      <c r="H1172" s="1"/>
      <c r="I1172" s="1"/>
      <c r="J1172" s="1"/>
      <c r="K1172" s="11"/>
      <c r="L1172" s="30"/>
      <c r="M1172" s="30"/>
      <c r="N1172" s="30"/>
      <c r="O1172" s="2"/>
    </row>
    <row r="1173" spans="1:15" x14ac:dyDescent="0.2">
      <c r="A1173" s="17" t="s">
        <v>4069</v>
      </c>
      <c r="B1173" s="17" t="s">
        <v>4070</v>
      </c>
      <c r="C1173" s="17">
        <v>30</v>
      </c>
      <c r="D1173" s="11"/>
      <c r="E1173" s="1">
        <v>2150</v>
      </c>
      <c r="F1173" s="1">
        <v>2440</v>
      </c>
      <c r="G1173" s="1">
        <v>117</v>
      </c>
      <c r="H1173" s="1"/>
      <c r="I1173" s="1"/>
      <c r="J1173" s="1"/>
      <c r="K1173" s="11"/>
      <c r="L1173" s="30"/>
      <c r="M1173" s="30"/>
      <c r="N1173" s="30"/>
      <c r="O1173" s="2"/>
    </row>
    <row r="1174" spans="1:15" x14ac:dyDescent="0.2">
      <c r="A1174" s="17" t="s">
        <v>4071</v>
      </c>
      <c r="B1174" s="17" t="s">
        <v>4072</v>
      </c>
      <c r="C1174" s="17">
        <v>30</v>
      </c>
      <c r="D1174" s="11"/>
      <c r="E1174" s="1">
        <v>2150</v>
      </c>
      <c r="F1174" s="1">
        <v>2440</v>
      </c>
      <c r="G1174" s="1">
        <v>117</v>
      </c>
      <c r="H1174" s="1"/>
      <c r="I1174" s="1"/>
      <c r="J1174" s="1"/>
      <c r="K1174" s="11"/>
      <c r="L1174" s="30"/>
      <c r="M1174" s="30"/>
      <c r="N1174" s="30"/>
      <c r="O1174" s="2"/>
    </row>
    <row r="1175" spans="1:15" x14ac:dyDescent="0.2">
      <c r="A1175" s="17" t="s">
        <v>4073</v>
      </c>
      <c r="B1175" s="17" t="s">
        <v>4074</v>
      </c>
      <c r="C1175" s="17">
        <v>15</v>
      </c>
      <c r="D1175" s="11"/>
      <c r="E1175" s="1">
        <v>2150</v>
      </c>
      <c r="F1175" s="1">
        <v>2440</v>
      </c>
      <c r="G1175" s="1">
        <v>117</v>
      </c>
      <c r="H1175" s="1"/>
      <c r="I1175" s="1"/>
      <c r="J1175" s="1"/>
      <c r="K1175" s="11"/>
      <c r="L1175" s="30"/>
      <c r="M1175" s="30"/>
      <c r="N1175" s="30"/>
      <c r="O1175" s="2"/>
    </row>
    <row r="1176" spans="1:15" x14ac:dyDescent="0.2">
      <c r="A1176" s="17" t="s">
        <v>4075</v>
      </c>
      <c r="B1176" s="17" t="s">
        <v>4076</v>
      </c>
      <c r="C1176" s="17">
        <v>8</v>
      </c>
      <c r="D1176" s="11"/>
      <c r="E1176" s="1">
        <v>2150</v>
      </c>
      <c r="F1176" s="1">
        <v>2440</v>
      </c>
      <c r="G1176" s="1">
        <v>117</v>
      </c>
      <c r="H1176" s="1"/>
      <c r="I1176" s="1"/>
      <c r="J1176" s="1"/>
      <c r="K1176" s="11"/>
      <c r="L1176" s="30"/>
      <c r="M1176" s="30"/>
      <c r="N1176" s="30"/>
      <c r="O1176" s="2"/>
    </row>
    <row r="1177" spans="1:15" x14ac:dyDescent="0.2">
      <c r="A1177" s="17" t="s">
        <v>4077</v>
      </c>
      <c r="B1177" s="17" t="s">
        <v>4078</v>
      </c>
      <c r="C1177" s="17">
        <v>30</v>
      </c>
      <c r="D1177" s="11"/>
      <c r="E1177" s="1">
        <v>2150</v>
      </c>
      <c r="F1177" s="1">
        <v>2440</v>
      </c>
      <c r="G1177" s="1">
        <v>117</v>
      </c>
      <c r="H1177" s="1"/>
      <c r="I1177" s="1"/>
      <c r="J1177" s="1"/>
      <c r="K1177" s="11"/>
      <c r="L1177" s="30"/>
      <c r="M1177" s="30"/>
      <c r="N1177" s="30"/>
      <c r="O1177" s="2"/>
    </row>
    <row r="1178" spans="1:15" x14ac:dyDescent="0.2">
      <c r="A1178" s="17" t="s">
        <v>4079</v>
      </c>
      <c r="B1178" s="17" t="s">
        <v>4080</v>
      </c>
      <c r="C1178" s="17">
        <v>15</v>
      </c>
      <c r="D1178" s="11"/>
      <c r="E1178" s="1">
        <v>2150</v>
      </c>
      <c r="F1178" s="1">
        <v>2440</v>
      </c>
      <c r="G1178" s="1">
        <v>117</v>
      </c>
      <c r="H1178" s="1"/>
      <c r="I1178" s="1"/>
      <c r="J1178" s="1"/>
      <c r="K1178" s="11"/>
      <c r="L1178" s="30"/>
      <c r="M1178" s="30"/>
      <c r="N1178" s="30"/>
      <c r="O1178" s="25"/>
    </row>
    <row r="1179" spans="1:15" x14ac:dyDescent="0.2">
      <c r="A1179" s="17" t="s">
        <v>4081</v>
      </c>
      <c r="B1179" s="17" t="s">
        <v>4082</v>
      </c>
      <c r="C1179" s="17">
        <v>18</v>
      </c>
      <c r="D1179" s="11"/>
      <c r="E1179" s="1">
        <v>2150</v>
      </c>
      <c r="F1179" s="1">
        <v>2440</v>
      </c>
      <c r="G1179" s="1">
        <v>117</v>
      </c>
      <c r="H1179" s="1"/>
      <c r="I1179" s="1"/>
      <c r="J1179" s="1"/>
      <c r="K1179" s="11"/>
      <c r="L1179" s="30"/>
      <c r="M1179" s="30"/>
      <c r="N1179" s="30"/>
      <c r="O1179" s="2"/>
    </row>
    <row r="1180" spans="1:15" x14ac:dyDescent="0.2">
      <c r="A1180" s="17" t="s">
        <v>4083</v>
      </c>
      <c r="B1180" s="17" t="s">
        <v>4084</v>
      </c>
      <c r="C1180" s="17">
        <v>30</v>
      </c>
      <c r="D1180" s="11"/>
      <c r="E1180" s="1">
        <v>2150</v>
      </c>
      <c r="F1180" s="1">
        <v>2440</v>
      </c>
      <c r="G1180" s="1">
        <v>117</v>
      </c>
      <c r="H1180" s="1"/>
      <c r="I1180" s="1"/>
      <c r="J1180" s="1"/>
      <c r="K1180" s="11"/>
      <c r="L1180" s="30"/>
      <c r="M1180" s="30"/>
      <c r="N1180" s="30"/>
      <c r="O1180" s="2"/>
    </row>
    <row r="1181" spans="1:15" x14ac:dyDescent="0.2">
      <c r="A1181" s="17" t="s">
        <v>4085</v>
      </c>
      <c r="B1181" s="17" t="s">
        <v>4086</v>
      </c>
      <c r="C1181" s="17">
        <v>15</v>
      </c>
      <c r="D1181" s="11"/>
      <c r="E1181" s="1">
        <v>2150</v>
      </c>
      <c r="F1181" s="1">
        <v>2440</v>
      </c>
      <c r="G1181" s="1">
        <v>117</v>
      </c>
      <c r="H1181" s="1"/>
      <c r="I1181" s="1"/>
      <c r="J1181" s="1"/>
      <c r="K1181" s="11"/>
      <c r="L1181" s="30"/>
      <c r="M1181" s="30"/>
      <c r="N1181" s="30"/>
      <c r="O1181" s="2"/>
    </row>
    <row r="1182" spans="1:15" x14ac:dyDescent="0.2">
      <c r="A1182" s="17" t="s">
        <v>4087</v>
      </c>
      <c r="B1182" s="17" t="s">
        <v>4088</v>
      </c>
      <c r="C1182" s="17">
        <v>9</v>
      </c>
      <c r="D1182" s="11"/>
      <c r="E1182" s="1">
        <v>2150</v>
      </c>
      <c r="F1182" s="1">
        <v>2440</v>
      </c>
      <c r="G1182" s="1">
        <v>117</v>
      </c>
      <c r="H1182" s="1"/>
      <c r="I1182" s="1"/>
      <c r="J1182" s="1"/>
      <c r="K1182" s="11"/>
      <c r="L1182" s="30"/>
      <c r="M1182" s="30"/>
      <c r="N1182" s="30"/>
      <c r="O1182" s="2"/>
    </row>
    <row r="1183" spans="1:15" x14ac:dyDescent="0.2">
      <c r="A1183" s="17" t="s">
        <v>4089</v>
      </c>
      <c r="B1183" s="17" t="s">
        <v>4090</v>
      </c>
      <c r="C1183" s="17">
        <v>12</v>
      </c>
      <c r="D1183" s="11"/>
      <c r="E1183" s="1">
        <v>1220</v>
      </c>
      <c r="F1183" s="1">
        <v>2440</v>
      </c>
      <c r="G1183" s="1">
        <v>24</v>
      </c>
      <c r="H1183" s="1"/>
      <c r="I1183" s="1"/>
      <c r="J1183" s="1"/>
      <c r="K1183" s="11"/>
      <c r="L1183" s="30"/>
      <c r="M1183" s="30"/>
      <c r="N1183" s="30"/>
      <c r="O1183" s="2"/>
    </row>
    <row r="1184" spans="1:15" x14ac:dyDescent="0.2">
      <c r="A1184" s="17" t="s">
        <v>4089</v>
      </c>
      <c r="B1184" s="17" t="s">
        <v>4090</v>
      </c>
      <c r="C1184" s="17">
        <v>12</v>
      </c>
      <c r="D1184" s="11"/>
      <c r="E1184" s="1">
        <v>1220</v>
      </c>
      <c r="F1184" s="1">
        <v>2440</v>
      </c>
      <c r="G1184" s="1">
        <v>24</v>
      </c>
      <c r="H1184" s="1"/>
      <c r="I1184" s="1"/>
      <c r="J1184" s="1"/>
      <c r="K1184" s="11"/>
      <c r="L1184" s="30"/>
      <c r="M1184" s="30"/>
      <c r="N1184" s="30"/>
      <c r="O1184" s="2"/>
    </row>
    <row r="1185" spans="1:15" x14ac:dyDescent="0.2">
      <c r="A1185" s="26" t="s">
        <v>4091</v>
      </c>
      <c r="B1185" s="26" t="s">
        <v>4092</v>
      </c>
      <c r="C1185" s="26">
        <v>15</v>
      </c>
      <c r="D1185" s="11"/>
      <c r="E1185" s="1">
        <v>1220</v>
      </c>
      <c r="F1185" s="1">
        <v>2440</v>
      </c>
      <c r="G1185" s="1">
        <v>29</v>
      </c>
      <c r="H1185" s="1"/>
      <c r="I1185" s="1"/>
      <c r="J1185" s="1"/>
      <c r="K1185" s="11"/>
      <c r="L1185" s="30"/>
      <c r="M1185" s="30"/>
      <c r="N1185" s="30"/>
      <c r="O1185" s="2"/>
    </row>
    <row r="1186" spans="1:15" x14ac:dyDescent="0.2">
      <c r="A1186" s="17" t="s">
        <v>4093</v>
      </c>
      <c r="B1186" s="17" t="s">
        <v>4094</v>
      </c>
      <c r="C1186" s="17">
        <v>18</v>
      </c>
      <c r="D1186" s="11"/>
      <c r="E1186" s="1">
        <v>1220</v>
      </c>
      <c r="F1186" s="1">
        <v>2440</v>
      </c>
      <c r="G1186" s="1">
        <v>35</v>
      </c>
      <c r="H1186" s="1"/>
      <c r="I1186" s="1"/>
      <c r="J1186" s="1"/>
      <c r="K1186" s="11"/>
      <c r="L1186" s="30"/>
      <c r="M1186" s="30"/>
      <c r="N1186" s="30"/>
      <c r="O1186" s="2"/>
    </row>
    <row r="1187" spans="1:15" x14ac:dyDescent="0.2">
      <c r="A1187" s="17" t="s">
        <v>4093</v>
      </c>
      <c r="B1187" s="17" t="s">
        <v>4094</v>
      </c>
      <c r="C1187" s="17">
        <v>18</v>
      </c>
      <c r="D1187" s="11"/>
      <c r="E1187" s="1">
        <v>1220</v>
      </c>
      <c r="F1187" s="1">
        <v>2440</v>
      </c>
      <c r="G1187" s="1">
        <v>35</v>
      </c>
      <c r="H1187" s="1"/>
      <c r="I1187" s="1"/>
      <c r="J1187" s="1"/>
      <c r="K1187" s="11"/>
      <c r="L1187" s="30"/>
      <c r="M1187" s="30"/>
      <c r="N1187" s="30"/>
      <c r="O1187" s="2"/>
    </row>
    <row r="1188" spans="1:15" x14ac:dyDescent="0.2">
      <c r="A1188" s="17" t="s">
        <v>4095</v>
      </c>
      <c r="B1188" s="17" t="s">
        <v>4096</v>
      </c>
      <c r="C1188" s="17">
        <v>9</v>
      </c>
      <c r="D1188" s="11"/>
      <c r="E1188" s="1">
        <v>1220</v>
      </c>
      <c r="F1188" s="1">
        <v>2440</v>
      </c>
      <c r="G1188" s="1">
        <v>19</v>
      </c>
      <c r="H1188" s="11"/>
      <c r="I1188" s="11"/>
      <c r="J1188" s="11"/>
      <c r="K1188" s="11"/>
      <c r="L1188" s="30"/>
      <c r="M1188" s="30"/>
      <c r="N1188" s="30"/>
      <c r="O1188" s="2"/>
    </row>
    <row r="1189" spans="1:15" x14ac:dyDescent="0.2">
      <c r="A1189" s="17" t="s">
        <v>4095</v>
      </c>
      <c r="B1189" s="17" t="s">
        <v>4096</v>
      </c>
      <c r="C1189" s="17">
        <v>9</v>
      </c>
      <c r="D1189" s="11"/>
      <c r="E1189" s="1">
        <v>1220</v>
      </c>
      <c r="F1189" s="1">
        <v>2440</v>
      </c>
      <c r="G1189" s="1">
        <v>19</v>
      </c>
      <c r="H1189" s="11"/>
      <c r="I1189" s="11"/>
      <c r="J1189" s="11"/>
      <c r="K1189" s="11"/>
      <c r="L1189" s="30"/>
      <c r="M1189" s="30"/>
      <c r="N1189" s="30"/>
      <c r="O1189" s="2"/>
    </row>
    <row r="1190" spans="1:15" x14ac:dyDescent="0.2">
      <c r="A1190" s="17" t="s">
        <v>4099</v>
      </c>
      <c r="B1190" s="17" t="s">
        <v>4100</v>
      </c>
      <c r="C1190" s="17">
        <v>15</v>
      </c>
      <c r="D1190" s="11"/>
      <c r="E1190" s="1">
        <v>1220</v>
      </c>
      <c r="F1190" s="1">
        <v>2440</v>
      </c>
      <c r="G1190" s="1">
        <v>29</v>
      </c>
      <c r="H1190" s="11"/>
      <c r="I1190" s="11"/>
      <c r="J1190" s="11"/>
      <c r="K1190" s="11"/>
      <c r="L1190" s="30"/>
      <c r="M1190" s="30"/>
      <c r="N1190" s="30"/>
      <c r="O1190" s="2"/>
    </row>
    <row r="1191" spans="1:15" x14ac:dyDescent="0.2">
      <c r="A1191" s="17" t="s">
        <v>4101</v>
      </c>
      <c r="B1191" s="17" t="s">
        <v>4102</v>
      </c>
      <c r="C1191" s="17">
        <v>18</v>
      </c>
      <c r="D1191" s="11"/>
      <c r="E1191" s="1">
        <v>1220</v>
      </c>
      <c r="F1191" s="1">
        <v>2440</v>
      </c>
      <c r="G1191" s="1">
        <v>35</v>
      </c>
      <c r="H1191" s="11"/>
      <c r="I1191" s="11"/>
      <c r="J1191" s="11"/>
      <c r="K1191" s="11"/>
      <c r="L1191" s="30"/>
      <c r="M1191" s="30"/>
      <c r="N1191" s="30"/>
      <c r="O1191" s="2"/>
    </row>
    <row r="1192" spans="1:15" x14ac:dyDescent="0.2">
      <c r="A1192" s="17" t="s">
        <v>4103</v>
      </c>
      <c r="B1192" s="17" t="s">
        <v>4104</v>
      </c>
      <c r="C1192" s="17">
        <v>9</v>
      </c>
      <c r="D1192" s="11"/>
      <c r="E1192" s="1">
        <v>2150</v>
      </c>
      <c r="F1192" s="1">
        <v>2440</v>
      </c>
      <c r="G1192" s="1">
        <v>117</v>
      </c>
      <c r="H1192" s="11"/>
      <c r="I1192" s="11"/>
      <c r="J1192" s="11"/>
      <c r="K1192" s="11"/>
      <c r="L1192" s="30"/>
      <c r="M1192" s="30"/>
      <c r="N1192" s="30"/>
      <c r="O1192" s="2"/>
    </row>
    <row r="1193" spans="1:15" x14ac:dyDescent="0.2">
      <c r="A1193" s="17" t="s">
        <v>4103</v>
      </c>
      <c r="B1193" s="17" t="s">
        <v>4104</v>
      </c>
      <c r="C1193" s="17">
        <v>9</v>
      </c>
      <c r="D1193" s="11"/>
      <c r="E1193" s="1">
        <v>2150</v>
      </c>
      <c r="F1193" s="1">
        <v>2440</v>
      </c>
      <c r="G1193" s="1">
        <v>117</v>
      </c>
      <c r="H1193" s="11"/>
      <c r="I1193" s="11"/>
      <c r="J1193" s="11"/>
      <c r="K1193" s="11"/>
      <c r="L1193" s="30"/>
      <c r="M1193" s="30"/>
      <c r="N1193" s="30"/>
      <c r="O1193" s="25"/>
    </row>
    <row r="1194" spans="1:15" x14ac:dyDescent="0.2">
      <c r="A1194" s="17" t="s">
        <v>4105</v>
      </c>
      <c r="B1194" s="17" t="s">
        <v>4106</v>
      </c>
      <c r="C1194" s="17">
        <v>12</v>
      </c>
      <c r="D1194" s="11"/>
      <c r="E1194" s="1">
        <v>2150</v>
      </c>
      <c r="F1194" s="1">
        <v>2440</v>
      </c>
      <c r="G1194" s="1">
        <v>117</v>
      </c>
      <c r="H1194" s="11"/>
      <c r="I1194" s="11"/>
      <c r="J1194" s="11"/>
      <c r="K1194" s="11"/>
      <c r="L1194" s="30"/>
      <c r="M1194" s="30"/>
      <c r="N1194" s="30"/>
      <c r="O1194" s="25"/>
    </row>
    <row r="1195" spans="1:15" x14ac:dyDescent="0.2">
      <c r="A1195" s="17" t="s">
        <v>4107</v>
      </c>
      <c r="B1195" s="17" t="s">
        <v>4108</v>
      </c>
      <c r="C1195" s="17">
        <v>6.5</v>
      </c>
      <c r="D1195" s="11"/>
      <c r="E1195" s="1">
        <v>1220</v>
      </c>
      <c r="F1195" s="1">
        <v>2440</v>
      </c>
      <c r="G1195" s="1">
        <v>13</v>
      </c>
      <c r="H1195" s="11"/>
      <c r="I1195" s="11"/>
      <c r="J1195" s="11"/>
      <c r="K1195" s="11"/>
      <c r="L1195" s="30"/>
      <c r="M1195" s="30"/>
      <c r="N1195" s="30"/>
      <c r="O1195" s="25"/>
    </row>
    <row r="1196" spans="1:15" x14ac:dyDescent="0.2">
      <c r="A1196" s="17" t="s">
        <v>4109</v>
      </c>
      <c r="B1196" s="17" t="s">
        <v>4110</v>
      </c>
      <c r="C1196" s="17">
        <v>9</v>
      </c>
      <c r="D1196" s="11"/>
      <c r="E1196" s="1">
        <v>2150</v>
      </c>
      <c r="F1196" s="1">
        <v>2440</v>
      </c>
      <c r="G1196" s="1">
        <v>117</v>
      </c>
      <c r="H1196" s="11"/>
      <c r="I1196" s="11"/>
      <c r="J1196" s="11"/>
      <c r="K1196" s="11"/>
      <c r="L1196" s="30"/>
      <c r="M1196" s="30"/>
      <c r="N1196" s="30"/>
      <c r="O1196" s="25"/>
    </row>
    <row r="1197" spans="1:15" x14ac:dyDescent="0.2">
      <c r="A1197" s="17" t="s">
        <v>4109</v>
      </c>
      <c r="B1197" s="17" t="s">
        <v>4198</v>
      </c>
      <c r="C1197" s="17">
        <v>9</v>
      </c>
      <c r="D1197" s="11"/>
      <c r="E1197" s="1">
        <v>1220</v>
      </c>
      <c r="F1197" s="1">
        <v>2440</v>
      </c>
      <c r="G1197" s="1">
        <v>19</v>
      </c>
      <c r="H1197" s="11"/>
      <c r="I1197" s="11"/>
      <c r="J1197" s="11"/>
      <c r="K1197" s="11"/>
      <c r="L1197" s="30"/>
      <c r="M1197" s="30"/>
      <c r="N1197" s="30"/>
      <c r="O1197" s="25"/>
    </row>
    <row r="1198" spans="1:15" x14ac:dyDescent="0.2">
      <c r="A1198" s="17" t="s">
        <v>4111</v>
      </c>
      <c r="B1198" s="17" t="s">
        <v>4112</v>
      </c>
      <c r="C1198" s="17">
        <v>12</v>
      </c>
      <c r="D1198" s="11"/>
      <c r="E1198" s="1">
        <v>1220</v>
      </c>
      <c r="F1198" s="1">
        <v>2440</v>
      </c>
      <c r="G1198" s="1">
        <v>24</v>
      </c>
      <c r="H1198" s="11"/>
      <c r="I1198" s="11"/>
      <c r="J1198" s="11"/>
      <c r="K1198" s="11"/>
      <c r="L1198" s="30"/>
      <c r="M1198" s="30"/>
      <c r="N1198" s="30"/>
      <c r="O1198" s="25"/>
    </row>
    <row r="1199" spans="1:15" x14ac:dyDescent="0.2">
      <c r="A1199" s="17" t="s">
        <v>4113</v>
      </c>
      <c r="B1199" s="17" t="s">
        <v>4114</v>
      </c>
      <c r="C1199" s="17">
        <v>15</v>
      </c>
      <c r="D1199" s="11"/>
      <c r="E1199" s="1">
        <v>1220</v>
      </c>
      <c r="F1199" s="1">
        <v>2440</v>
      </c>
      <c r="G1199" s="1">
        <v>29</v>
      </c>
      <c r="H1199" s="11"/>
      <c r="I1199" s="11"/>
      <c r="J1199" s="11"/>
      <c r="K1199" s="11"/>
      <c r="L1199" s="30"/>
      <c r="M1199" s="30"/>
      <c r="N1199" s="30"/>
      <c r="O1199" s="25"/>
    </row>
    <row r="1200" spans="1:15" x14ac:dyDescent="0.2">
      <c r="A1200" s="17" t="s">
        <v>4115</v>
      </c>
      <c r="B1200" s="17" t="s">
        <v>4116</v>
      </c>
      <c r="C1200" s="17">
        <v>18</v>
      </c>
      <c r="D1200" s="11"/>
      <c r="E1200" s="1">
        <v>1220</v>
      </c>
      <c r="F1200" s="1">
        <v>2440</v>
      </c>
      <c r="G1200" s="1">
        <v>35</v>
      </c>
      <c r="H1200" s="11"/>
      <c r="I1200" s="11"/>
      <c r="J1200" s="11"/>
      <c r="K1200" s="11"/>
      <c r="L1200" s="30"/>
      <c r="M1200" s="30"/>
      <c r="N1200" s="30"/>
      <c r="O1200" s="25"/>
    </row>
    <row r="1201" spans="1:15" x14ac:dyDescent="0.2">
      <c r="A1201" s="17" t="s">
        <v>4117</v>
      </c>
      <c r="B1201" s="17" t="s">
        <v>4118</v>
      </c>
      <c r="C1201" s="17">
        <v>3.6</v>
      </c>
      <c r="D1201" s="11"/>
      <c r="E1201" s="1">
        <v>1220</v>
      </c>
      <c r="F1201" s="1">
        <v>2440</v>
      </c>
      <c r="G1201" s="1">
        <v>66</v>
      </c>
      <c r="H1201" s="11"/>
      <c r="I1201" s="11"/>
      <c r="J1201" s="11"/>
      <c r="K1201" s="11"/>
      <c r="L1201" s="30"/>
      <c r="M1201" s="30"/>
      <c r="N1201" s="30"/>
      <c r="O1201" s="25"/>
    </row>
    <row r="1202" spans="1:15" x14ac:dyDescent="0.2">
      <c r="A1202" s="17" t="s">
        <v>4119</v>
      </c>
      <c r="B1202" s="17" t="s">
        <v>4120</v>
      </c>
      <c r="C1202" s="17">
        <v>12</v>
      </c>
      <c r="D1202" s="11"/>
      <c r="E1202" s="1">
        <v>2150</v>
      </c>
      <c r="F1202" s="1">
        <v>2440</v>
      </c>
      <c r="G1202" s="1">
        <v>117</v>
      </c>
      <c r="H1202" s="11"/>
      <c r="I1202" s="11"/>
      <c r="J1202" s="11"/>
      <c r="K1202" s="11"/>
      <c r="L1202" s="30"/>
      <c r="M1202" s="30"/>
      <c r="N1202" s="30"/>
      <c r="O1202" s="25"/>
    </row>
    <row r="1203" spans="1:15" x14ac:dyDescent="0.2">
      <c r="A1203" s="17" t="s">
        <v>4121</v>
      </c>
      <c r="B1203" s="17" t="s">
        <v>4122</v>
      </c>
      <c r="C1203" s="17">
        <v>15</v>
      </c>
      <c r="D1203" s="11"/>
      <c r="E1203" s="1">
        <v>2150</v>
      </c>
      <c r="F1203" s="1">
        <v>2440</v>
      </c>
      <c r="G1203" s="1">
        <v>117</v>
      </c>
      <c r="H1203" s="11"/>
      <c r="I1203" s="11"/>
      <c r="J1203" s="11"/>
      <c r="K1203" s="11"/>
      <c r="L1203" s="30"/>
      <c r="M1203" s="30"/>
      <c r="N1203" s="30"/>
      <c r="O1203" s="25"/>
    </row>
    <row r="1204" spans="1:15" x14ac:dyDescent="0.2">
      <c r="A1204" s="17" t="s">
        <v>4123</v>
      </c>
      <c r="B1204" s="17" t="s">
        <v>4124</v>
      </c>
      <c r="C1204" s="17">
        <v>9</v>
      </c>
      <c r="D1204" s="11"/>
      <c r="E1204" s="1">
        <v>1220</v>
      </c>
      <c r="F1204" s="1">
        <v>2440</v>
      </c>
      <c r="G1204" s="1">
        <v>19</v>
      </c>
      <c r="H1204" s="11"/>
      <c r="I1204" s="11"/>
      <c r="J1204" s="11"/>
      <c r="K1204" s="11"/>
      <c r="L1204" s="30"/>
      <c r="M1204" s="30"/>
      <c r="N1204" s="30"/>
      <c r="O1204" s="25"/>
    </row>
    <row r="1205" spans="1:15" x14ac:dyDescent="0.2">
      <c r="A1205" s="17" t="s">
        <v>4123</v>
      </c>
      <c r="B1205" s="17" t="s">
        <v>4124</v>
      </c>
      <c r="C1205" s="17">
        <v>9</v>
      </c>
      <c r="D1205" s="11"/>
      <c r="E1205" s="1">
        <v>1220</v>
      </c>
      <c r="F1205" s="1">
        <v>2440</v>
      </c>
      <c r="G1205" s="1">
        <v>19</v>
      </c>
      <c r="H1205" s="11"/>
      <c r="I1205" s="11"/>
      <c r="J1205" s="11"/>
      <c r="K1205" s="11"/>
      <c r="L1205" s="30"/>
      <c r="M1205" s="30"/>
      <c r="N1205" s="30"/>
      <c r="O1205" s="25"/>
    </row>
    <row r="1206" spans="1:15" x14ac:dyDescent="0.2">
      <c r="A1206" s="17" t="s">
        <v>4125</v>
      </c>
      <c r="B1206" s="17" t="s">
        <v>4126</v>
      </c>
      <c r="C1206" s="17">
        <v>12</v>
      </c>
      <c r="D1206" s="11"/>
      <c r="E1206" s="1">
        <v>1220</v>
      </c>
      <c r="F1206" s="1">
        <v>2440</v>
      </c>
      <c r="G1206" s="1">
        <v>3</v>
      </c>
      <c r="H1206" s="11"/>
      <c r="I1206" s="11"/>
      <c r="J1206" s="11"/>
      <c r="K1206" s="11"/>
      <c r="L1206" s="30"/>
      <c r="M1206" s="30"/>
      <c r="N1206" s="30"/>
      <c r="O1206" s="25"/>
    </row>
    <row r="1207" spans="1:15" x14ac:dyDescent="0.2">
      <c r="A1207" s="17" t="s">
        <v>4127</v>
      </c>
      <c r="B1207" s="17" t="s">
        <v>4128</v>
      </c>
      <c r="C1207" s="17">
        <v>15</v>
      </c>
      <c r="D1207" s="11"/>
      <c r="E1207" s="1">
        <v>1220</v>
      </c>
      <c r="F1207" s="1">
        <v>2440</v>
      </c>
      <c r="G1207" s="1">
        <v>24</v>
      </c>
      <c r="H1207" s="11"/>
      <c r="I1207" s="11"/>
      <c r="J1207" s="11"/>
      <c r="K1207" s="11"/>
      <c r="L1207" s="30"/>
      <c r="M1207" s="30"/>
      <c r="N1207" s="30"/>
      <c r="O1207" s="25"/>
    </row>
    <row r="1208" spans="1:15" x14ac:dyDescent="0.2">
      <c r="A1208" s="17" t="s">
        <v>4129</v>
      </c>
      <c r="B1208" s="17" t="s">
        <v>4130</v>
      </c>
      <c r="C1208" s="17">
        <v>18</v>
      </c>
      <c r="D1208" s="11"/>
      <c r="E1208" s="1">
        <v>1220</v>
      </c>
      <c r="F1208" s="1">
        <v>2440</v>
      </c>
      <c r="G1208" s="1">
        <v>35</v>
      </c>
      <c r="H1208" s="11"/>
      <c r="I1208" s="11"/>
      <c r="J1208" s="11"/>
      <c r="K1208" s="11"/>
      <c r="L1208" s="30"/>
      <c r="M1208" s="30"/>
      <c r="N1208" s="30"/>
      <c r="O1208" s="25"/>
    </row>
    <row r="1209" spans="1:15" x14ac:dyDescent="0.2">
      <c r="A1209" s="17" t="s">
        <v>4131</v>
      </c>
      <c r="B1209" s="17" t="s">
        <v>4132</v>
      </c>
      <c r="C1209" s="17">
        <v>3.6</v>
      </c>
      <c r="D1209" s="11"/>
      <c r="E1209" s="1">
        <v>1220</v>
      </c>
      <c r="F1209" s="1">
        <v>2440</v>
      </c>
      <c r="G1209" s="1">
        <v>66</v>
      </c>
      <c r="H1209" s="11"/>
      <c r="I1209" s="11"/>
      <c r="J1209" s="11"/>
      <c r="K1209" s="11"/>
      <c r="L1209" s="30"/>
      <c r="M1209" s="30"/>
      <c r="N1209" s="30"/>
      <c r="O1209" s="2"/>
    </row>
    <row r="1210" spans="1:15" x14ac:dyDescent="0.2">
      <c r="A1210" s="17" t="s">
        <v>3603</v>
      </c>
      <c r="B1210" s="17" t="s">
        <v>3604</v>
      </c>
      <c r="C1210" s="17">
        <v>36</v>
      </c>
      <c r="D1210" s="11"/>
      <c r="E1210" s="1">
        <v>1530</v>
      </c>
      <c r="F1210" s="1">
        <v>2440</v>
      </c>
      <c r="G1210" s="1">
        <v>83</v>
      </c>
      <c r="H1210" s="11"/>
      <c r="I1210" s="11"/>
      <c r="J1210" s="11"/>
      <c r="K1210" s="11"/>
      <c r="L1210" s="30"/>
      <c r="M1210" s="30"/>
      <c r="N1210" s="30"/>
      <c r="O1210" s="25"/>
    </row>
    <row r="1211" spans="1:15" x14ac:dyDescent="0.2">
      <c r="A1211" s="17" t="s">
        <v>4097</v>
      </c>
      <c r="B1211" s="17" t="s">
        <v>4098</v>
      </c>
      <c r="C1211" s="17">
        <v>12</v>
      </c>
      <c r="D1211" s="11"/>
      <c r="E1211" s="1">
        <v>1220</v>
      </c>
      <c r="F1211" s="1">
        <v>2440</v>
      </c>
      <c r="G1211" s="1">
        <v>24</v>
      </c>
      <c r="H1211" s="11"/>
      <c r="I1211" s="11"/>
      <c r="J1211" s="11"/>
      <c r="K1211" s="11"/>
      <c r="L1211" s="30"/>
      <c r="M1211" s="30"/>
      <c r="N1211" s="30"/>
      <c r="O1211" s="25"/>
    </row>
    <row r="1212" spans="1:15" x14ac:dyDescent="0.2">
      <c r="A1212" s="17" t="s">
        <v>3825</v>
      </c>
      <c r="B1212" s="17" t="s">
        <v>3826</v>
      </c>
      <c r="C1212" s="17" t="s">
        <v>528</v>
      </c>
      <c r="D1212" s="11"/>
      <c r="E1212" s="1">
        <v>2150</v>
      </c>
      <c r="F1212" s="1">
        <v>2440</v>
      </c>
      <c r="G1212" s="1">
        <v>117</v>
      </c>
      <c r="H1212" s="11"/>
      <c r="I1212" s="11"/>
      <c r="J1212" s="11"/>
      <c r="K1212" s="11"/>
      <c r="L1212" s="30"/>
      <c r="M1212" s="30"/>
      <c r="N1212" s="30"/>
      <c r="O1212" s="25"/>
    </row>
    <row r="1213" spans="1:15" x14ac:dyDescent="0.2">
      <c r="A1213" s="17" t="s">
        <v>4199</v>
      </c>
      <c r="B1213" s="17" t="s">
        <v>4200</v>
      </c>
      <c r="C1213" s="17">
        <v>15</v>
      </c>
      <c r="D1213" s="11"/>
      <c r="E1213" s="1">
        <v>2150</v>
      </c>
      <c r="F1213" s="1">
        <v>2440</v>
      </c>
      <c r="G1213" s="1">
        <v>53</v>
      </c>
      <c r="H1213" s="11"/>
      <c r="I1213" s="11"/>
      <c r="J1213" s="11"/>
      <c r="K1213" s="11"/>
      <c r="L1213" s="30"/>
      <c r="M1213" s="30"/>
      <c r="N1213" s="30"/>
      <c r="O1213" s="25"/>
    </row>
    <row r="1214" spans="1:15" x14ac:dyDescent="0.2">
      <c r="A1214" s="17" t="s">
        <v>3944</v>
      </c>
      <c r="B1214" s="17" t="s">
        <v>3945</v>
      </c>
      <c r="C1214" s="17">
        <v>15</v>
      </c>
      <c r="D1214" s="11"/>
      <c r="E1214" s="1">
        <v>1830</v>
      </c>
      <c r="F1214" s="1">
        <v>2440</v>
      </c>
      <c r="G1214" s="1">
        <v>41</v>
      </c>
      <c r="H1214" s="11"/>
      <c r="I1214" s="11"/>
      <c r="J1214" s="11"/>
      <c r="K1214" s="11"/>
      <c r="L1214" s="30"/>
      <c r="M1214" s="30"/>
      <c r="N1214" s="30"/>
      <c r="O1214" s="25"/>
    </row>
    <row r="1215" spans="1:15" x14ac:dyDescent="0.2">
      <c r="A1215" s="17" t="s">
        <v>4201</v>
      </c>
      <c r="B1215" s="17" t="s">
        <v>1220</v>
      </c>
      <c r="C1215" s="17" t="s">
        <v>528</v>
      </c>
      <c r="D1215" s="11"/>
      <c r="E1215" s="1">
        <v>2150</v>
      </c>
      <c r="F1215" s="1">
        <v>2440</v>
      </c>
      <c r="G1215" s="1">
        <v>117</v>
      </c>
      <c r="H1215" s="11"/>
      <c r="I1215" s="11"/>
      <c r="J1215" s="11"/>
      <c r="K1215" s="11"/>
      <c r="L1215" s="30"/>
      <c r="M1215" s="30"/>
      <c r="N1215" s="30"/>
      <c r="O1215" s="25"/>
    </row>
    <row r="1216" spans="1:15" x14ac:dyDescent="0.2">
      <c r="A1216" s="17" t="s">
        <v>3851</v>
      </c>
      <c r="B1216" s="17" t="s">
        <v>3852</v>
      </c>
      <c r="C1216" s="17" t="s">
        <v>292</v>
      </c>
      <c r="D1216" s="11"/>
      <c r="E1216" s="1">
        <v>2150</v>
      </c>
      <c r="F1216" s="1">
        <v>2440</v>
      </c>
      <c r="G1216" s="1">
        <v>117</v>
      </c>
      <c r="H1216" s="11"/>
      <c r="I1216" s="11"/>
      <c r="J1216" s="11"/>
      <c r="K1216" s="11"/>
      <c r="L1216" s="30"/>
      <c r="M1216" s="30"/>
      <c r="N1216" s="30"/>
      <c r="O1216" s="25"/>
    </row>
    <row r="1217" spans="1:15" x14ac:dyDescent="0.2">
      <c r="A1217" s="17" t="s">
        <v>3944</v>
      </c>
      <c r="B1217" s="17" t="s">
        <v>3945</v>
      </c>
      <c r="C1217" s="17">
        <v>15</v>
      </c>
      <c r="D1217" s="11"/>
      <c r="E1217" s="1">
        <v>1830</v>
      </c>
      <c r="F1217" s="1">
        <v>2440</v>
      </c>
      <c r="G1217" s="1">
        <v>41</v>
      </c>
      <c r="H1217" s="11"/>
      <c r="I1217" s="11"/>
      <c r="J1217" s="11"/>
      <c r="K1217" s="11"/>
      <c r="L1217" s="30"/>
      <c r="M1217" s="30"/>
      <c r="N1217" s="30"/>
      <c r="O1217" s="25"/>
    </row>
    <row r="1218" spans="1:15" x14ac:dyDescent="0.2">
      <c r="A1218" s="17" t="s">
        <v>4202</v>
      </c>
      <c r="B1218" s="17" t="s">
        <v>704</v>
      </c>
      <c r="C1218" s="17" t="s">
        <v>528</v>
      </c>
      <c r="D1218" s="11"/>
      <c r="E1218" s="1">
        <v>2150</v>
      </c>
      <c r="F1218" s="1">
        <v>2440</v>
      </c>
      <c r="G1218" s="1">
        <v>117</v>
      </c>
      <c r="H1218" s="11"/>
      <c r="I1218" s="11"/>
      <c r="J1218" s="11"/>
      <c r="K1218" s="11"/>
      <c r="L1218" s="30"/>
      <c r="M1218" s="30"/>
      <c r="N1218" s="30"/>
      <c r="O1218" s="25"/>
    </row>
    <row r="1219" spans="1:15" x14ac:dyDescent="0.2">
      <c r="A1219" s="17" t="s">
        <v>4203</v>
      </c>
      <c r="B1219" s="17" t="s">
        <v>4204</v>
      </c>
      <c r="C1219" s="17">
        <v>36</v>
      </c>
      <c r="D1219" s="11"/>
      <c r="E1219" s="1">
        <v>2150</v>
      </c>
      <c r="F1219" s="1">
        <v>2440</v>
      </c>
      <c r="G1219" s="1">
        <v>117</v>
      </c>
      <c r="H1219" s="11"/>
      <c r="I1219" s="11"/>
      <c r="J1219" s="11"/>
      <c r="K1219" s="11"/>
      <c r="L1219" s="30"/>
      <c r="M1219" s="30"/>
      <c r="N1219" s="30"/>
      <c r="O1219" s="25"/>
    </row>
    <row r="1220" spans="1:15" x14ac:dyDescent="0.2">
      <c r="A1220" s="17" t="s">
        <v>4205</v>
      </c>
      <c r="B1220" s="17" t="s">
        <v>4206</v>
      </c>
      <c r="C1220" s="17" t="s">
        <v>292</v>
      </c>
      <c r="D1220" s="11"/>
      <c r="E1220" s="1">
        <v>2150</v>
      </c>
      <c r="F1220" s="1">
        <v>2440</v>
      </c>
      <c r="G1220" s="1">
        <v>117</v>
      </c>
      <c r="H1220" s="11"/>
      <c r="I1220" s="11"/>
      <c r="J1220" s="11"/>
      <c r="K1220" s="11"/>
      <c r="L1220" s="30"/>
      <c r="M1220" s="30"/>
      <c r="N1220" s="30"/>
      <c r="O1220" s="25"/>
    </row>
    <row r="1221" spans="1:15" x14ac:dyDescent="0.2">
      <c r="A1221" s="17" t="s">
        <v>4207</v>
      </c>
      <c r="B1221" s="17" t="s">
        <v>4208</v>
      </c>
      <c r="C1221" s="17">
        <v>15</v>
      </c>
      <c r="D1221" s="11"/>
      <c r="E1221" s="1">
        <v>2150</v>
      </c>
      <c r="F1221" s="1">
        <v>2440</v>
      </c>
      <c r="G1221" s="1">
        <v>53</v>
      </c>
      <c r="H1221" s="11"/>
      <c r="I1221" s="11"/>
      <c r="J1221" s="11"/>
      <c r="K1221" s="11"/>
      <c r="L1221" s="30"/>
      <c r="M1221" s="30"/>
      <c r="N1221" s="30"/>
      <c r="O1221" s="25"/>
    </row>
    <row r="1222" spans="1:15" x14ac:dyDescent="0.2">
      <c r="A1222" s="17" t="s">
        <v>4209</v>
      </c>
      <c r="B1222" s="17" t="s">
        <v>4210</v>
      </c>
      <c r="C1222" s="17">
        <v>30</v>
      </c>
      <c r="D1222" s="11"/>
      <c r="E1222" s="1">
        <v>1220</v>
      </c>
      <c r="F1222" s="1">
        <v>2440</v>
      </c>
      <c r="G1222" s="1">
        <v>55</v>
      </c>
      <c r="H1222" s="11"/>
      <c r="I1222" s="11"/>
      <c r="J1222" s="11"/>
      <c r="K1222" s="11"/>
      <c r="L1222" s="30"/>
      <c r="M1222" s="30"/>
      <c r="N1222" s="30"/>
      <c r="O1222" s="25"/>
    </row>
    <row r="1223" spans="1:15" x14ac:dyDescent="0.2">
      <c r="A1223" s="17" t="s">
        <v>4211</v>
      </c>
      <c r="B1223" s="17" t="s">
        <v>4212</v>
      </c>
      <c r="C1223" s="17" t="s">
        <v>292</v>
      </c>
      <c r="D1223" s="11"/>
      <c r="E1223" s="1">
        <v>2150</v>
      </c>
      <c r="F1223" s="1">
        <v>2440</v>
      </c>
      <c r="G1223" s="1">
        <v>117</v>
      </c>
      <c r="H1223" s="11"/>
      <c r="I1223" s="11"/>
      <c r="J1223" s="11"/>
      <c r="K1223" s="11"/>
      <c r="L1223" s="30"/>
      <c r="M1223" s="30"/>
      <c r="N1223" s="30"/>
      <c r="O1223" s="25"/>
    </row>
    <row r="1224" spans="1:15" x14ac:dyDescent="0.2">
      <c r="A1224" s="17" t="s">
        <v>4213</v>
      </c>
      <c r="B1224" s="17" t="s">
        <v>4214</v>
      </c>
      <c r="C1224" s="17" t="s">
        <v>384</v>
      </c>
      <c r="D1224" s="11"/>
      <c r="E1224" s="1">
        <v>2150</v>
      </c>
      <c r="F1224" s="1">
        <v>2440</v>
      </c>
      <c r="G1224" s="1">
        <v>117</v>
      </c>
      <c r="H1224" s="11"/>
      <c r="I1224" s="11"/>
      <c r="J1224" s="11"/>
      <c r="K1224" s="11"/>
      <c r="L1224" s="30"/>
      <c r="M1224" s="30"/>
      <c r="N1224" s="30"/>
      <c r="O1224" s="25"/>
    </row>
    <row r="1225" spans="1:15" x14ac:dyDescent="0.2">
      <c r="A1225" s="17" t="s">
        <v>4215</v>
      </c>
      <c r="B1225" s="17" t="s">
        <v>4216</v>
      </c>
      <c r="C1225" s="17" t="s">
        <v>528</v>
      </c>
      <c r="D1225" s="11"/>
      <c r="E1225" s="1">
        <v>2150</v>
      </c>
      <c r="F1225" s="1">
        <v>2440</v>
      </c>
      <c r="G1225" s="1">
        <v>117</v>
      </c>
      <c r="H1225" s="11"/>
      <c r="I1225" s="11"/>
      <c r="J1225" s="11"/>
      <c r="K1225" s="11"/>
      <c r="L1225" s="30"/>
      <c r="M1225" s="30"/>
      <c r="N1225" s="30"/>
      <c r="O1225" s="25"/>
    </row>
    <row r="1226" spans="1:15" x14ac:dyDescent="0.2">
      <c r="A1226" s="17" t="s">
        <v>4217</v>
      </c>
      <c r="B1226" s="17" t="s">
        <v>4218</v>
      </c>
      <c r="C1226" s="17" t="s">
        <v>528</v>
      </c>
      <c r="D1226" s="11"/>
      <c r="E1226" s="1">
        <v>2150</v>
      </c>
      <c r="F1226" s="1">
        <v>2440</v>
      </c>
      <c r="G1226" s="1">
        <v>117</v>
      </c>
      <c r="H1226" s="11"/>
      <c r="I1226" s="11"/>
      <c r="J1226" s="11"/>
      <c r="K1226" s="11"/>
      <c r="L1226" s="30"/>
      <c r="M1226" s="30"/>
      <c r="N1226" s="30"/>
      <c r="O1226" s="25"/>
    </row>
    <row r="1227" spans="1:15" x14ac:dyDescent="0.2">
      <c r="A1227" s="17" t="s">
        <v>4219</v>
      </c>
      <c r="B1227" s="17" t="s">
        <v>1322</v>
      </c>
      <c r="C1227" s="17" t="s">
        <v>384</v>
      </c>
      <c r="D1227" s="11"/>
      <c r="E1227" s="1">
        <v>2150</v>
      </c>
      <c r="F1227" s="1">
        <v>2440</v>
      </c>
      <c r="G1227" s="1">
        <v>117</v>
      </c>
      <c r="H1227" s="11"/>
      <c r="I1227" s="11"/>
      <c r="J1227" s="11"/>
      <c r="K1227" s="11"/>
      <c r="L1227" s="30"/>
      <c r="M1227" s="30"/>
      <c r="N1227" s="30"/>
      <c r="O1227" s="25"/>
    </row>
    <row r="1228" spans="1:15" x14ac:dyDescent="0.2">
      <c r="A1228" s="17" t="s">
        <v>4220</v>
      </c>
      <c r="B1228" s="17" t="s">
        <v>4221</v>
      </c>
      <c r="C1228" s="17">
        <v>18</v>
      </c>
      <c r="D1228" s="11"/>
      <c r="E1228" s="1">
        <v>2150</v>
      </c>
      <c r="F1228" s="1">
        <v>2440</v>
      </c>
      <c r="G1228" s="1">
        <v>61</v>
      </c>
      <c r="H1228" s="11"/>
      <c r="I1228" s="11"/>
      <c r="J1228" s="11"/>
      <c r="K1228" s="11"/>
      <c r="L1228" s="30"/>
      <c r="M1228" s="30"/>
      <c r="N1228" s="30"/>
      <c r="O1228" s="25"/>
    </row>
    <row r="1229" spans="1:15" x14ac:dyDescent="0.2">
      <c r="A1229" s="17" t="s">
        <v>4222</v>
      </c>
      <c r="B1229" s="17" t="s">
        <v>4223</v>
      </c>
      <c r="C1229" s="17">
        <v>6</v>
      </c>
      <c r="D1229" s="11"/>
      <c r="E1229" s="1">
        <v>2150</v>
      </c>
      <c r="F1229" s="1">
        <v>2440</v>
      </c>
      <c r="G1229" s="1">
        <v>23</v>
      </c>
      <c r="H1229" s="11"/>
      <c r="I1229" s="11"/>
      <c r="J1229" s="11"/>
      <c r="K1229" s="11"/>
      <c r="L1229" s="30"/>
      <c r="M1229" s="30"/>
      <c r="N1229" s="30"/>
      <c r="O1229" s="25"/>
    </row>
    <row r="1230" spans="1:15" x14ac:dyDescent="0.2">
      <c r="A1230" s="17" t="s">
        <v>4224</v>
      </c>
      <c r="B1230" s="17" t="s">
        <v>4225</v>
      </c>
      <c r="C1230" s="17" t="s">
        <v>384</v>
      </c>
      <c r="D1230" s="11"/>
      <c r="E1230" s="1">
        <v>2150</v>
      </c>
      <c r="F1230" s="1">
        <v>2440</v>
      </c>
      <c r="G1230" s="1">
        <v>117</v>
      </c>
      <c r="H1230" s="11"/>
      <c r="I1230" s="11"/>
      <c r="J1230" s="11"/>
      <c r="K1230" s="11"/>
      <c r="L1230" s="30"/>
      <c r="M1230" s="30"/>
      <c r="N1230" s="30"/>
      <c r="O1230" s="25"/>
    </row>
    <row r="1231" spans="1:15" x14ac:dyDescent="0.2">
      <c r="A1231" s="17" t="s">
        <v>4226</v>
      </c>
      <c r="B1231" s="17" t="s">
        <v>4227</v>
      </c>
      <c r="C1231" s="17" t="s">
        <v>528</v>
      </c>
      <c r="D1231" s="1"/>
      <c r="E1231" s="1">
        <v>2150</v>
      </c>
      <c r="F1231" s="1">
        <v>2440</v>
      </c>
      <c r="G1231" s="1">
        <v>117</v>
      </c>
      <c r="H1231" s="11"/>
      <c r="I1231" s="11"/>
      <c r="J1231" s="11"/>
      <c r="K1231" s="11"/>
      <c r="L1231" s="30"/>
      <c r="M1231" s="30"/>
      <c r="N1231" s="30"/>
      <c r="O1231" s="25"/>
    </row>
    <row r="1232" spans="1:15" x14ac:dyDescent="0.2">
      <c r="A1232" s="17" t="s">
        <v>4228</v>
      </c>
      <c r="B1232" s="17" t="s">
        <v>4229</v>
      </c>
      <c r="C1232" s="17">
        <v>3</v>
      </c>
      <c r="D1232" s="11"/>
      <c r="E1232" s="1">
        <v>1220</v>
      </c>
      <c r="F1232" s="1">
        <v>2440</v>
      </c>
      <c r="G1232" s="1">
        <v>6</v>
      </c>
      <c r="H1232" s="11"/>
      <c r="I1232" s="11"/>
      <c r="J1232" s="11"/>
      <c r="K1232" s="11"/>
      <c r="L1232" s="30"/>
      <c r="M1232" s="30"/>
      <c r="N1232" s="30"/>
      <c r="O1232" s="2"/>
    </row>
    <row r="1233" spans="1:15" x14ac:dyDescent="0.2">
      <c r="A1233" s="17" t="s">
        <v>4230</v>
      </c>
      <c r="B1233" s="17" t="s">
        <v>4231</v>
      </c>
      <c r="C1233" s="17">
        <v>25</v>
      </c>
      <c r="D1233" s="11"/>
      <c r="E1233" s="1">
        <v>2150</v>
      </c>
      <c r="F1233" s="1">
        <v>2440</v>
      </c>
      <c r="G1233" s="1">
        <v>83</v>
      </c>
      <c r="H1233" s="11"/>
      <c r="I1233" s="11"/>
      <c r="J1233" s="11"/>
      <c r="K1233" s="11"/>
      <c r="L1233" s="30"/>
      <c r="M1233" s="30"/>
      <c r="N1233" s="30"/>
      <c r="O1233" s="25"/>
    </row>
    <row r="1234" spans="1:15" x14ac:dyDescent="0.2">
      <c r="A1234" s="17" t="s">
        <v>4232</v>
      </c>
      <c r="B1234" s="17" t="s">
        <v>4233</v>
      </c>
      <c r="C1234" s="17">
        <v>25</v>
      </c>
      <c r="D1234" s="11"/>
      <c r="E1234" s="1">
        <v>2150</v>
      </c>
      <c r="F1234" s="1">
        <v>2440</v>
      </c>
      <c r="G1234" s="1">
        <v>83</v>
      </c>
      <c r="H1234" s="11"/>
      <c r="I1234" s="11"/>
      <c r="J1234" s="11"/>
      <c r="K1234" s="11"/>
      <c r="L1234" s="30"/>
      <c r="M1234" s="30"/>
      <c r="N1234" s="30"/>
      <c r="O1234" s="25"/>
    </row>
    <row r="1235" spans="1:15" x14ac:dyDescent="0.2">
      <c r="A1235" s="17" t="s">
        <v>4234</v>
      </c>
      <c r="B1235" s="17" t="s">
        <v>4235</v>
      </c>
      <c r="C1235" s="17" t="s">
        <v>384</v>
      </c>
      <c r="D1235" s="11"/>
      <c r="E1235" s="1">
        <v>2150</v>
      </c>
      <c r="F1235" s="1">
        <v>2440</v>
      </c>
      <c r="G1235" s="1">
        <v>117</v>
      </c>
      <c r="H1235" s="11"/>
      <c r="I1235" s="11"/>
      <c r="J1235" s="11"/>
      <c r="K1235" s="11"/>
      <c r="L1235" s="30"/>
      <c r="M1235" s="30"/>
      <c r="N1235" s="30"/>
      <c r="O1235" s="25"/>
    </row>
    <row r="1236" spans="1:15" x14ac:dyDescent="0.2">
      <c r="A1236" s="17" t="s">
        <v>4236</v>
      </c>
      <c r="B1236" s="17" t="s">
        <v>4237</v>
      </c>
      <c r="C1236" s="17">
        <v>3</v>
      </c>
      <c r="D1236" s="11"/>
      <c r="E1236" s="1">
        <v>1220</v>
      </c>
      <c r="F1236" s="1">
        <v>2440</v>
      </c>
      <c r="G1236" s="1">
        <v>6</v>
      </c>
      <c r="H1236" s="11"/>
      <c r="I1236" s="11"/>
      <c r="J1236" s="11"/>
      <c r="K1236" s="11"/>
      <c r="L1236" s="30"/>
      <c r="M1236" s="30"/>
      <c r="N1236" s="30"/>
      <c r="O1236" s="25"/>
    </row>
    <row r="1237" spans="1:15" x14ac:dyDescent="0.2">
      <c r="A1237" s="17" t="s">
        <v>4238</v>
      </c>
      <c r="B1237" s="17" t="s">
        <v>4239</v>
      </c>
      <c r="C1237" s="17" t="s">
        <v>292</v>
      </c>
      <c r="D1237" s="11"/>
      <c r="E1237" s="1">
        <v>2150</v>
      </c>
      <c r="F1237" s="1">
        <v>2440</v>
      </c>
      <c r="G1237" s="1">
        <v>117</v>
      </c>
      <c r="H1237" s="11"/>
      <c r="I1237" s="11"/>
      <c r="J1237" s="11"/>
      <c r="K1237" s="11"/>
      <c r="L1237" s="17"/>
      <c r="M1237" s="17"/>
      <c r="N1237" s="17"/>
      <c r="O1237" s="25"/>
    </row>
    <row r="1238" spans="1:15" x14ac:dyDescent="0.2">
      <c r="A1238" s="17" t="s">
        <v>4240</v>
      </c>
      <c r="B1238" s="17" t="s">
        <v>4241</v>
      </c>
      <c r="C1238" s="17">
        <v>15</v>
      </c>
      <c r="D1238" s="11"/>
      <c r="E1238" s="1">
        <v>2150</v>
      </c>
      <c r="F1238" s="1">
        <v>2440</v>
      </c>
      <c r="G1238" s="1">
        <v>53</v>
      </c>
      <c r="H1238" s="11"/>
      <c r="I1238" s="11"/>
      <c r="J1238" s="11"/>
      <c r="K1238" s="11"/>
      <c r="L1238" s="30"/>
      <c r="M1238" s="30"/>
      <c r="N1238" s="30"/>
      <c r="O1238" s="25"/>
    </row>
    <row r="1239" spans="1:15" x14ac:dyDescent="0.2">
      <c r="A1239" s="17" t="s">
        <v>4242</v>
      </c>
      <c r="B1239" s="17" t="s">
        <v>4243</v>
      </c>
      <c r="C1239" s="17">
        <v>18</v>
      </c>
      <c r="D1239" s="11"/>
      <c r="E1239" s="1">
        <v>2150</v>
      </c>
      <c r="F1239" s="1">
        <v>2440</v>
      </c>
      <c r="G1239" s="1">
        <v>61</v>
      </c>
      <c r="H1239" s="11"/>
      <c r="I1239" s="11"/>
      <c r="J1239" s="11"/>
      <c r="K1239" s="11"/>
      <c r="L1239" s="26"/>
      <c r="M1239" s="26"/>
      <c r="N1239" s="26"/>
      <c r="O1239" s="25"/>
    </row>
    <row r="1240" spans="1:15" x14ac:dyDescent="0.2">
      <c r="A1240" s="17" t="s">
        <v>4244</v>
      </c>
      <c r="B1240" s="17" t="s">
        <v>4245</v>
      </c>
      <c r="C1240" s="17">
        <v>18</v>
      </c>
      <c r="D1240" s="11"/>
      <c r="E1240" s="1">
        <v>2150</v>
      </c>
      <c r="F1240" s="1">
        <v>2440</v>
      </c>
      <c r="G1240" s="1">
        <v>117</v>
      </c>
      <c r="H1240" s="11"/>
      <c r="I1240" s="11"/>
      <c r="J1240" s="11"/>
      <c r="K1240" s="11"/>
      <c r="L1240" s="30"/>
      <c r="M1240" s="30"/>
      <c r="N1240" s="30"/>
      <c r="O1240" s="25"/>
    </row>
    <row r="1241" spans="1:15" x14ac:dyDescent="0.2">
      <c r="A1241" s="17" t="s">
        <v>4246</v>
      </c>
      <c r="B1241" s="17" t="s">
        <v>4247</v>
      </c>
      <c r="C1241" s="17">
        <v>3</v>
      </c>
      <c r="D1241" s="11"/>
      <c r="E1241" s="1">
        <v>1220</v>
      </c>
      <c r="F1241" s="1">
        <v>2440</v>
      </c>
      <c r="G1241" s="1">
        <v>6</v>
      </c>
      <c r="H1241" s="11"/>
      <c r="I1241" s="11"/>
      <c r="J1241" s="11"/>
      <c r="K1241" s="11"/>
      <c r="L1241" s="30"/>
      <c r="M1241" s="30"/>
      <c r="N1241" s="30"/>
      <c r="O1241" s="25"/>
    </row>
    <row r="1242" spans="1:15" x14ac:dyDescent="0.2">
      <c r="A1242" s="17" t="s">
        <v>4248</v>
      </c>
      <c r="B1242" s="17" t="s">
        <v>4249</v>
      </c>
      <c r="C1242" s="17">
        <v>18</v>
      </c>
      <c r="D1242" s="11"/>
      <c r="E1242" s="1">
        <v>2150</v>
      </c>
      <c r="F1242" s="1">
        <v>2440</v>
      </c>
      <c r="G1242" s="1">
        <v>61</v>
      </c>
      <c r="H1242" s="11"/>
      <c r="I1242" s="11"/>
      <c r="J1242" s="11"/>
      <c r="K1242" s="11"/>
      <c r="L1242" s="30"/>
      <c r="M1242" s="30"/>
      <c r="N1242" s="30"/>
      <c r="O1242" s="25"/>
    </row>
    <row r="1243" spans="1:15" x14ac:dyDescent="0.2">
      <c r="A1243" s="17" t="s">
        <v>4250</v>
      </c>
      <c r="B1243" s="17" t="s">
        <v>4251</v>
      </c>
      <c r="C1243" s="17">
        <v>3</v>
      </c>
      <c r="D1243" s="11"/>
      <c r="E1243" s="1">
        <v>1220</v>
      </c>
      <c r="F1243" s="1">
        <v>2440</v>
      </c>
      <c r="G1243" s="1">
        <v>6</v>
      </c>
      <c r="H1243" s="11"/>
      <c r="I1243" s="11"/>
      <c r="J1243" s="11"/>
      <c r="K1243" s="11"/>
      <c r="L1243" s="30"/>
      <c r="M1243" s="30"/>
      <c r="N1243" s="30"/>
      <c r="O1243" s="25"/>
    </row>
    <row r="1244" spans="1:15" x14ac:dyDescent="0.2">
      <c r="A1244" s="17" t="s">
        <v>4252</v>
      </c>
      <c r="B1244" s="17" t="s">
        <v>4253</v>
      </c>
      <c r="C1244" s="17" t="s">
        <v>528</v>
      </c>
      <c r="D1244" s="11"/>
      <c r="E1244" s="1">
        <v>2150</v>
      </c>
      <c r="F1244" s="1">
        <v>2440</v>
      </c>
      <c r="G1244" s="1">
        <v>117</v>
      </c>
      <c r="H1244" s="11"/>
      <c r="I1244" s="11"/>
      <c r="J1244" s="11"/>
      <c r="K1244" s="11"/>
      <c r="L1244" s="30"/>
      <c r="M1244" s="30"/>
      <c r="N1244" s="30"/>
      <c r="O1244" s="25"/>
    </row>
    <row r="1245" spans="1:15" x14ac:dyDescent="0.2">
      <c r="A1245" s="17" t="s">
        <v>4254</v>
      </c>
      <c r="B1245" s="17" t="s">
        <v>4255</v>
      </c>
      <c r="C1245" s="17">
        <v>15</v>
      </c>
      <c r="D1245" s="11"/>
      <c r="E1245" s="1">
        <v>1220</v>
      </c>
      <c r="F1245" s="1">
        <v>2440</v>
      </c>
      <c r="G1245" s="1">
        <v>29</v>
      </c>
      <c r="H1245" s="11"/>
      <c r="I1245" s="11"/>
      <c r="J1245" s="11"/>
      <c r="K1245" s="11"/>
      <c r="L1245" s="30"/>
      <c r="M1245" s="30"/>
      <c r="N1245" s="30"/>
      <c r="O1245" s="25"/>
    </row>
    <row r="1246" spans="1:15" x14ac:dyDescent="0.2">
      <c r="A1246" s="17" t="s">
        <v>4256</v>
      </c>
      <c r="B1246" s="17" t="s">
        <v>4257</v>
      </c>
      <c r="C1246" s="17">
        <v>6</v>
      </c>
      <c r="D1246" s="11"/>
      <c r="E1246" s="1">
        <v>2150</v>
      </c>
      <c r="F1246" s="1">
        <v>2440</v>
      </c>
      <c r="G1246" s="1">
        <v>23</v>
      </c>
      <c r="H1246" s="1"/>
      <c r="I1246" s="1"/>
      <c r="J1246" s="1"/>
      <c r="K1246" s="1"/>
      <c r="L1246" s="30"/>
      <c r="M1246" s="30"/>
      <c r="N1246" s="30"/>
      <c r="O1246" s="25"/>
    </row>
    <row r="1247" spans="1:15" x14ac:dyDescent="0.2">
      <c r="A1247" s="17" t="s">
        <v>4258</v>
      </c>
      <c r="B1247" s="17" t="s">
        <v>4259</v>
      </c>
      <c r="C1247" s="17">
        <v>9</v>
      </c>
      <c r="D1247" s="11"/>
      <c r="E1247" s="1">
        <v>1830</v>
      </c>
      <c r="F1247" s="1">
        <v>2440</v>
      </c>
      <c r="G1247" s="1">
        <v>27</v>
      </c>
      <c r="H1247" s="11"/>
      <c r="I1247" s="11"/>
      <c r="J1247" s="11"/>
      <c r="K1247" s="11"/>
      <c r="L1247" s="30"/>
      <c r="M1247" s="30"/>
      <c r="N1247" s="30"/>
      <c r="O1247" s="25"/>
    </row>
    <row r="1248" spans="1:15" x14ac:dyDescent="0.2">
      <c r="A1248" s="17" t="s">
        <v>4260</v>
      </c>
      <c r="B1248" s="17" t="s">
        <v>4261</v>
      </c>
      <c r="C1248" s="17" t="s">
        <v>384</v>
      </c>
      <c r="D1248" s="11"/>
      <c r="E1248" s="1">
        <v>2150</v>
      </c>
      <c r="F1248" s="1">
        <v>2440</v>
      </c>
      <c r="G1248" s="1">
        <v>117</v>
      </c>
      <c r="H1248" s="11"/>
      <c r="I1248" s="11"/>
      <c r="J1248" s="11"/>
      <c r="K1248" s="11"/>
      <c r="L1248" s="30"/>
      <c r="M1248" s="30"/>
      <c r="N1248" s="30"/>
      <c r="O1248" s="2"/>
    </row>
    <row r="1249" spans="1:15" x14ac:dyDescent="0.2">
      <c r="A1249" s="17" t="s">
        <v>4262</v>
      </c>
      <c r="B1249" s="17" t="s">
        <v>4263</v>
      </c>
      <c r="C1249" s="17" t="s">
        <v>384</v>
      </c>
      <c r="D1249" s="11"/>
      <c r="E1249" s="1">
        <v>2150</v>
      </c>
      <c r="F1249" s="1">
        <v>2440</v>
      </c>
      <c r="G1249" s="1">
        <v>117</v>
      </c>
      <c r="H1249" s="11"/>
      <c r="I1249" s="11"/>
      <c r="J1249" s="11"/>
      <c r="K1249" s="11"/>
      <c r="L1249" s="30"/>
      <c r="M1249" s="30"/>
      <c r="N1249" s="30"/>
      <c r="O1249" s="25"/>
    </row>
    <row r="1250" spans="1:15" x14ac:dyDescent="0.2">
      <c r="A1250" s="17" t="s">
        <v>4264</v>
      </c>
      <c r="B1250" s="17" t="s">
        <v>4265</v>
      </c>
      <c r="C1250" s="17" t="s">
        <v>384</v>
      </c>
      <c r="D1250" s="11"/>
      <c r="E1250" s="1">
        <v>2150</v>
      </c>
      <c r="F1250" s="1">
        <v>2440</v>
      </c>
      <c r="G1250" s="1">
        <v>117</v>
      </c>
      <c r="H1250" s="11"/>
      <c r="I1250" s="11"/>
      <c r="J1250" s="11"/>
      <c r="K1250" s="11"/>
      <c r="L1250" s="30"/>
      <c r="M1250" s="30"/>
      <c r="N1250" s="30"/>
      <c r="O1250" s="25"/>
    </row>
    <row r="1251" spans="1:15" x14ac:dyDescent="0.2">
      <c r="A1251" s="17" t="s">
        <v>4266</v>
      </c>
      <c r="B1251" s="17" t="s">
        <v>4267</v>
      </c>
      <c r="C1251" s="17" t="s">
        <v>384</v>
      </c>
      <c r="D1251" s="11"/>
      <c r="E1251" s="1">
        <v>2150</v>
      </c>
      <c r="F1251" s="1">
        <v>2440</v>
      </c>
      <c r="G1251" s="1">
        <v>117</v>
      </c>
      <c r="H1251" s="11"/>
      <c r="I1251" s="11"/>
      <c r="J1251" s="11"/>
      <c r="K1251" s="11"/>
      <c r="L1251" s="30"/>
      <c r="M1251" s="30"/>
      <c r="N1251" s="30"/>
      <c r="O1251" s="25"/>
    </row>
    <row r="1252" spans="1:15" x14ac:dyDescent="0.2">
      <c r="A1252" s="17" t="s">
        <v>4268</v>
      </c>
      <c r="B1252" s="17" t="s">
        <v>4269</v>
      </c>
      <c r="C1252" s="17" t="s">
        <v>384</v>
      </c>
      <c r="D1252" s="11"/>
      <c r="E1252" s="1">
        <v>2150</v>
      </c>
      <c r="F1252" s="1">
        <v>2440</v>
      </c>
      <c r="G1252" s="1">
        <v>117</v>
      </c>
      <c r="H1252" s="11"/>
      <c r="I1252" s="11"/>
      <c r="J1252" s="11"/>
      <c r="K1252" s="11"/>
      <c r="L1252" s="30"/>
      <c r="M1252" s="30"/>
      <c r="N1252" s="30"/>
      <c r="O1252" s="25"/>
    </row>
    <row r="1253" spans="1:15" x14ac:dyDescent="0.2">
      <c r="A1253" s="17" t="s">
        <v>4270</v>
      </c>
      <c r="B1253" s="17" t="s">
        <v>4271</v>
      </c>
      <c r="C1253" s="17" t="s">
        <v>384</v>
      </c>
      <c r="D1253" s="11"/>
      <c r="E1253" s="1">
        <v>2150</v>
      </c>
      <c r="F1253" s="1">
        <v>2440</v>
      </c>
      <c r="G1253" s="1">
        <v>117</v>
      </c>
      <c r="H1253" s="11"/>
      <c r="I1253" s="11"/>
      <c r="J1253" s="11"/>
      <c r="K1253" s="11"/>
      <c r="L1253" s="30"/>
      <c r="M1253" s="30"/>
      <c r="N1253" s="30"/>
      <c r="O1253" s="25"/>
    </row>
    <row r="1254" spans="1:15" x14ac:dyDescent="0.2">
      <c r="A1254" s="17" t="s">
        <v>4272</v>
      </c>
      <c r="B1254" s="17" t="s">
        <v>4273</v>
      </c>
      <c r="C1254" s="17" t="s">
        <v>384</v>
      </c>
      <c r="D1254" s="11"/>
      <c r="E1254" s="1">
        <v>2150</v>
      </c>
      <c r="F1254" s="1">
        <v>2440</v>
      </c>
      <c r="G1254" s="1">
        <v>117</v>
      </c>
      <c r="H1254" s="11"/>
      <c r="I1254" s="11"/>
      <c r="J1254" s="11"/>
      <c r="K1254" s="11"/>
      <c r="L1254" s="30"/>
      <c r="M1254" s="30"/>
      <c r="N1254" s="30"/>
      <c r="O1254" s="25"/>
    </row>
    <row r="1255" spans="1:15" x14ac:dyDescent="0.2">
      <c r="A1255" s="17" t="s">
        <v>4274</v>
      </c>
      <c r="B1255" s="17" t="s">
        <v>4275</v>
      </c>
      <c r="C1255" s="17" t="s">
        <v>384</v>
      </c>
      <c r="D1255" s="11"/>
      <c r="E1255" s="1">
        <v>2150</v>
      </c>
      <c r="F1255" s="1">
        <v>2440</v>
      </c>
      <c r="G1255" s="1">
        <v>117</v>
      </c>
      <c r="H1255" s="11"/>
      <c r="I1255" s="11"/>
      <c r="J1255" s="11"/>
      <c r="K1255" s="11"/>
      <c r="L1255" s="30"/>
      <c r="M1255" s="30"/>
      <c r="N1255" s="30"/>
      <c r="O1255" s="25"/>
    </row>
    <row r="1256" spans="1:15" x14ac:dyDescent="0.2">
      <c r="A1256" s="17" t="s">
        <v>4276</v>
      </c>
      <c r="B1256" s="17" t="s">
        <v>4277</v>
      </c>
      <c r="C1256" s="17" t="s">
        <v>384</v>
      </c>
      <c r="D1256" s="11"/>
      <c r="E1256" s="1">
        <v>2150</v>
      </c>
      <c r="F1256" s="1">
        <v>2440</v>
      </c>
      <c r="G1256" s="1">
        <v>117</v>
      </c>
      <c r="H1256" s="11"/>
      <c r="I1256" s="11"/>
      <c r="J1256" s="11"/>
      <c r="K1256" s="11"/>
      <c r="L1256" s="30"/>
      <c r="M1256" s="30"/>
      <c r="N1256" s="30"/>
      <c r="O1256" s="25"/>
    </row>
    <row r="1257" spans="1:15" x14ac:dyDescent="0.2">
      <c r="A1257" s="17" t="s">
        <v>4278</v>
      </c>
      <c r="B1257" s="17" t="s">
        <v>4279</v>
      </c>
      <c r="C1257" s="17" t="s">
        <v>384</v>
      </c>
      <c r="D1257" s="11"/>
      <c r="E1257" s="1">
        <v>2150</v>
      </c>
      <c r="F1257" s="1">
        <v>2440</v>
      </c>
      <c r="G1257" s="1">
        <v>117</v>
      </c>
      <c r="H1257" s="11"/>
      <c r="I1257" s="11"/>
      <c r="J1257" s="11"/>
      <c r="K1257" s="11"/>
      <c r="L1257" s="30"/>
      <c r="M1257" s="30"/>
      <c r="N1257" s="30"/>
      <c r="O1257" s="25"/>
    </row>
    <row r="1258" spans="1:15" x14ac:dyDescent="0.2">
      <c r="A1258" s="17" t="s">
        <v>4280</v>
      </c>
      <c r="B1258" s="17" t="s">
        <v>4281</v>
      </c>
      <c r="C1258" s="17">
        <v>36</v>
      </c>
      <c r="D1258" s="11"/>
      <c r="E1258" s="1">
        <v>2150</v>
      </c>
      <c r="F1258" s="1">
        <v>2440</v>
      </c>
      <c r="G1258" s="1">
        <v>117</v>
      </c>
      <c r="H1258" s="11"/>
      <c r="I1258" s="11"/>
      <c r="J1258" s="11"/>
      <c r="K1258" s="11"/>
      <c r="L1258" s="30"/>
      <c r="M1258" s="30"/>
      <c r="N1258" s="30"/>
      <c r="O1258" s="25"/>
    </row>
    <row r="1259" spans="1:15" x14ac:dyDescent="0.2">
      <c r="A1259" s="17" t="s">
        <v>4282</v>
      </c>
      <c r="B1259" s="17" t="s">
        <v>4283</v>
      </c>
      <c r="C1259" s="17" t="s">
        <v>292</v>
      </c>
      <c r="D1259" s="11"/>
      <c r="E1259" s="1">
        <v>2150</v>
      </c>
      <c r="F1259" s="1">
        <v>2440</v>
      </c>
      <c r="G1259" s="1">
        <v>117</v>
      </c>
      <c r="H1259" s="11"/>
      <c r="I1259" s="11"/>
      <c r="J1259" s="11"/>
      <c r="K1259" s="11"/>
      <c r="L1259" s="30"/>
      <c r="M1259" s="30"/>
      <c r="N1259" s="30"/>
      <c r="O1259" s="25"/>
    </row>
    <row r="1260" spans="1:15" x14ac:dyDescent="0.2">
      <c r="A1260" s="17" t="s">
        <v>4284</v>
      </c>
      <c r="B1260" s="17" t="s">
        <v>4285</v>
      </c>
      <c r="C1260" s="30"/>
      <c r="D1260" s="11"/>
      <c r="E1260" s="1">
        <v>2150</v>
      </c>
      <c r="F1260" s="1">
        <v>2440</v>
      </c>
      <c r="G1260" s="1">
        <v>117</v>
      </c>
      <c r="H1260" s="11"/>
      <c r="I1260" s="11"/>
      <c r="J1260" s="11"/>
      <c r="K1260" s="11"/>
      <c r="L1260" s="30"/>
      <c r="M1260" s="30"/>
      <c r="N1260" s="30"/>
      <c r="O1260" s="25"/>
    </row>
    <row r="1261" spans="1:15" x14ac:dyDescent="0.2">
      <c r="A1261" s="17" t="s">
        <v>4286</v>
      </c>
      <c r="B1261" s="17" t="s">
        <v>4287</v>
      </c>
      <c r="C1261" s="17">
        <v>6</v>
      </c>
      <c r="D1261" s="11"/>
      <c r="E1261" s="1">
        <v>2150</v>
      </c>
      <c r="F1261" s="1">
        <v>2440</v>
      </c>
      <c r="G1261" s="1">
        <v>23</v>
      </c>
      <c r="H1261" s="11"/>
      <c r="I1261" s="11"/>
      <c r="J1261" s="11"/>
      <c r="K1261" s="11"/>
      <c r="L1261" s="30"/>
      <c r="M1261" s="30"/>
      <c r="N1261" s="30"/>
      <c r="O1261" s="25"/>
    </row>
    <row r="1262" spans="1:15" x14ac:dyDescent="0.2">
      <c r="A1262" s="17" t="s">
        <v>4288</v>
      </c>
      <c r="B1262" s="17" t="s">
        <v>4289</v>
      </c>
      <c r="C1262" s="17">
        <v>15</v>
      </c>
      <c r="D1262" s="11"/>
      <c r="E1262" s="1">
        <v>2150</v>
      </c>
      <c r="F1262" s="1">
        <v>2440</v>
      </c>
      <c r="G1262" s="1">
        <v>53</v>
      </c>
      <c r="H1262" s="11"/>
      <c r="I1262" s="11"/>
      <c r="J1262" s="11"/>
      <c r="K1262" s="11"/>
      <c r="L1262" s="30"/>
      <c r="M1262" s="30"/>
      <c r="N1262" s="30"/>
      <c r="O1262" s="25"/>
    </row>
    <row r="1263" spans="1:15" x14ac:dyDescent="0.2">
      <c r="A1263" s="17" t="s">
        <v>4290</v>
      </c>
      <c r="B1263" s="17" t="s">
        <v>4291</v>
      </c>
      <c r="C1263" s="17">
        <v>18</v>
      </c>
      <c r="D1263" s="11"/>
      <c r="E1263" s="1">
        <v>2150</v>
      </c>
      <c r="F1263" s="1">
        <v>2440</v>
      </c>
      <c r="G1263" s="1">
        <v>61</v>
      </c>
      <c r="H1263" s="11"/>
      <c r="I1263" s="11"/>
      <c r="J1263" s="11"/>
      <c r="K1263" s="11"/>
      <c r="L1263" s="30"/>
      <c r="M1263" s="30"/>
      <c r="N1263" s="30"/>
      <c r="O1263" s="25"/>
    </row>
    <row r="1264" spans="1:15" x14ac:dyDescent="0.2">
      <c r="A1264" s="17" t="s">
        <v>4292</v>
      </c>
      <c r="B1264" s="17" t="s">
        <v>4293</v>
      </c>
      <c r="C1264" s="17">
        <v>18</v>
      </c>
      <c r="D1264" s="11"/>
      <c r="E1264" s="1">
        <v>2150</v>
      </c>
      <c r="F1264" s="1">
        <v>2440</v>
      </c>
      <c r="G1264" s="1">
        <v>61</v>
      </c>
      <c r="H1264" s="11"/>
      <c r="I1264" s="11"/>
      <c r="J1264" s="11"/>
      <c r="K1264" s="11"/>
      <c r="L1264" s="30"/>
      <c r="M1264" s="30"/>
      <c r="N1264" s="30"/>
      <c r="O1264" s="25"/>
    </row>
    <row r="1265" spans="1:15" x14ac:dyDescent="0.2">
      <c r="A1265" s="17" t="s">
        <v>4294</v>
      </c>
      <c r="B1265" s="17" t="s">
        <v>4295</v>
      </c>
      <c r="C1265" s="17">
        <v>18</v>
      </c>
      <c r="D1265" s="11"/>
      <c r="E1265" s="1">
        <v>2150</v>
      </c>
      <c r="F1265" s="1">
        <v>2440</v>
      </c>
      <c r="G1265" s="1">
        <v>61</v>
      </c>
      <c r="H1265" s="11"/>
      <c r="I1265" s="11"/>
      <c r="J1265" s="11"/>
      <c r="K1265" s="11"/>
      <c r="L1265" s="30"/>
      <c r="M1265" s="30"/>
      <c r="N1265" s="30"/>
      <c r="O1265" s="25"/>
    </row>
    <row r="1266" spans="1:15" x14ac:dyDescent="0.2">
      <c r="A1266" s="17" t="s">
        <v>4296</v>
      </c>
      <c r="B1266" s="17" t="s">
        <v>4297</v>
      </c>
      <c r="C1266" s="17">
        <v>18</v>
      </c>
      <c r="D1266" s="11"/>
      <c r="E1266" s="1">
        <v>2150</v>
      </c>
      <c r="F1266" s="1">
        <v>2440</v>
      </c>
      <c r="G1266" s="1">
        <v>61</v>
      </c>
      <c r="H1266" s="11"/>
      <c r="I1266" s="11"/>
      <c r="J1266" s="11"/>
      <c r="K1266" s="11"/>
      <c r="L1266" s="30"/>
      <c r="M1266" s="30"/>
      <c r="N1266" s="30"/>
      <c r="O1266" s="25"/>
    </row>
    <row r="1267" spans="1:15" x14ac:dyDescent="0.2">
      <c r="A1267" s="17" t="s">
        <v>4298</v>
      </c>
      <c r="B1267" s="17" t="s">
        <v>4299</v>
      </c>
      <c r="C1267" s="17">
        <v>15</v>
      </c>
      <c r="D1267" s="11"/>
      <c r="E1267" s="1">
        <v>2150</v>
      </c>
      <c r="F1267" s="1">
        <v>2440</v>
      </c>
      <c r="G1267" s="1">
        <v>53</v>
      </c>
      <c r="H1267" s="11"/>
      <c r="I1267" s="11"/>
      <c r="J1267" s="11"/>
      <c r="K1267" s="11"/>
      <c r="L1267" s="30"/>
      <c r="M1267" s="30"/>
      <c r="N1267" s="30"/>
      <c r="O1267" s="25"/>
    </row>
    <row r="1268" spans="1:15" x14ac:dyDescent="0.2">
      <c r="A1268" s="17" t="s">
        <v>4300</v>
      </c>
      <c r="B1268" s="17" t="s">
        <v>4301</v>
      </c>
      <c r="C1268" s="17">
        <v>15</v>
      </c>
      <c r="D1268" s="11"/>
      <c r="E1268" s="1">
        <v>2150</v>
      </c>
      <c r="F1268" s="1">
        <v>2440</v>
      </c>
      <c r="G1268" s="1">
        <v>53</v>
      </c>
      <c r="H1268" s="11"/>
      <c r="I1268" s="11"/>
      <c r="J1268" s="11"/>
      <c r="K1268" s="11"/>
      <c r="L1268" s="30"/>
      <c r="M1268" s="30"/>
      <c r="N1268" s="30"/>
      <c r="O1268" s="25"/>
    </row>
    <row r="1269" spans="1:15" x14ac:dyDescent="0.2">
      <c r="A1269" s="17" t="s">
        <v>4302</v>
      </c>
      <c r="B1269" s="17" t="s">
        <v>4303</v>
      </c>
      <c r="C1269" s="17">
        <v>15</v>
      </c>
      <c r="D1269" s="11"/>
      <c r="E1269" s="1">
        <v>2150</v>
      </c>
      <c r="F1269" s="1">
        <v>2440</v>
      </c>
      <c r="G1269" s="1">
        <v>53</v>
      </c>
      <c r="H1269" s="11"/>
      <c r="I1269" s="11"/>
      <c r="J1269" s="11"/>
      <c r="K1269" s="11"/>
      <c r="L1269" s="30"/>
      <c r="M1269" s="30"/>
      <c r="N1269" s="30"/>
      <c r="O1269" s="25"/>
    </row>
    <row r="1270" spans="1:15" x14ac:dyDescent="0.2">
      <c r="A1270" s="17" t="s">
        <v>4304</v>
      </c>
      <c r="B1270" s="17" t="s">
        <v>4305</v>
      </c>
      <c r="C1270" s="17">
        <v>15</v>
      </c>
      <c r="D1270" s="11"/>
      <c r="E1270" s="1">
        <v>2150</v>
      </c>
      <c r="F1270" s="1">
        <v>2440</v>
      </c>
      <c r="G1270" s="1">
        <v>53</v>
      </c>
      <c r="H1270" s="11"/>
      <c r="I1270" s="11"/>
      <c r="J1270" s="11"/>
      <c r="K1270" s="11"/>
      <c r="L1270" s="30"/>
      <c r="M1270" s="30"/>
      <c r="N1270" s="30"/>
      <c r="O1270" s="25"/>
    </row>
    <row r="1271" spans="1:15" x14ac:dyDescent="0.2">
      <c r="A1271" s="17" t="s">
        <v>4306</v>
      </c>
      <c r="B1271" s="17" t="s">
        <v>4307</v>
      </c>
      <c r="C1271" s="17">
        <v>18</v>
      </c>
      <c r="D1271" s="11"/>
      <c r="E1271" s="1">
        <v>2150</v>
      </c>
      <c r="F1271" s="1">
        <v>2440</v>
      </c>
      <c r="G1271" s="1">
        <v>61</v>
      </c>
      <c r="H1271" s="11"/>
      <c r="I1271" s="11"/>
      <c r="J1271" s="11"/>
      <c r="K1271" s="11"/>
      <c r="L1271" s="30"/>
      <c r="M1271" s="30"/>
      <c r="N1271" s="30"/>
      <c r="O1271" s="25"/>
    </row>
    <row r="1272" spans="1:15" x14ac:dyDescent="0.2">
      <c r="A1272" s="17" t="s">
        <v>4308</v>
      </c>
      <c r="B1272" s="17" t="s">
        <v>4309</v>
      </c>
      <c r="C1272" s="17">
        <v>6</v>
      </c>
      <c r="D1272" s="11"/>
      <c r="E1272" s="1">
        <v>2150</v>
      </c>
      <c r="F1272" s="1">
        <v>2440</v>
      </c>
      <c r="G1272" s="1">
        <v>23</v>
      </c>
      <c r="H1272" s="11"/>
      <c r="I1272" s="11"/>
      <c r="J1272" s="11"/>
      <c r="K1272" s="11"/>
      <c r="L1272" s="30"/>
      <c r="M1272" s="30"/>
      <c r="N1272" s="30"/>
      <c r="O1272" s="25"/>
    </row>
    <row r="1273" spans="1:15" x14ac:dyDescent="0.2">
      <c r="A1273" s="17" t="s">
        <v>4310</v>
      </c>
      <c r="B1273" s="17" t="s">
        <v>4311</v>
      </c>
      <c r="C1273" s="17">
        <v>15</v>
      </c>
      <c r="D1273" s="11"/>
      <c r="E1273" s="1">
        <v>2150</v>
      </c>
      <c r="F1273" s="1">
        <v>2440</v>
      </c>
      <c r="G1273" s="1">
        <v>53</v>
      </c>
      <c r="H1273" s="11"/>
      <c r="I1273" s="11"/>
      <c r="J1273" s="11"/>
      <c r="K1273" s="11"/>
      <c r="L1273" s="30"/>
      <c r="M1273" s="30"/>
      <c r="N1273" s="30"/>
      <c r="O1273" s="25"/>
    </row>
    <row r="1274" spans="1:15" x14ac:dyDescent="0.2">
      <c r="A1274" s="17" t="s">
        <v>4312</v>
      </c>
      <c r="B1274" s="17" t="s">
        <v>4313</v>
      </c>
      <c r="C1274" s="17">
        <v>18</v>
      </c>
      <c r="D1274" s="11"/>
      <c r="E1274" s="1">
        <v>2150</v>
      </c>
      <c r="F1274" s="1">
        <v>2440</v>
      </c>
      <c r="G1274" s="1">
        <v>61</v>
      </c>
      <c r="H1274" s="11"/>
      <c r="I1274" s="11"/>
      <c r="J1274" s="11"/>
      <c r="K1274" s="11"/>
      <c r="L1274" s="30"/>
      <c r="M1274" s="30"/>
      <c r="N1274" s="30"/>
      <c r="O1274" s="25"/>
    </row>
    <row r="1275" spans="1:15" x14ac:dyDescent="0.2">
      <c r="A1275" s="17" t="s">
        <v>4314</v>
      </c>
      <c r="B1275" s="17" t="s">
        <v>4315</v>
      </c>
      <c r="C1275" s="17">
        <v>18</v>
      </c>
      <c r="D1275" s="11"/>
      <c r="E1275" s="1">
        <v>2150</v>
      </c>
      <c r="F1275" s="1">
        <v>2440</v>
      </c>
      <c r="G1275" s="1">
        <v>61</v>
      </c>
      <c r="H1275" s="11"/>
      <c r="I1275" s="11"/>
      <c r="J1275" s="11"/>
      <c r="K1275" s="11"/>
      <c r="L1275" s="30"/>
      <c r="M1275" s="30"/>
      <c r="N1275" s="30"/>
      <c r="O1275" s="25"/>
    </row>
    <row r="1276" spans="1:15" x14ac:dyDescent="0.2">
      <c r="A1276" s="17" t="s">
        <v>4316</v>
      </c>
      <c r="B1276" s="17" t="s">
        <v>4317</v>
      </c>
      <c r="C1276" s="30"/>
      <c r="D1276" s="11"/>
      <c r="E1276" s="1">
        <v>2150</v>
      </c>
      <c r="F1276" s="1">
        <v>2440</v>
      </c>
      <c r="G1276" s="1">
        <v>117</v>
      </c>
      <c r="H1276" s="11"/>
      <c r="I1276" s="11"/>
      <c r="J1276" s="11"/>
      <c r="K1276" s="11"/>
      <c r="L1276" s="30"/>
      <c r="M1276" s="30"/>
      <c r="N1276" s="30"/>
      <c r="O1276" s="25"/>
    </row>
    <row r="1277" spans="1:15" x14ac:dyDescent="0.2">
      <c r="A1277" s="17" t="s">
        <v>4318</v>
      </c>
      <c r="B1277" s="17" t="s">
        <v>4319</v>
      </c>
      <c r="C1277" s="30"/>
      <c r="D1277" s="11"/>
      <c r="E1277" s="1">
        <v>2150</v>
      </c>
      <c r="F1277" s="1">
        <v>2440</v>
      </c>
      <c r="G1277" s="1">
        <v>117</v>
      </c>
      <c r="H1277" s="11"/>
      <c r="I1277" s="11"/>
      <c r="J1277" s="11"/>
      <c r="K1277" s="11"/>
      <c r="L1277" s="30"/>
      <c r="M1277" s="30"/>
      <c r="N1277" s="30"/>
      <c r="O1277" s="25"/>
    </row>
    <row r="1278" spans="1:15" x14ac:dyDescent="0.2">
      <c r="A1278" s="17" t="s">
        <v>4320</v>
      </c>
      <c r="B1278" s="17" t="s">
        <v>4321</v>
      </c>
      <c r="C1278" s="17">
        <v>18</v>
      </c>
      <c r="D1278" s="11"/>
      <c r="E1278" s="1">
        <v>1830</v>
      </c>
      <c r="F1278" s="1">
        <v>2440</v>
      </c>
      <c r="G1278" s="1">
        <v>50</v>
      </c>
      <c r="H1278" s="11"/>
      <c r="I1278" s="11"/>
      <c r="J1278" s="11"/>
      <c r="K1278" s="11"/>
      <c r="L1278" s="30"/>
      <c r="M1278" s="30"/>
      <c r="N1278" s="30"/>
      <c r="O1278" s="25"/>
    </row>
    <row r="1279" spans="1:15" x14ac:dyDescent="0.2">
      <c r="A1279" s="17" t="s">
        <v>4322</v>
      </c>
      <c r="B1279" s="17" t="s">
        <v>4323</v>
      </c>
      <c r="C1279" s="17">
        <v>36</v>
      </c>
      <c r="D1279" s="11"/>
      <c r="E1279" s="1">
        <v>2150</v>
      </c>
      <c r="F1279" s="1">
        <v>2440</v>
      </c>
      <c r="G1279" s="1">
        <v>117</v>
      </c>
      <c r="H1279" s="11"/>
      <c r="I1279" s="11"/>
      <c r="J1279" s="11"/>
      <c r="K1279" s="11"/>
      <c r="L1279" s="30"/>
      <c r="M1279" s="30"/>
      <c r="N1279" s="30"/>
      <c r="O1279" s="25"/>
    </row>
    <row r="1280" spans="1:15" x14ac:dyDescent="0.2">
      <c r="A1280" s="17" t="s">
        <v>4324</v>
      </c>
      <c r="B1280" s="17" t="s">
        <v>4325</v>
      </c>
      <c r="C1280" s="17">
        <v>6</v>
      </c>
      <c r="D1280" s="11"/>
      <c r="E1280" s="1">
        <v>2150</v>
      </c>
      <c r="F1280" s="1">
        <v>2440</v>
      </c>
      <c r="G1280" s="1">
        <v>23</v>
      </c>
      <c r="H1280" s="11"/>
      <c r="I1280" s="11"/>
      <c r="J1280" s="11"/>
      <c r="K1280" s="11"/>
      <c r="L1280" s="30"/>
      <c r="M1280" s="30"/>
      <c r="N1280" s="30"/>
      <c r="O1280" s="25"/>
    </row>
    <row r="1281" spans="1:15" x14ac:dyDescent="0.2">
      <c r="A1281" s="17" t="s">
        <v>4326</v>
      </c>
      <c r="B1281" s="17" t="s">
        <v>4327</v>
      </c>
      <c r="C1281" s="17">
        <v>4</v>
      </c>
      <c r="D1281" s="11"/>
      <c r="E1281" s="1">
        <v>1830</v>
      </c>
      <c r="F1281" s="1">
        <v>2440</v>
      </c>
      <c r="G1281" s="1">
        <v>14</v>
      </c>
      <c r="H1281" s="11"/>
      <c r="I1281" s="11"/>
      <c r="J1281" s="11"/>
      <c r="K1281" s="11"/>
      <c r="L1281" s="30"/>
      <c r="M1281" s="30"/>
      <c r="N1281" s="30"/>
      <c r="O1281" s="25"/>
    </row>
    <row r="1282" spans="1:15" x14ac:dyDescent="0.2">
      <c r="A1282" s="17" t="s">
        <v>4328</v>
      </c>
      <c r="B1282" s="17" t="s">
        <v>4329</v>
      </c>
      <c r="C1282" s="17" t="s">
        <v>384</v>
      </c>
      <c r="D1282" s="11"/>
      <c r="E1282" s="1">
        <v>2150</v>
      </c>
      <c r="F1282" s="1">
        <v>2440</v>
      </c>
      <c r="G1282" s="1">
        <v>117</v>
      </c>
      <c r="H1282" s="11"/>
      <c r="I1282" s="11"/>
      <c r="J1282" s="11"/>
      <c r="K1282" s="11"/>
      <c r="L1282" s="30"/>
      <c r="M1282" s="30"/>
      <c r="N1282" s="30"/>
      <c r="O1282" s="25"/>
    </row>
    <row r="1283" spans="1:15" x14ac:dyDescent="0.2">
      <c r="A1283" s="17" t="s">
        <v>4330</v>
      </c>
      <c r="B1283" s="17" t="s">
        <v>4331</v>
      </c>
      <c r="C1283" s="17">
        <v>15</v>
      </c>
      <c r="D1283" s="11"/>
      <c r="E1283" s="1">
        <v>2150</v>
      </c>
      <c r="F1283" s="1">
        <v>2440</v>
      </c>
      <c r="G1283" s="1">
        <v>53</v>
      </c>
      <c r="H1283" s="11"/>
      <c r="I1283" s="11"/>
      <c r="J1283" s="11"/>
      <c r="K1283" s="11"/>
      <c r="L1283" s="30"/>
      <c r="M1283" s="30"/>
      <c r="N1283" s="30"/>
      <c r="O1283" s="25"/>
    </row>
    <row r="1284" spans="1:15" x14ac:dyDescent="0.2">
      <c r="A1284" s="17" t="s">
        <v>4332</v>
      </c>
      <c r="B1284" s="17" t="s">
        <v>4333</v>
      </c>
      <c r="C1284" s="17">
        <v>6</v>
      </c>
      <c r="D1284" s="11"/>
      <c r="E1284" s="1">
        <v>2150</v>
      </c>
      <c r="F1284" s="1">
        <v>2440</v>
      </c>
      <c r="G1284" s="1">
        <v>23</v>
      </c>
      <c r="H1284" s="11"/>
      <c r="I1284" s="11"/>
      <c r="J1284" s="11"/>
      <c r="K1284" s="11"/>
      <c r="L1284" s="30"/>
      <c r="M1284" s="30"/>
      <c r="N1284" s="30"/>
      <c r="O1284" s="25"/>
    </row>
    <row r="1285" spans="1:15" x14ac:dyDescent="0.2">
      <c r="A1285" s="17" t="s">
        <v>4334</v>
      </c>
      <c r="B1285" s="17" t="s">
        <v>4335</v>
      </c>
      <c r="C1285" s="17">
        <v>15</v>
      </c>
      <c r="D1285" s="11"/>
      <c r="E1285" s="1">
        <v>2150</v>
      </c>
      <c r="F1285" s="1">
        <v>2440</v>
      </c>
      <c r="G1285" s="1">
        <v>53</v>
      </c>
      <c r="H1285" s="11"/>
      <c r="I1285" s="11"/>
      <c r="J1285" s="11"/>
      <c r="K1285" s="11"/>
      <c r="L1285" s="30"/>
      <c r="M1285" s="30"/>
      <c r="N1285" s="30"/>
      <c r="O1285" s="25"/>
    </row>
    <row r="1286" spans="1:15" x14ac:dyDescent="0.2">
      <c r="A1286" s="17" t="s">
        <v>4336</v>
      </c>
      <c r="B1286" s="17" t="s">
        <v>4337</v>
      </c>
      <c r="C1286" s="17">
        <v>6</v>
      </c>
      <c r="D1286" s="11"/>
      <c r="E1286" s="1">
        <v>2150</v>
      </c>
      <c r="F1286" s="1">
        <v>2440</v>
      </c>
      <c r="G1286" s="1">
        <v>23</v>
      </c>
      <c r="H1286" s="11"/>
      <c r="I1286" s="11"/>
      <c r="J1286" s="11"/>
      <c r="K1286" s="11"/>
      <c r="L1286" s="30"/>
      <c r="M1286" s="30"/>
      <c r="N1286" s="30"/>
      <c r="O1286" s="25"/>
    </row>
    <row r="1287" spans="1:15" x14ac:dyDescent="0.2">
      <c r="A1287" s="17" t="s">
        <v>4338</v>
      </c>
      <c r="B1287" s="17" t="s">
        <v>4339</v>
      </c>
      <c r="C1287" s="17">
        <v>15</v>
      </c>
      <c r="D1287" s="11"/>
      <c r="E1287" s="1">
        <v>1830</v>
      </c>
      <c r="F1287" s="1">
        <v>2440</v>
      </c>
      <c r="G1287" s="1">
        <v>41</v>
      </c>
      <c r="H1287" s="11"/>
      <c r="I1287" s="11"/>
      <c r="J1287" s="11"/>
      <c r="K1287" s="11"/>
      <c r="L1287" s="30"/>
      <c r="M1287" s="30"/>
      <c r="N1287" s="30"/>
      <c r="O1287" s="25"/>
    </row>
    <row r="1288" spans="1:15" x14ac:dyDescent="0.2">
      <c r="A1288" s="17" t="s">
        <v>4340</v>
      </c>
      <c r="B1288" s="17" t="s">
        <v>4341</v>
      </c>
      <c r="C1288" s="17">
        <v>15</v>
      </c>
      <c r="D1288" s="11"/>
      <c r="E1288" s="1">
        <v>2150</v>
      </c>
      <c r="F1288" s="1">
        <v>2440</v>
      </c>
      <c r="G1288" s="1">
        <v>53</v>
      </c>
      <c r="H1288" s="11"/>
      <c r="I1288" s="11"/>
      <c r="J1288" s="11"/>
      <c r="K1288" s="11"/>
      <c r="L1288" s="30"/>
      <c r="M1288" s="30"/>
      <c r="N1288" s="30"/>
      <c r="O1288" s="25"/>
    </row>
    <row r="1289" spans="1:15" x14ac:dyDescent="0.2">
      <c r="A1289" s="17" t="s">
        <v>4342</v>
      </c>
      <c r="B1289" s="17" t="s">
        <v>4343</v>
      </c>
      <c r="C1289" s="17">
        <v>15</v>
      </c>
      <c r="D1289" s="11"/>
      <c r="E1289" s="1">
        <v>2150</v>
      </c>
      <c r="F1289" s="1">
        <v>2440</v>
      </c>
      <c r="G1289" s="1">
        <v>53</v>
      </c>
      <c r="H1289" s="11"/>
      <c r="I1289" s="11"/>
      <c r="J1289" s="11"/>
      <c r="K1289" s="11"/>
      <c r="L1289" s="30"/>
      <c r="M1289" s="30"/>
      <c r="N1289" s="30"/>
      <c r="O1289" s="25"/>
    </row>
    <row r="1290" spans="1:15" x14ac:dyDescent="0.2">
      <c r="A1290" s="17" t="s">
        <v>4344</v>
      </c>
      <c r="B1290" s="17" t="s">
        <v>4345</v>
      </c>
      <c r="C1290" s="30"/>
      <c r="D1290" s="11"/>
      <c r="E1290" s="1">
        <v>2150</v>
      </c>
      <c r="F1290" s="1">
        <v>2440</v>
      </c>
      <c r="G1290" s="1">
        <v>117</v>
      </c>
      <c r="H1290" s="11"/>
      <c r="I1290" s="11"/>
      <c r="J1290" s="11"/>
      <c r="K1290" s="11"/>
      <c r="L1290" s="30"/>
      <c r="M1290" s="30"/>
      <c r="N1290" s="30"/>
      <c r="O1290" s="25"/>
    </row>
    <row r="1291" spans="1:15" x14ac:dyDescent="0.2">
      <c r="A1291" s="17" t="s">
        <v>4346</v>
      </c>
      <c r="B1291" s="17" t="s">
        <v>4347</v>
      </c>
      <c r="C1291" s="17">
        <v>36</v>
      </c>
      <c r="D1291" s="11"/>
      <c r="E1291" s="1">
        <v>1830</v>
      </c>
      <c r="F1291" s="1">
        <v>2440</v>
      </c>
      <c r="G1291" s="1">
        <v>78</v>
      </c>
      <c r="H1291" s="11"/>
      <c r="I1291" s="11"/>
      <c r="J1291" s="11"/>
      <c r="K1291" s="11"/>
      <c r="L1291" s="30"/>
      <c r="M1291" s="30"/>
      <c r="N1291" s="30"/>
      <c r="O1291" s="25"/>
    </row>
    <row r="1292" spans="1:15" x14ac:dyDescent="0.2">
      <c r="A1292" s="17" t="s">
        <v>4348</v>
      </c>
      <c r="B1292" s="17" t="s">
        <v>4349</v>
      </c>
      <c r="C1292" s="17">
        <v>36</v>
      </c>
      <c r="D1292" s="11"/>
      <c r="E1292" s="1">
        <v>2150</v>
      </c>
      <c r="F1292" s="1">
        <v>2440</v>
      </c>
      <c r="G1292" s="1">
        <v>117</v>
      </c>
      <c r="H1292" s="11"/>
      <c r="I1292" s="11"/>
      <c r="J1292" s="11"/>
      <c r="K1292" s="11"/>
      <c r="L1292" s="30"/>
      <c r="M1292" s="30"/>
      <c r="N1292" s="30"/>
      <c r="O1292" s="25"/>
    </row>
    <row r="1293" spans="1:15" x14ac:dyDescent="0.2">
      <c r="A1293" s="17" t="s">
        <v>4350</v>
      </c>
      <c r="B1293" s="17" t="s">
        <v>4351</v>
      </c>
      <c r="C1293" s="17">
        <v>3</v>
      </c>
      <c r="D1293" s="11"/>
      <c r="E1293" s="1">
        <v>1220</v>
      </c>
      <c r="F1293" s="1">
        <v>2440</v>
      </c>
      <c r="G1293" s="1">
        <v>6</v>
      </c>
      <c r="H1293" s="11"/>
      <c r="I1293" s="11"/>
      <c r="J1293" s="11"/>
      <c r="K1293" s="11"/>
      <c r="L1293" s="30"/>
      <c r="M1293" s="30"/>
      <c r="N1293" s="30"/>
      <c r="O1293" s="25"/>
    </row>
    <row r="1294" spans="1:15" x14ac:dyDescent="0.2">
      <c r="A1294" s="17" t="s">
        <v>4352</v>
      </c>
      <c r="B1294" s="17" t="s">
        <v>4353</v>
      </c>
      <c r="C1294" s="17">
        <v>18</v>
      </c>
      <c r="D1294" s="11"/>
      <c r="E1294" s="1">
        <v>2150</v>
      </c>
      <c r="F1294" s="1">
        <v>2440</v>
      </c>
      <c r="G1294" s="1">
        <v>61</v>
      </c>
      <c r="H1294" s="11"/>
      <c r="I1294" s="11"/>
      <c r="J1294" s="11"/>
      <c r="K1294" s="11"/>
      <c r="L1294" s="30"/>
      <c r="M1294" s="30"/>
      <c r="N1294" s="30"/>
      <c r="O1294" s="25"/>
    </row>
    <row r="1295" spans="1:15" x14ac:dyDescent="0.2">
      <c r="A1295" s="17" t="s">
        <v>4354</v>
      </c>
      <c r="B1295" s="17" t="s">
        <v>4355</v>
      </c>
      <c r="C1295" s="17">
        <v>15</v>
      </c>
      <c r="D1295" s="11"/>
      <c r="E1295" s="1">
        <v>2150</v>
      </c>
      <c r="F1295" s="1">
        <v>2440</v>
      </c>
      <c r="G1295" s="1">
        <v>50</v>
      </c>
      <c r="H1295" s="11"/>
      <c r="I1295" s="11"/>
      <c r="J1295" s="11"/>
      <c r="K1295" s="11"/>
      <c r="L1295" s="30"/>
      <c r="M1295" s="30"/>
      <c r="N1295" s="30"/>
      <c r="O1295" s="25"/>
    </row>
    <row r="1296" spans="1:15" x14ac:dyDescent="0.2">
      <c r="A1296" s="17" t="s">
        <v>4356</v>
      </c>
      <c r="B1296" s="17" t="s">
        <v>4357</v>
      </c>
      <c r="C1296" s="17">
        <v>36</v>
      </c>
      <c r="D1296" s="11"/>
      <c r="E1296" s="1">
        <v>2150</v>
      </c>
      <c r="F1296" s="1">
        <v>2440</v>
      </c>
      <c r="G1296" s="1">
        <v>117</v>
      </c>
      <c r="H1296" s="11"/>
      <c r="I1296" s="11"/>
      <c r="J1296" s="11"/>
      <c r="K1296" s="11"/>
      <c r="L1296" s="30"/>
      <c r="M1296" s="30"/>
      <c r="N1296" s="30"/>
      <c r="O1296" s="25"/>
    </row>
    <row r="1297" spans="1:15" x14ac:dyDescent="0.2">
      <c r="A1297" s="17" t="s">
        <v>4358</v>
      </c>
      <c r="B1297" s="17" t="s">
        <v>4359</v>
      </c>
      <c r="C1297" s="17">
        <v>18</v>
      </c>
      <c r="D1297" s="11"/>
      <c r="E1297" s="1">
        <v>2150</v>
      </c>
      <c r="F1297" s="1">
        <v>2440</v>
      </c>
      <c r="G1297" s="1">
        <v>61</v>
      </c>
      <c r="H1297" s="11"/>
      <c r="I1297" s="11"/>
      <c r="J1297" s="11"/>
      <c r="K1297" s="11"/>
      <c r="L1297" s="30"/>
      <c r="M1297" s="30"/>
      <c r="N1297" s="30"/>
      <c r="O1297" s="25"/>
    </row>
    <row r="1298" spans="1:15" x14ac:dyDescent="0.2">
      <c r="A1298" s="17" t="s">
        <v>4360</v>
      </c>
      <c r="B1298" s="17" t="s">
        <v>4361</v>
      </c>
      <c r="C1298" s="17">
        <v>36</v>
      </c>
      <c r="D1298" s="11"/>
      <c r="E1298" s="1">
        <v>2150</v>
      </c>
      <c r="F1298" s="1">
        <v>2440</v>
      </c>
      <c r="G1298" s="1">
        <v>117</v>
      </c>
      <c r="H1298" s="11"/>
      <c r="I1298" s="11"/>
      <c r="J1298" s="11"/>
      <c r="K1298" s="11"/>
      <c r="L1298" s="30"/>
      <c r="M1298" s="30"/>
      <c r="N1298" s="30"/>
      <c r="O1298" s="25"/>
    </row>
    <row r="1299" spans="1:15" x14ac:dyDescent="0.2">
      <c r="A1299" s="17" t="s">
        <v>4362</v>
      </c>
      <c r="B1299" s="17" t="s">
        <v>4363</v>
      </c>
      <c r="C1299" s="17">
        <v>36</v>
      </c>
      <c r="D1299" s="11"/>
      <c r="E1299" s="1">
        <v>2150</v>
      </c>
      <c r="F1299" s="1">
        <v>2440</v>
      </c>
      <c r="G1299" s="1">
        <v>117</v>
      </c>
      <c r="H1299" s="11"/>
      <c r="I1299" s="11"/>
      <c r="J1299" s="11"/>
      <c r="K1299" s="11"/>
      <c r="L1299" s="30"/>
      <c r="M1299" s="30"/>
      <c r="N1299" s="30"/>
      <c r="O1299" s="25"/>
    </row>
    <row r="1300" spans="1:15" x14ac:dyDescent="0.2">
      <c r="A1300" s="17" t="s">
        <v>4364</v>
      </c>
      <c r="B1300" s="17" t="s">
        <v>4365</v>
      </c>
      <c r="C1300" s="17">
        <v>6</v>
      </c>
      <c r="D1300" s="11"/>
      <c r="E1300" s="1">
        <v>2150</v>
      </c>
      <c r="F1300" s="1">
        <v>2440</v>
      </c>
      <c r="G1300" s="1">
        <v>23</v>
      </c>
      <c r="H1300" s="11"/>
      <c r="I1300" s="11"/>
      <c r="J1300" s="11"/>
      <c r="K1300" s="11"/>
      <c r="L1300" s="30"/>
      <c r="M1300" s="30"/>
      <c r="N1300" s="30"/>
      <c r="O1300" s="25"/>
    </row>
    <row r="1301" spans="1:15" x14ac:dyDescent="0.2">
      <c r="A1301" s="17" t="s">
        <v>4366</v>
      </c>
      <c r="B1301" s="17" t="s">
        <v>4367</v>
      </c>
      <c r="C1301" s="17">
        <v>6</v>
      </c>
      <c r="D1301" s="11"/>
      <c r="E1301" s="1">
        <v>2150</v>
      </c>
      <c r="F1301" s="1">
        <v>2440</v>
      </c>
      <c r="G1301" s="1">
        <v>23</v>
      </c>
      <c r="H1301" s="11"/>
      <c r="I1301" s="11"/>
      <c r="J1301" s="11"/>
      <c r="K1301" s="11"/>
      <c r="L1301" s="30"/>
      <c r="M1301" s="30"/>
      <c r="N1301" s="30"/>
      <c r="O1301" s="32"/>
    </row>
    <row r="1302" spans="1:15" x14ac:dyDescent="0.2">
      <c r="A1302" s="17" t="s">
        <v>4368</v>
      </c>
      <c r="B1302" s="17" t="s">
        <v>4369</v>
      </c>
      <c r="C1302" s="17">
        <v>3</v>
      </c>
      <c r="D1302" s="11"/>
      <c r="E1302" s="1">
        <v>1220</v>
      </c>
      <c r="F1302" s="1">
        <v>2440</v>
      </c>
      <c r="G1302" s="1">
        <v>6</v>
      </c>
      <c r="H1302" s="11"/>
      <c r="I1302" s="11"/>
      <c r="J1302" s="11"/>
      <c r="K1302" s="11"/>
      <c r="L1302" s="30"/>
      <c r="M1302" s="30"/>
      <c r="N1302" s="30"/>
      <c r="O1302" s="25"/>
    </row>
    <row r="1303" spans="1:15" x14ac:dyDescent="0.2">
      <c r="A1303" s="17" t="s">
        <v>4370</v>
      </c>
      <c r="B1303" s="17" t="s">
        <v>4371</v>
      </c>
      <c r="C1303" s="17">
        <v>18</v>
      </c>
      <c r="D1303" s="11"/>
      <c r="E1303" s="1">
        <v>2150</v>
      </c>
      <c r="F1303" s="1">
        <v>2440</v>
      </c>
      <c r="G1303" s="1">
        <v>61</v>
      </c>
      <c r="H1303" s="11"/>
      <c r="I1303" s="11"/>
      <c r="J1303" s="11"/>
      <c r="K1303" s="11"/>
      <c r="L1303" s="30"/>
      <c r="M1303" s="30"/>
      <c r="N1303" s="30"/>
      <c r="O1303" s="25"/>
    </row>
    <row r="1304" spans="1:15" x14ac:dyDescent="0.2">
      <c r="A1304" s="17" t="s">
        <v>4372</v>
      </c>
      <c r="B1304" s="17" t="s">
        <v>4373</v>
      </c>
      <c r="C1304" s="17">
        <v>36</v>
      </c>
      <c r="D1304" s="11"/>
      <c r="E1304" s="1">
        <v>2150</v>
      </c>
      <c r="F1304" s="1">
        <v>2440</v>
      </c>
      <c r="G1304" s="1">
        <v>117</v>
      </c>
      <c r="H1304" s="11"/>
      <c r="I1304" s="11"/>
      <c r="J1304" s="11"/>
      <c r="K1304" s="11"/>
      <c r="L1304" s="30"/>
      <c r="M1304" s="30"/>
      <c r="N1304" s="30"/>
      <c r="O1304" s="25"/>
    </row>
    <row r="1305" spans="1:15" x14ac:dyDescent="0.2">
      <c r="A1305" s="17" t="s">
        <v>4374</v>
      </c>
      <c r="B1305" s="17" t="s">
        <v>4375</v>
      </c>
      <c r="C1305" s="17">
        <v>3</v>
      </c>
      <c r="D1305" s="11"/>
      <c r="E1305" s="1">
        <v>1220</v>
      </c>
      <c r="F1305" s="1">
        <v>2440</v>
      </c>
      <c r="G1305" s="1">
        <v>6</v>
      </c>
      <c r="H1305" s="11"/>
      <c r="I1305" s="11"/>
      <c r="J1305" s="11"/>
      <c r="K1305" s="11"/>
      <c r="L1305" s="30"/>
      <c r="M1305" s="30"/>
      <c r="N1305" s="30"/>
      <c r="O1305" s="25"/>
    </row>
    <row r="1306" spans="1:15" x14ac:dyDescent="0.2">
      <c r="A1306" s="17" t="s">
        <v>4376</v>
      </c>
      <c r="B1306" s="17" t="s">
        <v>3236</v>
      </c>
      <c r="C1306" s="17">
        <v>36</v>
      </c>
      <c r="D1306" s="11"/>
      <c r="E1306" s="1">
        <v>2150</v>
      </c>
      <c r="F1306" s="1">
        <v>2440</v>
      </c>
      <c r="G1306" s="1">
        <v>117</v>
      </c>
      <c r="H1306" s="11"/>
      <c r="I1306" s="11"/>
      <c r="J1306" s="11"/>
      <c r="K1306" s="11"/>
      <c r="L1306" s="30"/>
      <c r="M1306" s="30"/>
      <c r="N1306" s="30"/>
      <c r="O1306" s="25"/>
    </row>
    <row r="1307" spans="1:15" x14ac:dyDescent="0.2">
      <c r="A1307" s="17" t="s">
        <v>4377</v>
      </c>
      <c r="B1307" s="17" t="s">
        <v>4378</v>
      </c>
      <c r="C1307" s="17">
        <v>36</v>
      </c>
      <c r="D1307" s="11"/>
      <c r="E1307" s="1">
        <v>2150</v>
      </c>
      <c r="F1307" s="1">
        <v>2440</v>
      </c>
      <c r="G1307" s="1">
        <v>117</v>
      </c>
      <c r="H1307" s="11"/>
      <c r="I1307" s="11"/>
      <c r="J1307" s="11"/>
      <c r="K1307" s="11"/>
      <c r="L1307" s="30"/>
      <c r="M1307" s="30"/>
      <c r="N1307" s="30"/>
      <c r="O1307" s="25"/>
    </row>
    <row r="1308" spans="1:15" x14ac:dyDescent="0.2">
      <c r="A1308" s="17" t="s">
        <v>4379</v>
      </c>
      <c r="B1308" s="17" t="s">
        <v>4297</v>
      </c>
      <c r="C1308" s="17">
        <v>18</v>
      </c>
      <c r="D1308" s="11"/>
      <c r="E1308" s="1">
        <v>2150</v>
      </c>
      <c r="F1308" s="1">
        <v>2440</v>
      </c>
      <c r="G1308" s="1">
        <v>61</v>
      </c>
      <c r="H1308" s="11"/>
      <c r="I1308" s="11"/>
      <c r="J1308" s="11"/>
      <c r="K1308" s="11"/>
      <c r="L1308" s="30"/>
      <c r="M1308" s="30"/>
      <c r="N1308" s="30"/>
      <c r="O1308" s="25"/>
    </row>
    <row r="1309" spans="1:15" x14ac:dyDescent="0.2">
      <c r="A1309" s="17" t="s">
        <v>4380</v>
      </c>
      <c r="B1309" s="17" t="s">
        <v>4381</v>
      </c>
      <c r="C1309" s="17">
        <v>36</v>
      </c>
      <c r="D1309" s="11"/>
      <c r="E1309" s="1">
        <v>2150</v>
      </c>
      <c r="F1309" s="1">
        <v>2440</v>
      </c>
      <c r="G1309" s="1">
        <v>117</v>
      </c>
      <c r="H1309" s="11"/>
      <c r="I1309" s="11"/>
      <c r="J1309" s="11"/>
      <c r="K1309" s="11"/>
      <c r="L1309" s="30"/>
      <c r="M1309" s="30"/>
      <c r="N1309" s="30"/>
      <c r="O1309" s="25"/>
    </row>
    <row r="1310" spans="1:15" x14ac:dyDescent="0.2">
      <c r="A1310" s="17" t="s">
        <v>4382</v>
      </c>
      <c r="B1310" s="17" t="s">
        <v>4383</v>
      </c>
      <c r="C1310" s="30"/>
      <c r="D1310" s="11"/>
      <c r="E1310" s="1">
        <v>2150</v>
      </c>
      <c r="F1310" s="1">
        <v>2440</v>
      </c>
      <c r="G1310" s="1">
        <v>117</v>
      </c>
      <c r="H1310" s="11"/>
      <c r="I1310" s="11"/>
      <c r="J1310" s="11"/>
      <c r="K1310" s="11"/>
      <c r="L1310" s="30"/>
      <c r="M1310" s="30"/>
      <c r="N1310" s="30"/>
      <c r="O1310" s="25"/>
    </row>
    <row r="1311" spans="1:15" x14ac:dyDescent="0.2">
      <c r="A1311" s="17" t="s">
        <v>4384</v>
      </c>
      <c r="B1311" s="17" t="s">
        <v>4385</v>
      </c>
      <c r="C1311" s="17">
        <v>15</v>
      </c>
      <c r="D1311" s="11"/>
      <c r="E1311" s="1">
        <v>1830</v>
      </c>
      <c r="F1311" s="1">
        <v>2440</v>
      </c>
      <c r="G1311" s="1">
        <v>41</v>
      </c>
      <c r="H1311" s="11"/>
      <c r="I1311" s="11"/>
      <c r="J1311" s="11"/>
      <c r="K1311" s="11"/>
      <c r="L1311" s="30"/>
      <c r="M1311" s="30"/>
      <c r="N1311" s="30"/>
      <c r="O1311" s="25"/>
    </row>
    <row r="1312" spans="1:15" x14ac:dyDescent="0.2">
      <c r="A1312" s="17" t="s">
        <v>4386</v>
      </c>
      <c r="B1312" s="17" t="s">
        <v>4387</v>
      </c>
      <c r="C1312" s="17">
        <v>36</v>
      </c>
      <c r="D1312" s="11"/>
      <c r="E1312" s="1">
        <v>2150</v>
      </c>
      <c r="F1312" s="1">
        <v>2440</v>
      </c>
      <c r="G1312" s="1">
        <v>117</v>
      </c>
      <c r="H1312" s="11"/>
      <c r="I1312" s="11"/>
      <c r="J1312" s="11"/>
      <c r="K1312" s="11"/>
      <c r="L1312" s="30"/>
      <c r="M1312" s="30"/>
      <c r="N1312" s="30"/>
      <c r="O1312" s="25"/>
    </row>
    <row r="1313" spans="1:15" x14ac:dyDescent="0.2">
      <c r="A1313" s="17" t="s">
        <v>4388</v>
      </c>
      <c r="B1313" s="17" t="s">
        <v>4389</v>
      </c>
      <c r="C1313" s="30"/>
      <c r="D1313" s="11"/>
      <c r="E1313" s="1">
        <v>2150</v>
      </c>
      <c r="F1313" s="1">
        <v>2440</v>
      </c>
      <c r="G1313" s="1">
        <v>117</v>
      </c>
      <c r="H1313" s="11"/>
      <c r="I1313" s="11"/>
      <c r="J1313" s="11"/>
      <c r="K1313" s="11"/>
      <c r="L1313" s="30"/>
      <c r="M1313" s="30"/>
      <c r="N1313" s="30"/>
      <c r="O1313" s="25"/>
    </row>
    <row r="1314" spans="1:15" x14ac:dyDescent="0.2">
      <c r="A1314" s="17" t="s">
        <v>4390</v>
      </c>
      <c r="B1314" s="17" t="s">
        <v>4391</v>
      </c>
      <c r="C1314" s="17">
        <v>15</v>
      </c>
      <c r="D1314" s="11"/>
      <c r="E1314" s="1">
        <v>2150</v>
      </c>
      <c r="F1314" s="1">
        <v>2440</v>
      </c>
      <c r="G1314" s="1">
        <v>53</v>
      </c>
      <c r="H1314" s="11"/>
      <c r="I1314" s="11"/>
      <c r="J1314" s="11"/>
      <c r="K1314" s="11"/>
      <c r="L1314" s="30"/>
      <c r="M1314" s="30"/>
      <c r="N1314" s="30"/>
      <c r="O1314" s="25"/>
    </row>
    <row r="1315" spans="1:15" x14ac:dyDescent="0.2">
      <c r="A1315" s="17" t="s">
        <v>4392</v>
      </c>
      <c r="B1315" s="17" t="s">
        <v>4393</v>
      </c>
      <c r="C1315" s="17">
        <v>18</v>
      </c>
      <c r="D1315" s="11"/>
      <c r="E1315" s="1">
        <v>1220</v>
      </c>
      <c r="F1315" s="1">
        <v>2440</v>
      </c>
      <c r="G1315" s="1">
        <v>35</v>
      </c>
      <c r="H1315" s="11"/>
      <c r="I1315" s="11"/>
      <c r="J1315" s="11"/>
      <c r="K1315" s="11"/>
      <c r="L1315" s="30"/>
      <c r="M1315" s="30"/>
      <c r="N1315" s="30"/>
      <c r="O1315" s="25"/>
    </row>
    <row r="1316" spans="1:15" x14ac:dyDescent="0.2">
      <c r="A1316" s="17" t="s">
        <v>4394</v>
      </c>
      <c r="B1316" s="17" t="s">
        <v>4395</v>
      </c>
      <c r="C1316" s="17">
        <v>36</v>
      </c>
      <c r="D1316" s="11"/>
      <c r="E1316" s="1">
        <v>2150</v>
      </c>
      <c r="F1316" s="1">
        <v>2440</v>
      </c>
      <c r="G1316" s="1">
        <v>117</v>
      </c>
      <c r="H1316" s="11"/>
      <c r="I1316" s="11"/>
      <c r="J1316" s="11"/>
      <c r="K1316" s="11"/>
      <c r="L1316" s="30"/>
      <c r="M1316" s="30"/>
      <c r="N1316" s="30"/>
      <c r="O1316" s="25"/>
    </row>
    <row r="1317" spans="1:15" x14ac:dyDescent="0.2">
      <c r="A1317" s="17" t="s">
        <v>4396</v>
      </c>
      <c r="B1317" s="17" t="s">
        <v>4397</v>
      </c>
      <c r="C1317" s="17">
        <v>25</v>
      </c>
      <c r="D1317" s="11"/>
      <c r="E1317" s="1">
        <v>2150</v>
      </c>
      <c r="F1317" s="1">
        <v>2440</v>
      </c>
      <c r="G1317" s="1">
        <v>83</v>
      </c>
      <c r="H1317" s="11"/>
      <c r="I1317" s="11"/>
      <c r="J1317" s="11"/>
      <c r="K1317" s="11"/>
      <c r="L1317" s="30"/>
      <c r="M1317" s="30"/>
      <c r="N1317" s="30"/>
      <c r="O1317" s="25"/>
    </row>
    <row r="1318" spans="1:15" x14ac:dyDescent="0.2">
      <c r="A1318" s="17" t="s">
        <v>4398</v>
      </c>
      <c r="B1318" s="17" t="s">
        <v>4399</v>
      </c>
      <c r="C1318" s="17">
        <v>18</v>
      </c>
      <c r="D1318" s="11"/>
      <c r="E1318" s="1">
        <v>2150</v>
      </c>
      <c r="F1318" s="1">
        <v>2440</v>
      </c>
      <c r="G1318" s="1">
        <v>61</v>
      </c>
      <c r="H1318" s="11"/>
      <c r="I1318" s="11"/>
      <c r="J1318" s="11"/>
      <c r="K1318" s="11"/>
      <c r="L1318" s="30"/>
      <c r="M1318" s="30"/>
      <c r="N1318" s="30"/>
      <c r="O1318" s="25"/>
    </row>
    <row r="1319" spans="1:15" x14ac:dyDescent="0.2">
      <c r="A1319" s="17" t="s">
        <v>415</v>
      </c>
      <c r="B1319" s="17" t="s">
        <v>416</v>
      </c>
      <c r="C1319" s="17">
        <v>6</v>
      </c>
      <c r="D1319" s="11"/>
      <c r="E1319" s="1">
        <v>2150</v>
      </c>
      <c r="F1319" s="1">
        <v>2440</v>
      </c>
      <c r="G1319" s="1">
        <v>23</v>
      </c>
      <c r="H1319" s="11"/>
      <c r="I1319" s="11"/>
      <c r="J1319" s="11"/>
      <c r="K1319" s="11"/>
      <c r="L1319" s="30"/>
      <c r="M1319" s="30"/>
      <c r="N1319" s="30"/>
      <c r="O1319" s="25"/>
    </row>
    <row r="1320" spans="1:15" x14ac:dyDescent="0.2">
      <c r="A1320" s="17" t="s">
        <v>4400</v>
      </c>
      <c r="B1320" s="17" t="s">
        <v>4401</v>
      </c>
      <c r="C1320" s="17">
        <v>18</v>
      </c>
      <c r="D1320" s="11"/>
      <c r="E1320" s="1">
        <v>2150</v>
      </c>
      <c r="F1320" s="1">
        <v>2440</v>
      </c>
      <c r="G1320" s="1">
        <v>61</v>
      </c>
      <c r="H1320" s="11"/>
      <c r="I1320" s="11"/>
      <c r="J1320" s="11"/>
      <c r="K1320" s="11"/>
      <c r="L1320" s="30"/>
      <c r="M1320" s="30"/>
      <c r="N1320" s="30"/>
      <c r="O1320" s="25"/>
    </row>
    <row r="1321" spans="1:15" x14ac:dyDescent="0.2">
      <c r="A1321" s="17" t="s">
        <v>4402</v>
      </c>
      <c r="B1321" s="17" t="s">
        <v>4403</v>
      </c>
      <c r="C1321" s="17">
        <v>36</v>
      </c>
      <c r="D1321" s="11"/>
      <c r="E1321" s="1">
        <v>2150</v>
      </c>
      <c r="F1321" s="1">
        <v>2440</v>
      </c>
      <c r="G1321" s="1">
        <v>117</v>
      </c>
      <c r="H1321" s="11"/>
      <c r="I1321" s="11"/>
      <c r="J1321" s="11"/>
      <c r="K1321" s="11"/>
      <c r="L1321" s="30"/>
      <c r="M1321" s="30"/>
      <c r="N1321" s="30"/>
      <c r="O1321" s="25"/>
    </row>
    <row r="1322" spans="1:15" x14ac:dyDescent="0.2">
      <c r="A1322" s="17" t="s">
        <v>4404</v>
      </c>
      <c r="B1322" s="17" t="s">
        <v>4405</v>
      </c>
      <c r="C1322" s="17">
        <v>18</v>
      </c>
      <c r="D1322" s="11"/>
      <c r="E1322" s="1">
        <v>1860</v>
      </c>
      <c r="F1322" s="1">
        <v>2750</v>
      </c>
      <c r="G1322" s="1">
        <v>60</v>
      </c>
      <c r="H1322" s="11"/>
      <c r="I1322" s="11"/>
      <c r="J1322" s="11"/>
      <c r="K1322" s="11"/>
      <c r="L1322" s="30"/>
      <c r="M1322" s="30"/>
      <c r="N1322" s="30"/>
      <c r="O1322" s="25"/>
    </row>
    <row r="1323" spans="1:15" x14ac:dyDescent="0.2">
      <c r="A1323" s="17" t="s">
        <v>4406</v>
      </c>
      <c r="B1323" s="17" t="s">
        <v>4407</v>
      </c>
      <c r="C1323" s="17">
        <v>19</v>
      </c>
      <c r="D1323" s="11"/>
      <c r="E1323" s="1">
        <v>2150</v>
      </c>
      <c r="F1323" s="1">
        <v>2440</v>
      </c>
      <c r="G1323" s="1">
        <v>117</v>
      </c>
      <c r="H1323" s="11"/>
      <c r="I1323" s="11"/>
      <c r="J1323" s="11"/>
      <c r="K1323" s="11"/>
      <c r="L1323" s="30"/>
      <c r="M1323" s="30"/>
      <c r="N1323" s="30"/>
      <c r="O1323" s="2"/>
    </row>
    <row r="1324" spans="1:15" x14ac:dyDescent="0.2">
      <c r="A1324" s="17" t="s">
        <v>4408</v>
      </c>
      <c r="B1324" s="17" t="s">
        <v>4409</v>
      </c>
      <c r="C1324" s="17">
        <v>18</v>
      </c>
      <c r="D1324" s="11"/>
      <c r="E1324" s="1">
        <v>2150</v>
      </c>
      <c r="F1324" s="1">
        <v>2440</v>
      </c>
      <c r="G1324" s="1">
        <v>61</v>
      </c>
      <c r="H1324" s="11"/>
      <c r="I1324" s="11"/>
      <c r="J1324" s="11"/>
      <c r="K1324" s="11"/>
      <c r="L1324" s="30"/>
      <c r="M1324" s="30"/>
      <c r="N1324" s="30"/>
      <c r="O1324" s="2"/>
    </row>
    <row r="1325" spans="1:15" x14ac:dyDescent="0.2">
      <c r="A1325" s="17" t="s">
        <v>4410</v>
      </c>
      <c r="B1325" s="17" t="s">
        <v>4411</v>
      </c>
      <c r="C1325" s="17">
        <v>6</v>
      </c>
      <c r="D1325" s="11"/>
      <c r="E1325" s="1">
        <v>2150</v>
      </c>
      <c r="F1325" s="1">
        <v>2440</v>
      </c>
      <c r="G1325" s="1">
        <v>23</v>
      </c>
      <c r="H1325" s="11"/>
      <c r="I1325" s="11"/>
      <c r="J1325" s="11"/>
      <c r="K1325" s="11"/>
      <c r="L1325" s="30"/>
      <c r="M1325" s="30"/>
      <c r="N1325" s="30"/>
      <c r="O1325" s="2"/>
    </row>
    <row r="1326" spans="1:15" x14ac:dyDescent="0.2">
      <c r="A1326" s="17" t="s">
        <v>4412</v>
      </c>
      <c r="B1326" s="17" t="s">
        <v>4413</v>
      </c>
      <c r="C1326" s="17">
        <v>18</v>
      </c>
      <c r="D1326" s="11"/>
      <c r="E1326" s="1">
        <v>2150</v>
      </c>
      <c r="F1326" s="1">
        <v>2440</v>
      </c>
      <c r="G1326" s="1">
        <v>61</v>
      </c>
      <c r="H1326" s="11"/>
      <c r="I1326" s="11"/>
      <c r="J1326" s="11"/>
      <c r="K1326" s="11"/>
      <c r="L1326" s="30"/>
      <c r="M1326" s="30"/>
      <c r="N1326" s="30"/>
      <c r="O1326" s="2"/>
    </row>
    <row r="1327" spans="1:15" x14ac:dyDescent="0.2">
      <c r="A1327" s="17" t="s">
        <v>4414</v>
      </c>
      <c r="B1327" s="17" t="s">
        <v>4415</v>
      </c>
      <c r="C1327" s="17">
        <v>3</v>
      </c>
      <c r="D1327" s="11"/>
      <c r="E1327" s="1">
        <v>1220</v>
      </c>
      <c r="F1327" s="1">
        <v>2440</v>
      </c>
      <c r="G1327" s="1">
        <v>5</v>
      </c>
      <c r="H1327" s="11"/>
      <c r="I1327" s="11"/>
      <c r="J1327" s="11"/>
      <c r="K1327" s="11"/>
      <c r="L1327" s="30"/>
      <c r="M1327" s="30"/>
      <c r="N1327" s="30"/>
      <c r="O1327" s="2"/>
    </row>
    <row r="1328" spans="1:15" x14ac:dyDescent="0.2">
      <c r="A1328" s="17" t="s">
        <v>4416</v>
      </c>
      <c r="B1328" s="17" t="s">
        <v>4417</v>
      </c>
      <c r="C1328" s="17">
        <v>12</v>
      </c>
      <c r="D1328" s="11"/>
      <c r="E1328" s="1">
        <v>2150</v>
      </c>
      <c r="F1328" s="1">
        <v>2440</v>
      </c>
      <c r="G1328" s="1">
        <v>117</v>
      </c>
      <c r="H1328" s="11"/>
      <c r="I1328" s="11"/>
      <c r="J1328" s="11"/>
      <c r="K1328" s="11"/>
      <c r="L1328" s="30"/>
      <c r="M1328" s="30"/>
      <c r="N1328" s="30"/>
      <c r="O1328" s="2"/>
    </row>
    <row r="1329" spans="1:15" x14ac:dyDescent="0.2">
      <c r="A1329" s="17" t="s">
        <v>4418</v>
      </c>
      <c r="B1329" s="17" t="s">
        <v>4303</v>
      </c>
      <c r="C1329" s="17">
        <v>15</v>
      </c>
      <c r="D1329" s="11"/>
      <c r="E1329" s="1">
        <v>2150</v>
      </c>
      <c r="F1329" s="1">
        <v>2440</v>
      </c>
      <c r="G1329" s="1">
        <v>53</v>
      </c>
      <c r="H1329" s="11"/>
      <c r="I1329" s="11"/>
      <c r="J1329" s="11"/>
      <c r="K1329" s="11"/>
      <c r="L1329" s="30"/>
      <c r="M1329" s="30"/>
      <c r="N1329" s="30"/>
      <c r="O1329" s="2"/>
    </row>
    <row r="1330" spans="1:15" x14ac:dyDescent="0.2">
      <c r="A1330" s="17" t="s">
        <v>4419</v>
      </c>
      <c r="B1330" s="17" t="s">
        <v>4420</v>
      </c>
      <c r="C1330" s="17">
        <v>6</v>
      </c>
      <c r="D1330" s="11"/>
      <c r="E1330" s="1">
        <v>2150</v>
      </c>
      <c r="F1330" s="1">
        <v>2440</v>
      </c>
      <c r="G1330" s="1">
        <v>23</v>
      </c>
      <c r="H1330" s="11"/>
      <c r="I1330" s="11"/>
      <c r="J1330" s="11"/>
      <c r="K1330" s="11"/>
      <c r="L1330" s="30"/>
      <c r="M1330" s="30"/>
      <c r="N1330" s="30"/>
      <c r="O1330" s="2"/>
    </row>
    <row r="1331" spans="1:15" x14ac:dyDescent="0.2">
      <c r="A1331" s="17" t="s">
        <v>4421</v>
      </c>
      <c r="B1331" s="17" t="s">
        <v>4422</v>
      </c>
      <c r="C1331" s="17">
        <v>12</v>
      </c>
      <c r="D1331" s="11"/>
      <c r="E1331" s="1">
        <v>1220</v>
      </c>
      <c r="F1331" s="1">
        <v>2440</v>
      </c>
      <c r="G1331" s="1">
        <v>24</v>
      </c>
      <c r="H1331" s="11"/>
      <c r="I1331" s="11"/>
      <c r="J1331" s="11"/>
      <c r="K1331" s="11"/>
      <c r="L1331" s="30"/>
      <c r="M1331" s="30"/>
      <c r="N1331" s="30"/>
      <c r="O1331" s="2"/>
    </row>
    <row r="1332" spans="1:15" x14ac:dyDescent="0.2">
      <c r="A1332" s="17" t="s">
        <v>4423</v>
      </c>
      <c r="B1332" s="17" t="s">
        <v>4424</v>
      </c>
      <c r="C1332" s="17">
        <v>18</v>
      </c>
      <c r="D1332" s="11"/>
      <c r="E1332" s="1">
        <v>2150</v>
      </c>
      <c r="F1332" s="1">
        <v>2440</v>
      </c>
      <c r="G1332" s="1">
        <v>61</v>
      </c>
      <c r="H1332" s="11"/>
      <c r="I1332" s="11"/>
      <c r="J1332" s="11"/>
      <c r="K1332" s="11"/>
      <c r="L1332" s="30"/>
      <c r="M1332" s="30"/>
      <c r="N1332" s="30"/>
      <c r="O1332" s="2"/>
    </row>
    <row r="1333" spans="1:15" x14ac:dyDescent="0.2">
      <c r="A1333" s="17" t="s">
        <v>4425</v>
      </c>
      <c r="B1333" s="17" t="s">
        <v>4426</v>
      </c>
      <c r="C1333" s="17">
        <v>12</v>
      </c>
      <c r="D1333" s="1"/>
      <c r="E1333" s="1">
        <v>1830</v>
      </c>
      <c r="F1333" s="1">
        <v>2440</v>
      </c>
      <c r="G1333" s="1">
        <v>33</v>
      </c>
      <c r="H1333" s="11"/>
      <c r="I1333" s="11"/>
      <c r="J1333" s="11"/>
      <c r="K1333" s="11"/>
      <c r="L1333" s="30"/>
      <c r="M1333" s="30"/>
      <c r="N1333" s="30"/>
      <c r="O1333" s="2"/>
    </row>
    <row r="1334" spans="1:15" x14ac:dyDescent="0.2">
      <c r="A1334" s="17" t="s">
        <v>4427</v>
      </c>
      <c r="B1334" s="17" t="s">
        <v>4428</v>
      </c>
      <c r="C1334" s="17">
        <v>36</v>
      </c>
      <c r="D1334" s="11"/>
      <c r="E1334" s="1">
        <v>2150</v>
      </c>
      <c r="F1334" s="1">
        <v>2440</v>
      </c>
      <c r="G1334" s="1">
        <v>117</v>
      </c>
      <c r="H1334" s="11"/>
      <c r="I1334" s="11"/>
      <c r="J1334" s="11"/>
      <c r="K1334" s="11"/>
      <c r="L1334" s="30"/>
      <c r="M1334" s="30"/>
      <c r="N1334" s="30"/>
      <c r="O1334" s="2"/>
    </row>
    <row r="1335" spans="1:15" x14ac:dyDescent="0.2">
      <c r="A1335" s="17" t="s">
        <v>4429</v>
      </c>
      <c r="B1335" s="17" t="s">
        <v>4430</v>
      </c>
      <c r="C1335" s="17">
        <v>36</v>
      </c>
      <c r="D1335" s="11"/>
      <c r="E1335" s="1">
        <v>2150</v>
      </c>
      <c r="F1335" s="1">
        <v>2440</v>
      </c>
      <c r="G1335" s="1">
        <v>117</v>
      </c>
      <c r="H1335" s="11"/>
      <c r="I1335" s="11"/>
      <c r="J1335" s="11"/>
      <c r="K1335" s="11"/>
      <c r="L1335" s="30"/>
      <c r="M1335" s="30"/>
      <c r="N1335" s="30"/>
      <c r="O1335" s="2"/>
    </row>
    <row r="1336" spans="1:15" x14ac:dyDescent="0.2">
      <c r="A1336" s="17" t="s">
        <v>4431</v>
      </c>
      <c r="B1336" s="17" t="s">
        <v>4432</v>
      </c>
      <c r="C1336" s="17">
        <v>6</v>
      </c>
      <c r="D1336" s="11"/>
      <c r="E1336" s="1">
        <v>2150</v>
      </c>
      <c r="F1336" s="1">
        <v>2440</v>
      </c>
      <c r="G1336" s="1">
        <v>23</v>
      </c>
      <c r="H1336" s="11"/>
      <c r="I1336" s="11"/>
      <c r="J1336" s="11"/>
      <c r="K1336" s="11"/>
      <c r="L1336" s="30"/>
      <c r="M1336" s="30"/>
      <c r="N1336" s="30"/>
      <c r="O1336" s="2"/>
    </row>
    <row r="1337" spans="1:15" x14ac:dyDescent="0.2">
      <c r="A1337" s="17" t="s">
        <v>4433</v>
      </c>
      <c r="B1337" s="17" t="s">
        <v>4434</v>
      </c>
      <c r="C1337" s="17">
        <v>6</v>
      </c>
      <c r="D1337" s="11"/>
      <c r="E1337" s="1">
        <v>2150</v>
      </c>
      <c r="F1337" s="1">
        <v>2440</v>
      </c>
      <c r="G1337" s="1">
        <v>23</v>
      </c>
      <c r="H1337" s="11"/>
      <c r="I1337" s="11"/>
      <c r="J1337" s="11"/>
      <c r="K1337" s="11"/>
      <c r="L1337" s="17"/>
      <c r="M1337" s="17"/>
      <c r="N1337" s="17"/>
      <c r="O1337" s="2"/>
    </row>
    <row r="1338" spans="1:15" x14ac:dyDescent="0.2">
      <c r="A1338" s="17" t="s">
        <v>4435</v>
      </c>
      <c r="B1338" s="17" t="s">
        <v>4436</v>
      </c>
      <c r="C1338" s="17">
        <v>15</v>
      </c>
      <c r="D1338" s="11"/>
      <c r="E1338" s="1">
        <v>2150</v>
      </c>
      <c r="F1338" s="1">
        <v>2440</v>
      </c>
      <c r="G1338" s="1">
        <v>53</v>
      </c>
      <c r="H1338" s="11"/>
      <c r="I1338" s="11"/>
      <c r="J1338" s="11"/>
      <c r="K1338" s="11"/>
      <c r="L1338" s="17"/>
      <c r="M1338" s="17"/>
      <c r="N1338" s="17"/>
      <c r="O1338" s="2"/>
    </row>
    <row r="1339" spans="1:15" x14ac:dyDescent="0.2">
      <c r="A1339" s="17" t="s">
        <v>4437</v>
      </c>
      <c r="B1339" s="17" t="s">
        <v>4438</v>
      </c>
      <c r="C1339" s="17">
        <v>36</v>
      </c>
      <c r="D1339" s="11"/>
      <c r="E1339" s="1">
        <v>2150</v>
      </c>
      <c r="F1339" s="1">
        <v>2440</v>
      </c>
      <c r="G1339" s="1">
        <v>117</v>
      </c>
      <c r="H1339" s="11"/>
      <c r="I1339" s="11"/>
      <c r="J1339" s="11"/>
      <c r="K1339" s="11"/>
      <c r="L1339" s="17"/>
      <c r="M1339" s="17"/>
      <c r="N1339" s="17"/>
      <c r="O1339" s="2"/>
    </row>
    <row r="1340" spans="1:15" x14ac:dyDescent="0.2">
      <c r="A1340" s="17" t="s">
        <v>4439</v>
      </c>
      <c r="B1340" s="17" t="s">
        <v>4440</v>
      </c>
      <c r="C1340" s="17">
        <v>15</v>
      </c>
      <c r="D1340" s="11"/>
      <c r="E1340" s="1">
        <v>2150</v>
      </c>
      <c r="F1340" s="1">
        <v>2440</v>
      </c>
      <c r="G1340" s="1">
        <v>53</v>
      </c>
      <c r="H1340" s="11"/>
      <c r="I1340" s="11"/>
      <c r="J1340" s="11"/>
      <c r="K1340" s="11"/>
      <c r="L1340" s="17"/>
      <c r="M1340" s="17"/>
      <c r="N1340" s="17"/>
      <c r="O1340" s="2"/>
    </row>
    <row r="1341" spans="1:15" x14ac:dyDescent="0.2">
      <c r="A1341" s="17" t="s">
        <v>4441</v>
      </c>
      <c r="B1341" s="17" t="s">
        <v>4442</v>
      </c>
      <c r="C1341" s="17">
        <v>15</v>
      </c>
      <c r="D1341" s="11"/>
      <c r="E1341" s="1">
        <v>2150</v>
      </c>
      <c r="F1341" s="1">
        <v>2440</v>
      </c>
      <c r="G1341" s="1">
        <v>53</v>
      </c>
      <c r="H1341" s="11"/>
      <c r="I1341" s="11"/>
      <c r="J1341" s="11"/>
      <c r="K1341" s="11"/>
      <c r="L1341" s="17"/>
      <c r="M1341" s="17"/>
      <c r="N1341" s="17"/>
      <c r="O1341" s="2"/>
    </row>
    <row r="1342" spans="1:15" x14ac:dyDescent="0.2">
      <c r="A1342" s="17" t="s">
        <v>4443</v>
      </c>
      <c r="B1342" s="17" t="s">
        <v>4444</v>
      </c>
      <c r="C1342" s="17">
        <v>36</v>
      </c>
      <c r="D1342" s="11"/>
      <c r="E1342" s="1">
        <v>2150</v>
      </c>
      <c r="F1342" s="1">
        <v>2440</v>
      </c>
      <c r="G1342" s="1">
        <v>117</v>
      </c>
      <c r="H1342" s="11"/>
      <c r="I1342" s="11"/>
      <c r="J1342" s="11"/>
      <c r="K1342" s="11"/>
      <c r="L1342" s="17"/>
      <c r="M1342" s="17"/>
      <c r="N1342" s="17"/>
      <c r="O1342" s="2"/>
    </row>
    <row r="1343" spans="1:15" x14ac:dyDescent="0.2">
      <c r="A1343" s="17" t="s">
        <v>4445</v>
      </c>
      <c r="B1343" s="17" t="s">
        <v>4446</v>
      </c>
      <c r="C1343" s="17">
        <v>9</v>
      </c>
      <c r="D1343" s="11"/>
      <c r="E1343" s="1">
        <v>2150</v>
      </c>
      <c r="F1343" s="1">
        <v>2440</v>
      </c>
      <c r="G1343" s="1">
        <v>33</v>
      </c>
      <c r="H1343" s="11"/>
      <c r="I1343" s="11"/>
      <c r="J1343" s="11"/>
      <c r="K1343" s="11"/>
      <c r="L1343" s="17"/>
      <c r="M1343" s="17"/>
      <c r="N1343" s="17"/>
      <c r="O1343" s="2"/>
    </row>
    <row r="1344" spans="1:15" x14ac:dyDescent="0.2">
      <c r="A1344" s="17" t="s">
        <v>4447</v>
      </c>
      <c r="B1344" s="17" t="s">
        <v>4448</v>
      </c>
      <c r="C1344" s="17">
        <v>15</v>
      </c>
      <c r="D1344" s="11"/>
      <c r="E1344" s="1">
        <v>2150</v>
      </c>
      <c r="F1344" s="1">
        <v>2440</v>
      </c>
      <c r="G1344" s="1">
        <v>53</v>
      </c>
      <c r="H1344" s="11"/>
      <c r="I1344" s="11"/>
      <c r="J1344" s="11"/>
      <c r="K1344" s="11"/>
      <c r="L1344" s="17"/>
      <c r="M1344" s="17"/>
      <c r="N1344" s="17"/>
      <c r="O1344" s="2"/>
    </row>
    <row r="1345" spans="1:15" x14ac:dyDescent="0.2">
      <c r="A1345" s="17" t="s">
        <v>4449</v>
      </c>
      <c r="B1345" s="17" t="s">
        <v>4450</v>
      </c>
      <c r="C1345" s="17">
        <v>15</v>
      </c>
      <c r="D1345" s="11"/>
      <c r="E1345" s="1">
        <v>2150</v>
      </c>
      <c r="F1345" s="1">
        <v>2440</v>
      </c>
      <c r="G1345" s="1">
        <v>53</v>
      </c>
      <c r="H1345" s="11"/>
      <c r="I1345" s="11"/>
      <c r="J1345" s="11"/>
      <c r="K1345" s="11"/>
      <c r="L1345" s="17"/>
      <c r="M1345" s="17"/>
      <c r="N1345" s="17"/>
      <c r="O1345" s="2"/>
    </row>
    <row r="1346" spans="1:15" x14ac:dyDescent="0.2">
      <c r="A1346" s="17" t="s">
        <v>4451</v>
      </c>
      <c r="B1346" s="17" t="s">
        <v>4452</v>
      </c>
      <c r="C1346" s="17">
        <v>25</v>
      </c>
      <c r="D1346" s="11"/>
      <c r="E1346" s="1">
        <v>2150</v>
      </c>
      <c r="F1346" s="1">
        <v>2440</v>
      </c>
      <c r="G1346" s="1">
        <v>83</v>
      </c>
      <c r="H1346" s="11"/>
      <c r="I1346" s="11"/>
      <c r="J1346" s="11"/>
      <c r="K1346" s="11"/>
      <c r="L1346" s="17"/>
      <c r="M1346" s="17"/>
      <c r="N1346" s="17"/>
      <c r="O1346" s="2"/>
    </row>
    <row r="1347" spans="1:15" x14ac:dyDescent="0.2">
      <c r="A1347" s="17" t="s">
        <v>4453</v>
      </c>
      <c r="B1347" s="17" t="s">
        <v>4454</v>
      </c>
      <c r="C1347" s="17">
        <v>6</v>
      </c>
      <c r="D1347" s="11"/>
      <c r="E1347" s="1">
        <v>2150</v>
      </c>
      <c r="F1347" s="1">
        <v>2440</v>
      </c>
      <c r="G1347" s="1">
        <v>23</v>
      </c>
      <c r="H1347" s="11"/>
      <c r="I1347" s="11"/>
      <c r="J1347" s="11"/>
      <c r="K1347" s="11"/>
      <c r="L1347" s="17"/>
      <c r="M1347" s="17"/>
      <c r="N1347" s="17"/>
      <c r="O1347" s="2"/>
    </row>
    <row r="1348" spans="1:15" x14ac:dyDescent="0.2">
      <c r="A1348" s="17" t="s">
        <v>4455</v>
      </c>
      <c r="B1348" s="17" t="s">
        <v>4456</v>
      </c>
      <c r="C1348" s="17">
        <v>18</v>
      </c>
      <c r="D1348" s="11"/>
      <c r="E1348" s="1">
        <v>1830</v>
      </c>
      <c r="F1348" s="1">
        <v>2440</v>
      </c>
      <c r="G1348" s="1">
        <v>48</v>
      </c>
      <c r="H1348" s="11"/>
      <c r="I1348" s="11"/>
      <c r="J1348" s="11"/>
      <c r="K1348" s="11"/>
      <c r="L1348" s="17"/>
      <c r="M1348" s="17"/>
      <c r="N1348" s="17"/>
      <c r="O1348" s="2"/>
    </row>
    <row r="1349" spans="1:15" x14ac:dyDescent="0.2">
      <c r="A1349" s="17" t="s">
        <v>4457</v>
      </c>
      <c r="B1349" s="17" t="s">
        <v>4458</v>
      </c>
      <c r="C1349" s="17">
        <v>18</v>
      </c>
      <c r="D1349" s="11"/>
      <c r="E1349" s="1">
        <v>1830</v>
      </c>
      <c r="F1349" s="1">
        <v>2440</v>
      </c>
      <c r="G1349" s="1">
        <v>52</v>
      </c>
      <c r="H1349" s="11"/>
      <c r="I1349" s="11"/>
      <c r="J1349" s="11"/>
      <c r="K1349" s="11"/>
      <c r="L1349" s="17"/>
      <c r="M1349" s="17"/>
      <c r="N1349" s="17"/>
      <c r="O1349" s="2"/>
    </row>
    <row r="1350" spans="1:15" x14ac:dyDescent="0.2">
      <c r="A1350" s="17" t="s">
        <v>4459</v>
      </c>
      <c r="B1350" s="17" t="s">
        <v>4460</v>
      </c>
      <c r="C1350" s="17">
        <v>18</v>
      </c>
      <c r="D1350" s="11"/>
      <c r="E1350" s="1">
        <v>1830</v>
      </c>
      <c r="F1350" s="1">
        <v>2440</v>
      </c>
      <c r="G1350" s="1">
        <v>48</v>
      </c>
      <c r="H1350" s="11"/>
      <c r="I1350" s="11"/>
      <c r="J1350" s="11"/>
      <c r="K1350" s="11"/>
      <c r="L1350" s="17"/>
      <c r="M1350" s="17"/>
      <c r="N1350" s="17"/>
      <c r="O1350" s="2"/>
    </row>
    <row r="1351" spans="1:15" x14ac:dyDescent="0.2">
      <c r="A1351" s="17" t="s">
        <v>4461</v>
      </c>
      <c r="B1351" s="17" t="s">
        <v>4462</v>
      </c>
      <c r="C1351" s="17">
        <v>36</v>
      </c>
      <c r="D1351" s="11"/>
      <c r="E1351" s="1">
        <v>2150</v>
      </c>
      <c r="F1351" s="1">
        <v>2440</v>
      </c>
      <c r="G1351" s="1">
        <v>117</v>
      </c>
      <c r="H1351" s="11"/>
      <c r="I1351" s="11"/>
      <c r="J1351" s="11"/>
      <c r="K1351" s="1"/>
      <c r="L1351" s="17"/>
      <c r="M1351" s="17"/>
      <c r="N1351" s="17"/>
      <c r="O1351" s="2"/>
    </row>
    <row r="1352" spans="1:15" x14ac:dyDescent="0.2">
      <c r="A1352" s="17" t="s">
        <v>4463</v>
      </c>
      <c r="B1352" s="17" t="s">
        <v>4464</v>
      </c>
      <c r="C1352" s="17">
        <v>15</v>
      </c>
      <c r="D1352" s="11"/>
      <c r="E1352" s="1">
        <v>2150</v>
      </c>
      <c r="F1352" s="1">
        <v>2440</v>
      </c>
      <c r="G1352" s="1">
        <v>53</v>
      </c>
      <c r="H1352" s="11"/>
      <c r="I1352" s="11"/>
      <c r="J1352" s="11"/>
      <c r="K1352" s="1"/>
      <c r="L1352" s="17"/>
      <c r="M1352" s="17"/>
      <c r="N1352" s="17"/>
      <c r="O1352" s="2"/>
    </row>
    <row r="1353" spans="1:15" x14ac:dyDescent="0.2">
      <c r="A1353" s="17" t="s">
        <v>4465</v>
      </c>
      <c r="B1353" s="17" t="s">
        <v>4466</v>
      </c>
      <c r="C1353" s="17">
        <v>18</v>
      </c>
      <c r="D1353" s="11"/>
      <c r="E1353" s="1">
        <v>2150</v>
      </c>
      <c r="F1353" s="1">
        <v>2440</v>
      </c>
      <c r="G1353" s="1">
        <v>61</v>
      </c>
      <c r="H1353" s="11"/>
      <c r="I1353" s="11"/>
      <c r="J1353" s="11"/>
      <c r="K1353" s="1"/>
      <c r="L1353" s="17"/>
      <c r="M1353" s="17"/>
      <c r="N1353" s="17"/>
      <c r="O1353" s="2"/>
    </row>
    <row r="1354" spans="1:15" x14ac:dyDescent="0.2">
      <c r="A1354" s="17" t="s">
        <v>4467</v>
      </c>
      <c r="B1354" s="17" t="s">
        <v>4468</v>
      </c>
      <c r="C1354" s="17">
        <v>6</v>
      </c>
      <c r="D1354" s="11"/>
      <c r="E1354" s="1">
        <v>2150</v>
      </c>
      <c r="F1354" s="1">
        <v>2440</v>
      </c>
      <c r="G1354" s="1">
        <v>23</v>
      </c>
      <c r="H1354" s="11"/>
      <c r="I1354" s="11"/>
      <c r="J1354" s="11"/>
      <c r="K1354" s="1"/>
      <c r="L1354" s="17"/>
      <c r="M1354" s="17"/>
      <c r="N1354" s="17"/>
      <c r="O1354" s="2"/>
    </row>
    <row r="1355" spans="1:15" x14ac:dyDescent="0.2">
      <c r="A1355" s="17" t="s">
        <v>4469</v>
      </c>
      <c r="B1355" s="17" t="s">
        <v>4470</v>
      </c>
      <c r="C1355" s="17">
        <v>15</v>
      </c>
      <c r="D1355" s="11"/>
      <c r="E1355" s="1">
        <v>2150</v>
      </c>
      <c r="F1355" s="1">
        <v>2440</v>
      </c>
      <c r="G1355" s="1">
        <v>53</v>
      </c>
      <c r="H1355" s="11"/>
      <c r="I1355" s="11"/>
      <c r="J1355" s="11"/>
      <c r="K1355" s="1"/>
      <c r="L1355" s="17"/>
      <c r="M1355" s="17"/>
      <c r="N1355" s="17"/>
      <c r="O1355" s="2"/>
    </row>
    <row r="1356" spans="1:15" x14ac:dyDescent="0.2">
      <c r="A1356" s="17" t="s">
        <v>4471</v>
      </c>
      <c r="B1356" s="17" t="s">
        <v>4472</v>
      </c>
      <c r="C1356" s="17">
        <v>12</v>
      </c>
      <c r="D1356" s="11"/>
      <c r="E1356" s="1">
        <v>2150</v>
      </c>
      <c r="F1356" s="1">
        <v>2440</v>
      </c>
      <c r="G1356" s="1">
        <v>41</v>
      </c>
      <c r="H1356" s="11"/>
      <c r="I1356" s="11"/>
      <c r="J1356" s="11"/>
      <c r="K1356" s="1"/>
      <c r="L1356" s="17"/>
      <c r="M1356" s="17"/>
      <c r="N1356" s="17"/>
      <c r="O1356" s="2"/>
    </row>
    <row r="1357" spans="1:15" x14ac:dyDescent="0.2">
      <c r="A1357" s="17" t="s">
        <v>4473</v>
      </c>
      <c r="B1357" s="17" t="s">
        <v>4474</v>
      </c>
      <c r="C1357" s="17">
        <v>26</v>
      </c>
      <c r="D1357" s="11"/>
      <c r="E1357" s="1">
        <v>1830</v>
      </c>
      <c r="F1357" s="1">
        <v>2440</v>
      </c>
      <c r="G1357" s="1">
        <v>66</v>
      </c>
      <c r="H1357" s="11"/>
      <c r="I1357" s="11"/>
      <c r="J1357" s="11"/>
      <c r="K1357" s="1"/>
      <c r="L1357" s="17"/>
      <c r="M1357" s="17"/>
      <c r="N1357" s="17"/>
      <c r="O1357" s="2"/>
    </row>
    <row r="1358" spans="1:15" x14ac:dyDescent="0.2">
      <c r="A1358" s="17" t="s">
        <v>4475</v>
      </c>
      <c r="B1358" s="17" t="s">
        <v>4476</v>
      </c>
      <c r="C1358" s="17">
        <v>18</v>
      </c>
      <c r="D1358" s="11"/>
      <c r="E1358" s="1">
        <v>1220</v>
      </c>
      <c r="F1358" s="1">
        <v>2440</v>
      </c>
      <c r="G1358" s="1">
        <v>35</v>
      </c>
      <c r="H1358" s="11"/>
      <c r="I1358" s="11"/>
      <c r="J1358" s="11"/>
      <c r="K1358" s="1"/>
      <c r="L1358" s="17"/>
      <c r="M1358" s="17"/>
      <c r="N1358" s="17"/>
      <c r="O1358" s="2"/>
    </row>
    <row r="1359" spans="1:15" x14ac:dyDescent="0.2">
      <c r="A1359" s="17" t="s">
        <v>4477</v>
      </c>
      <c r="B1359" s="17" t="s">
        <v>4478</v>
      </c>
      <c r="C1359" s="17">
        <v>25</v>
      </c>
      <c r="D1359" s="11"/>
      <c r="E1359" s="1">
        <v>2150</v>
      </c>
      <c r="F1359" s="1">
        <v>2440</v>
      </c>
      <c r="G1359" s="1">
        <v>88</v>
      </c>
      <c r="H1359" s="11"/>
      <c r="I1359" s="11"/>
      <c r="J1359" s="11"/>
      <c r="K1359" s="1"/>
      <c r="L1359" s="17"/>
      <c r="M1359" s="17"/>
      <c r="N1359" s="17"/>
      <c r="O1359" s="2"/>
    </row>
    <row r="1360" spans="1:15" x14ac:dyDescent="0.2">
      <c r="A1360" s="17" t="s">
        <v>4479</v>
      </c>
      <c r="B1360" s="17" t="s">
        <v>4480</v>
      </c>
      <c r="C1360" s="17">
        <v>12</v>
      </c>
      <c r="D1360" s="11"/>
      <c r="E1360" s="1">
        <v>2150</v>
      </c>
      <c r="F1360" s="1">
        <v>2440</v>
      </c>
      <c r="G1360" s="1">
        <v>41</v>
      </c>
      <c r="H1360" s="11"/>
      <c r="I1360" s="11"/>
      <c r="J1360" s="11"/>
      <c r="K1360" s="1"/>
      <c r="L1360" s="17"/>
      <c r="M1360" s="17"/>
      <c r="N1360" s="17"/>
      <c r="O1360" s="2"/>
    </row>
    <row r="1361" spans="1:15" x14ac:dyDescent="0.2">
      <c r="A1361" s="17" t="s">
        <v>4481</v>
      </c>
      <c r="B1361" s="17" t="s">
        <v>4482</v>
      </c>
      <c r="C1361" s="17">
        <v>36</v>
      </c>
      <c r="D1361" s="11"/>
      <c r="E1361" s="1">
        <v>2150</v>
      </c>
      <c r="F1361" s="1">
        <v>2440</v>
      </c>
      <c r="G1361" s="1">
        <v>117</v>
      </c>
      <c r="H1361" s="11"/>
      <c r="I1361" s="11"/>
      <c r="J1361" s="11"/>
      <c r="K1361" s="1"/>
      <c r="L1361" s="17"/>
      <c r="M1361" s="17"/>
      <c r="N1361" s="17"/>
      <c r="O1361" s="2"/>
    </row>
    <row r="1362" spans="1:15" x14ac:dyDescent="0.2">
      <c r="A1362" s="17" t="s">
        <v>4483</v>
      </c>
      <c r="B1362" s="17" t="s">
        <v>4484</v>
      </c>
      <c r="C1362" s="17">
        <v>90</v>
      </c>
      <c r="D1362" s="11"/>
      <c r="E1362" s="1">
        <v>2150</v>
      </c>
      <c r="F1362" s="1">
        <v>2440</v>
      </c>
      <c r="G1362" s="1">
        <v>117</v>
      </c>
      <c r="H1362" s="11"/>
      <c r="I1362" s="11"/>
      <c r="J1362" s="11"/>
      <c r="K1362" s="1"/>
      <c r="L1362" s="17"/>
      <c r="M1362" s="17"/>
      <c r="N1362" s="17"/>
      <c r="O1362" s="2"/>
    </row>
    <row r="1363" spans="1:15" x14ac:dyDescent="0.2">
      <c r="A1363" s="17" t="s">
        <v>4485</v>
      </c>
      <c r="B1363" s="17" t="s">
        <v>4486</v>
      </c>
      <c r="C1363" s="17">
        <v>4</v>
      </c>
      <c r="D1363" s="11"/>
      <c r="E1363" s="1">
        <v>1220</v>
      </c>
      <c r="F1363" s="1">
        <v>2440</v>
      </c>
      <c r="G1363" s="1">
        <v>9</v>
      </c>
      <c r="H1363" s="11"/>
      <c r="I1363" s="11"/>
      <c r="J1363" s="11"/>
      <c r="K1363" s="1"/>
      <c r="L1363" s="17"/>
      <c r="M1363" s="17"/>
      <c r="N1363" s="17"/>
      <c r="O1363" s="2"/>
    </row>
    <row r="1364" spans="1:15" x14ac:dyDescent="0.2">
      <c r="A1364" s="17" t="s">
        <v>4487</v>
      </c>
      <c r="B1364" s="17" t="s">
        <v>4488</v>
      </c>
      <c r="C1364" s="17">
        <v>18</v>
      </c>
      <c r="D1364" s="11"/>
      <c r="E1364" s="1">
        <v>2150</v>
      </c>
      <c r="F1364" s="1">
        <v>2440</v>
      </c>
      <c r="G1364" s="1">
        <v>61</v>
      </c>
      <c r="H1364" s="11"/>
      <c r="I1364" s="11"/>
      <c r="J1364" s="11"/>
      <c r="K1364" s="1"/>
      <c r="L1364" s="17"/>
      <c r="M1364" s="17"/>
      <c r="N1364" s="17"/>
      <c r="O1364" s="2"/>
    </row>
    <row r="1365" spans="1:15" x14ac:dyDescent="0.2">
      <c r="A1365" s="17" t="s">
        <v>4489</v>
      </c>
      <c r="B1365" s="17" t="s">
        <v>4490</v>
      </c>
      <c r="C1365" s="17">
        <v>5.5</v>
      </c>
      <c r="D1365" s="11"/>
      <c r="E1365" s="1">
        <v>1830</v>
      </c>
      <c r="F1365" s="1">
        <v>2440</v>
      </c>
      <c r="G1365" s="1">
        <v>15</v>
      </c>
      <c r="H1365" s="11"/>
      <c r="I1365" s="11"/>
      <c r="J1365" s="11"/>
      <c r="K1365" s="1"/>
      <c r="L1365" s="17"/>
      <c r="M1365" s="17"/>
      <c r="N1365" s="17"/>
      <c r="O1365" s="2"/>
    </row>
    <row r="1366" spans="1:15" ht="15" thickBot="1" x14ac:dyDescent="0.25">
      <c r="A1366" s="33" t="s">
        <v>4491</v>
      </c>
      <c r="B1366" s="33" t="s">
        <v>4492</v>
      </c>
      <c r="C1366" s="33">
        <v>36</v>
      </c>
      <c r="D1366" s="11"/>
      <c r="E1366" s="1">
        <v>2150</v>
      </c>
      <c r="F1366" s="1">
        <v>2440</v>
      </c>
      <c r="G1366" s="1">
        <v>117</v>
      </c>
      <c r="H1366" s="11"/>
      <c r="I1366" s="11"/>
      <c r="J1366" s="11"/>
      <c r="K1366" s="1"/>
      <c r="L1366" s="17"/>
      <c r="M1366" s="17"/>
      <c r="N1366" s="17"/>
      <c r="O1366" s="2"/>
    </row>
    <row r="1367" spans="1:15" x14ac:dyDescent="0.2">
      <c r="A1367" s="17" t="s">
        <v>4493</v>
      </c>
      <c r="B1367" s="17" t="s">
        <v>4494</v>
      </c>
      <c r="C1367" s="17">
        <v>18</v>
      </c>
      <c r="D1367" s="11"/>
      <c r="E1367" s="1">
        <v>2150</v>
      </c>
      <c r="F1367" s="1">
        <v>2440</v>
      </c>
      <c r="G1367" s="1">
        <v>61</v>
      </c>
      <c r="H1367" s="11"/>
      <c r="I1367" s="11"/>
      <c r="J1367" s="11"/>
      <c r="K1367" s="1"/>
      <c r="L1367" s="17"/>
      <c r="M1367" s="17"/>
      <c r="N1367" s="17"/>
      <c r="O1367" s="2"/>
    </row>
    <row r="1368" spans="1:15" x14ac:dyDescent="0.2">
      <c r="A1368" s="17" t="s">
        <v>4495</v>
      </c>
      <c r="B1368" s="17" t="s">
        <v>4496</v>
      </c>
      <c r="C1368" s="17">
        <v>36</v>
      </c>
      <c r="D1368" s="11"/>
      <c r="E1368" s="1">
        <v>2150</v>
      </c>
      <c r="F1368" s="1">
        <v>2440</v>
      </c>
      <c r="G1368" s="1">
        <v>117</v>
      </c>
      <c r="H1368" s="11"/>
      <c r="I1368" s="11"/>
      <c r="J1368" s="11"/>
      <c r="K1368" s="1"/>
      <c r="L1368" s="17"/>
      <c r="M1368" s="17"/>
      <c r="N1368" s="17"/>
      <c r="O1368" s="2"/>
    </row>
    <row r="1369" spans="1:15" ht="15" thickBot="1" x14ac:dyDescent="0.25">
      <c r="A1369" s="17" t="s">
        <v>4497</v>
      </c>
      <c r="B1369" s="17" t="s">
        <v>4498</v>
      </c>
      <c r="C1369" s="17">
        <v>18</v>
      </c>
      <c r="D1369" s="11"/>
      <c r="E1369" s="1">
        <v>2150</v>
      </c>
      <c r="F1369" s="1">
        <v>2440</v>
      </c>
      <c r="G1369" s="1">
        <v>61</v>
      </c>
      <c r="H1369" s="11"/>
      <c r="I1369" s="11"/>
      <c r="J1369" s="11"/>
      <c r="K1369" s="1"/>
      <c r="L1369" s="33"/>
      <c r="M1369" s="33"/>
      <c r="N1369" s="33"/>
      <c r="O1369" s="2"/>
    </row>
    <row r="1370" spans="1:15" x14ac:dyDescent="0.2">
      <c r="A1370" s="17" t="s">
        <v>4499</v>
      </c>
      <c r="B1370" s="17" t="s">
        <v>4500</v>
      </c>
      <c r="C1370" s="17">
        <v>15</v>
      </c>
      <c r="D1370" s="11"/>
      <c r="E1370" s="1">
        <v>2150</v>
      </c>
      <c r="F1370" s="1">
        <v>2440</v>
      </c>
      <c r="G1370" s="1">
        <v>53</v>
      </c>
      <c r="H1370" s="11"/>
      <c r="I1370" s="11"/>
      <c r="J1370" s="11"/>
      <c r="K1370" s="1"/>
      <c r="L1370" s="2"/>
      <c r="M1370" s="2"/>
      <c r="N1370" s="2"/>
      <c r="O1370" s="2"/>
    </row>
    <row r="1371" spans="1:15" x14ac:dyDescent="0.2">
      <c r="A1371" s="17" t="s">
        <v>4501</v>
      </c>
      <c r="B1371" s="17" t="s">
        <v>4502</v>
      </c>
      <c r="C1371" s="17">
        <v>15</v>
      </c>
      <c r="D1371" s="11"/>
      <c r="E1371" s="1">
        <v>2150</v>
      </c>
      <c r="F1371" s="1">
        <v>2440</v>
      </c>
      <c r="G1371" s="1">
        <v>53</v>
      </c>
      <c r="H1371" s="11"/>
      <c r="I1371" s="11"/>
      <c r="J1371" s="11"/>
      <c r="K1371" s="1"/>
      <c r="L1371" s="2"/>
      <c r="M1371" s="2"/>
      <c r="N1371" s="2"/>
      <c r="O1371" s="2"/>
    </row>
    <row r="1372" spans="1:15" x14ac:dyDescent="0.2">
      <c r="A1372" s="17" t="s">
        <v>4503</v>
      </c>
      <c r="B1372" s="17" t="s">
        <v>4504</v>
      </c>
      <c r="C1372" s="17">
        <v>15</v>
      </c>
      <c r="D1372" s="11"/>
      <c r="E1372" s="1">
        <v>2150</v>
      </c>
      <c r="F1372" s="1">
        <v>2440</v>
      </c>
      <c r="G1372" s="1">
        <v>53</v>
      </c>
      <c r="H1372" s="11"/>
      <c r="I1372" s="11"/>
      <c r="J1372" s="11"/>
      <c r="K1372" s="1"/>
      <c r="L1372" s="2"/>
      <c r="M1372" s="2"/>
      <c r="N1372" s="2"/>
      <c r="O1372" s="2"/>
    </row>
    <row r="1373" spans="1:15" x14ac:dyDescent="0.2">
      <c r="A1373" s="17" t="s">
        <v>4505</v>
      </c>
      <c r="B1373" s="17" t="s">
        <v>4506</v>
      </c>
      <c r="C1373" s="17">
        <v>9</v>
      </c>
      <c r="D1373" s="11"/>
      <c r="E1373" s="1">
        <v>1220</v>
      </c>
      <c r="F1373" s="1">
        <v>2440</v>
      </c>
      <c r="G1373" s="1">
        <v>19</v>
      </c>
      <c r="H1373" s="11"/>
      <c r="I1373" s="11"/>
      <c r="J1373" s="11"/>
      <c r="K1373" s="1"/>
      <c r="L1373" s="2"/>
      <c r="M1373" s="2"/>
      <c r="N1373" s="2"/>
      <c r="O1373" s="2"/>
    </row>
    <row r="1374" spans="1:15" x14ac:dyDescent="0.2">
      <c r="A1374" s="17" t="s">
        <v>4507</v>
      </c>
      <c r="B1374" s="17" t="s">
        <v>4508</v>
      </c>
      <c r="C1374" s="17">
        <v>18</v>
      </c>
      <c r="D1374" s="11"/>
      <c r="E1374" s="1">
        <v>2150</v>
      </c>
      <c r="F1374" s="1">
        <v>2440</v>
      </c>
      <c r="G1374" s="1">
        <v>61</v>
      </c>
      <c r="H1374" s="11"/>
      <c r="I1374" s="11"/>
      <c r="J1374" s="11"/>
      <c r="K1374" s="1"/>
      <c r="L1374" s="2"/>
      <c r="M1374" s="2"/>
      <c r="N1374" s="2"/>
      <c r="O1374" s="2"/>
    </row>
    <row r="1375" spans="1:15" x14ac:dyDescent="0.2">
      <c r="A1375" s="17" t="s">
        <v>4509</v>
      </c>
      <c r="B1375" s="17" t="s">
        <v>4510</v>
      </c>
      <c r="C1375" s="17">
        <v>17</v>
      </c>
      <c r="D1375" s="11"/>
      <c r="E1375" s="1">
        <v>1220</v>
      </c>
      <c r="F1375" s="1">
        <v>2440</v>
      </c>
      <c r="G1375" s="1">
        <v>31</v>
      </c>
      <c r="H1375" s="11"/>
      <c r="I1375" s="11"/>
      <c r="J1375" s="11"/>
      <c r="K1375" s="1"/>
      <c r="L1375" s="2"/>
      <c r="M1375" s="2"/>
      <c r="N1375" s="2"/>
      <c r="O1375" s="2"/>
    </row>
    <row r="1376" spans="1:15" x14ac:dyDescent="0.2">
      <c r="A1376" s="17" t="s">
        <v>4511</v>
      </c>
      <c r="B1376" s="17" t="s">
        <v>4512</v>
      </c>
      <c r="C1376" s="17">
        <v>15</v>
      </c>
      <c r="D1376" s="1"/>
      <c r="E1376" s="1">
        <v>2150</v>
      </c>
      <c r="F1376" s="1">
        <v>2440</v>
      </c>
      <c r="G1376" s="1">
        <v>53</v>
      </c>
      <c r="H1376" s="11"/>
      <c r="I1376" s="11"/>
      <c r="J1376" s="11"/>
      <c r="K1376" s="1"/>
      <c r="L1376" s="2"/>
      <c r="M1376" s="2"/>
      <c r="N1376" s="2"/>
      <c r="O1376" s="2"/>
    </row>
    <row r="1377" spans="1:15" x14ac:dyDescent="0.2">
      <c r="A1377" s="17" t="s">
        <v>4513</v>
      </c>
      <c r="B1377" s="17" t="s">
        <v>4514</v>
      </c>
      <c r="C1377" s="17">
        <v>15</v>
      </c>
      <c r="D1377" s="11"/>
      <c r="E1377" s="1">
        <v>2150</v>
      </c>
      <c r="F1377" s="1">
        <v>2440</v>
      </c>
      <c r="G1377" s="1">
        <v>53</v>
      </c>
      <c r="H1377" s="11"/>
      <c r="I1377" s="11"/>
      <c r="J1377" s="11"/>
      <c r="K1377" s="1"/>
      <c r="L1377" s="2"/>
      <c r="M1377" s="2"/>
      <c r="N1377" s="2"/>
      <c r="O1377" s="2"/>
    </row>
    <row r="1378" spans="1:15" x14ac:dyDescent="0.2">
      <c r="A1378" s="17" t="s">
        <v>4515</v>
      </c>
      <c r="B1378" s="17" t="s">
        <v>4516</v>
      </c>
      <c r="C1378" s="17">
        <v>5</v>
      </c>
      <c r="D1378" s="11"/>
      <c r="E1378" s="1">
        <v>1830</v>
      </c>
      <c r="F1378" s="1">
        <v>2440</v>
      </c>
      <c r="G1378" s="1">
        <v>16</v>
      </c>
      <c r="H1378" s="11"/>
      <c r="I1378" s="11"/>
      <c r="J1378" s="11"/>
      <c r="K1378" s="1"/>
      <c r="L1378" s="2"/>
      <c r="M1378" s="2"/>
      <c r="N1378" s="2"/>
      <c r="O1378" s="2"/>
    </row>
    <row r="1379" spans="1:15" x14ac:dyDescent="0.2">
      <c r="A1379" s="17" t="s">
        <v>4517</v>
      </c>
      <c r="B1379" s="17" t="s">
        <v>4518</v>
      </c>
      <c r="C1379" s="17">
        <v>6</v>
      </c>
      <c r="D1379" s="11"/>
      <c r="E1379" s="1">
        <v>2150</v>
      </c>
      <c r="F1379" s="1">
        <v>2440</v>
      </c>
      <c r="G1379" s="1">
        <v>23</v>
      </c>
      <c r="H1379" s="11"/>
      <c r="I1379" s="11"/>
      <c r="J1379" s="11"/>
      <c r="K1379" s="1"/>
      <c r="L1379" s="2"/>
      <c r="M1379" s="2"/>
      <c r="N1379" s="2"/>
      <c r="O1379" s="2"/>
    </row>
    <row r="1380" spans="1:15" x14ac:dyDescent="0.2">
      <c r="A1380" s="17" t="s">
        <v>4519</v>
      </c>
      <c r="B1380" s="17" t="s">
        <v>4520</v>
      </c>
      <c r="C1380" s="17">
        <v>15</v>
      </c>
      <c r="D1380" s="11"/>
      <c r="E1380" s="1">
        <v>2150</v>
      </c>
      <c r="F1380" s="1">
        <v>2440</v>
      </c>
      <c r="G1380" s="1">
        <v>53</v>
      </c>
      <c r="H1380" s="11"/>
      <c r="I1380" s="11"/>
      <c r="J1380" s="11"/>
      <c r="K1380" s="1"/>
      <c r="L1380" s="2"/>
      <c r="M1380" s="2"/>
      <c r="N1380" s="2"/>
      <c r="O1380" s="2"/>
    </row>
    <row r="1381" spans="1:15" x14ac:dyDescent="0.2">
      <c r="A1381" s="17" t="s">
        <v>4521</v>
      </c>
      <c r="B1381" s="17" t="s">
        <v>4522</v>
      </c>
      <c r="C1381" s="17">
        <v>6</v>
      </c>
      <c r="D1381" s="11"/>
      <c r="E1381" s="1">
        <v>2150</v>
      </c>
      <c r="F1381" s="1">
        <v>2440</v>
      </c>
      <c r="G1381" s="1">
        <v>23</v>
      </c>
      <c r="H1381" s="11"/>
      <c r="I1381" s="11"/>
      <c r="J1381" s="11"/>
      <c r="K1381" s="1"/>
      <c r="L1381" s="2"/>
      <c r="M1381" s="2"/>
      <c r="N1381" s="2"/>
      <c r="O1381" s="2"/>
    </row>
    <row r="1382" spans="1:15" x14ac:dyDescent="0.2">
      <c r="A1382" s="17" t="s">
        <v>4523</v>
      </c>
      <c r="B1382" s="17" t="s">
        <v>4524</v>
      </c>
      <c r="C1382" s="17">
        <v>15</v>
      </c>
      <c r="D1382" s="11"/>
      <c r="E1382" s="1">
        <v>2150</v>
      </c>
      <c r="F1382" s="1">
        <v>2440</v>
      </c>
      <c r="G1382" s="1">
        <v>53</v>
      </c>
      <c r="H1382" s="11"/>
      <c r="I1382" s="11"/>
      <c r="J1382" s="11"/>
      <c r="K1382" s="1"/>
      <c r="L1382" s="2"/>
      <c r="M1382" s="2"/>
      <c r="N1382" s="2"/>
      <c r="O1382" s="2"/>
    </row>
    <row r="1383" spans="1:15" x14ac:dyDescent="0.2">
      <c r="A1383" s="17" t="s">
        <v>4525</v>
      </c>
      <c r="B1383" s="17" t="s">
        <v>4526</v>
      </c>
      <c r="C1383" s="17">
        <v>6</v>
      </c>
      <c r="D1383" s="11"/>
      <c r="E1383" s="1">
        <v>2150</v>
      </c>
      <c r="F1383" s="1">
        <v>2440</v>
      </c>
      <c r="G1383" s="1">
        <v>23</v>
      </c>
      <c r="H1383" s="11"/>
      <c r="I1383" s="11"/>
      <c r="J1383" s="11"/>
      <c r="K1383" s="1"/>
      <c r="L1383" s="2"/>
      <c r="M1383" s="2"/>
      <c r="N1383" s="2"/>
      <c r="O1383" s="2"/>
    </row>
    <row r="1384" spans="1:15" x14ac:dyDescent="0.2">
      <c r="A1384" s="17" t="s">
        <v>4527</v>
      </c>
      <c r="B1384" s="17" t="s">
        <v>4528</v>
      </c>
      <c r="C1384" s="17">
        <v>6</v>
      </c>
      <c r="D1384" s="11"/>
      <c r="E1384" s="1">
        <v>2150</v>
      </c>
      <c r="F1384" s="1">
        <v>2440</v>
      </c>
      <c r="G1384" s="1">
        <v>23</v>
      </c>
      <c r="H1384" s="11"/>
      <c r="I1384" s="11"/>
      <c r="J1384" s="11"/>
      <c r="K1384" s="1"/>
      <c r="L1384" s="2"/>
      <c r="M1384" s="2"/>
      <c r="N1384" s="2"/>
      <c r="O1384" s="2"/>
    </row>
    <row r="1385" spans="1:15" x14ac:dyDescent="0.2">
      <c r="A1385" s="17" t="s">
        <v>4529</v>
      </c>
      <c r="B1385" s="17" t="s">
        <v>4530</v>
      </c>
      <c r="C1385" s="17">
        <v>18</v>
      </c>
      <c r="D1385" s="11"/>
      <c r="E1385" s="1">
        <v>2150</v>
      </c>
      <c r="F1385" s="1">
        <v>2440</v>
      </c>
      <c r="G1385" s="1">
        <v>61</v>
      </c>
      <c r="H1385" s="11"/>
      <c r="I1385" s="11"/>
      <c r="J1385" s="11"/>
      <c r="K1385" s="1"/>
      <c r="L1385" s="2"/>
      <c r="M1385" s="2"/>
      <c r="N1385" s="2"/>
      <c r="O1385" s="2"/>
    </row>
    <row r="1386" spans="1:15" x14ac:dyDescent="0.2">
      <c r="A1386" s="17" t="s">
        <v>4531</v>
      </c>
      <c r="B1386" s="17" t="s">
        <v>4532</v>
      </c>
      <c r="C1386" s="17">
        <v>15</v>
      </c>
      <c r="D1386" s="11"/>
      <c r="E1386" s="1">
        <v>1830</v>
      </c>
      <c r="F1386" s="1">
        <v>2440</v>
      </c>
      <c r="G1386" s="1">
        <v>47</v>
      </c>
      <c r="H1386" s="11"/>
      <c r="I1386" s="11"/>
      <c r="J1386" s="11"/>
      <c r="K1386" s="1"/>
      <c r="L1386" s="2"/>
      <c r="M1386" s="2"/>
      <c r="N1386" s="2"/>
      <c r="O1386" s="2"/>
    </row>
    <row r="1387" spans="1:15" x14ac:dyDescent="0.2">
      <c r="A1387" s="17" t="s">
        <v>4533</v>
      </c>
      <c r="B1387" s="17" t="s">
        <v>4534</v>
      </c>
      <c r="C1387" s="17">
        <v>18</v>
      </c>
      <c r="D1387" s="11"/>
      <c r="E1387" s="1">
        <v>1830</v>
      </c>
      <c r="F1387" s="1">
        <v>2440</v>
      </c>
      <c r="G1387" s="1">
        <v>57</v>
      </c>
      <c r="H1387" s="11"/>
      <c r="I1387" s="11"/>
      <c r="J1387" s="11"/>
      <c r="K1387" s="1"/>
      <c r="L1387" s="2"/>
      <c r="M1387" s="2"/>
      <c r="N1387" s="2"/>
      <c r="O1387" s="2"/>
    </row>
    <row r="1388" spans="1:15" x14ac:dyDescent="0.2">
      <c r="A1388" s="17" t="s">
        <v>4535</v>
      </c>
      <c r="B1388" s="17" t="s">
        <v>4536</v>
      </c>
      <c r="C1388" s="17">
        <v>15</v>
      </c>
      <c r="D1388" s="11"/>
      <c r="E1388" s="1">
        <v>2150</v>
      </c>
      <c r="F1388" s="1">
        <v>2440</v>
      </c>
      <c r="G1388" s="1">
        <v>53</v>
      </c>
      <c r="H1388" s="11"/>
      <c r="I1388" s="11"/>
      <c r="J1388" s="11"/>
      <c r="K1388" s="1"/>
      <c r="L1388" s="2"/>
      <c r="M1388" s="2"/>
      <c r="N1388" s="2"/>
      <c r="O1388" s="2"/>
    </row>
    <row r="1389" spans="1:15" x14ac:dyDescent="0.2">
      <c r="A1389" s="17" t="s">
        <v>4537</v>
      </c>
      <c r="B1389" s="17" t="s">
        <v>4538</v>
      </c>
      <c r="C1389" s="17">
        <v>15</v>
      </c>
      <c r="D1389" s="11"/>
      <c r="E1389" s="1">
        <v>1830</v>
      </c>
      <c r="F1389" s="1">
        <v>2440</v>
      </c>
      <c r="G1389" s="1">
        <v>47</v>
      </c>
      <c r="H1389" s="11"/>
      <c r="I1389" s="11"/>
      <c r="J1389" s="11"/>
      <c r="K1389" s="1"/>
      <c r="L1389" s="2"/>
      <c r="M1389" s="2"/>
      <c r="N1389" s="2"/>
      <c r="O1389" s="2"/>
    </row>
    <row r="1390" spans="1:15" x14ac:dyDescent="0.2">
      <c r="A1390" s="17" t="s">
        <v>4539</v>
      </c>
      <c r="B1390" s="17" t="s">
        <v>4540</v>
      </c>
      <c r="C1390" s="17">
        <v>6</v>
      </c>
      <c r="D1390" s="11"/>
      <c r="E1390" s="1">
        <v>2150</v>
      </c>
      <c r="F1390" s="1">
        <v>2440</v>
      </c>
      <c r="G1390" s="1">
        <v>23</v>
      </c>
      <c r="H1390" s="11"/>
      <c r="I1390" s="11"/>
      <c r="J1390" s="11"/>
      <c r="K1390" s="1"/>
      <c r="L1390" s="2"/>
      <c r="M1390" s="2"/>
      <c r="N1390" s="2"/>
      <c r="O1390" s="2"/>
    </row>
    <row r="1391" spans="1:15" x14ac:dyDescent="0.2">
      <c r="A1391" s="17" t="s">
        <v>4541</v>
      </c>
      <c r="B1391" s="17" t="s">
        <v>4542</v>
      </c>
      <c r="C1391" s="17">
        <v>18</v>
      </c>
      <c r="D1391" s="11"/>
      <c r="E1391" s="1">
        <v>2150</v>
      </c>
      <c r="F1391" s="1">
        <v>2440</v>
      </c>
      <c r="G1391" s="1">
        <v>61</v>
      </c>
      <c r="H1391" s="11"/>
      <c r="I1391" s="11"/>
      <c r="J1391" s="11"/>
      <c r="K1391" s="1"/>
      <c r="L1391" s="2"/>
      <c r="M1391" s="2"/>
      <c r="N1391" s="2"/>
      <c r="O1391" s="2"/>
    </row>
    <row r="1392" spans="1:15" x14ac:dyDescent="0.2">
      <c r="A1392" s="17" t="s">
        <v>4543</v>
      </c>
      <c r="B1392" s="17" t="s">
        <v>4544</v>
      </c>
      <c r="C1392" s="17">
        <v>15</v>
      </c>
      <c r="D1392" s="11"/>
      <c r="E1392" s="1">
        <v>2150</v>
      </c>
      <c r="F1392" s="1">
        <v>2440</v>
      </c>
      <c r="G1392" s="1">
        <v>53</v>
      </c>
      <c r="H1392" s="11"/>
      <c r="I1392" s="11"/>
      <c r="J1392" s="11"/>
      <c r="K1392" s="1"/>
      <c r="L1392" s="2"/>
      <c r="M1392" s="2"/>
      <c r="N1392" s="2"/>
      <c r="O1392" s="2"/>
    </row>
    <row r="1393" spans="1:15" x14ac:dyDescent="0.2">
      <c r="A1393" s="17" t="s">
        <v>4545</v>
      </c>
      <c r="B1393" s="17" t="s">
        <v>4546</v>
      </c>
      <c r="C1393" s="17">
        <v>15</v>
      </c>
      <c r="D1393" s="11"/>
      <c r="E1393" s="1">
        <v>2150</v>
      </c>
      <c r="F1393" s="1">
        <v>2440</v>
      </c>
      <c r="G1393" s="1">
        <v>53</v>
      </c>
      <c r="H1393" s="11"/>
      <c r="I1393" s="11"/>
      <c r="J1393" s="11"/>
      <c r="K1393" s="1"/>
      <c r="L1393" s="2"/>
      <c r="M1393" s="2"/>
      <c r="N1393" s="2"/>
      <c r="O1393" s="2"/>
    </row>
    <row r="1394" spans="1:15" x14ac:dyDescent="0.2">
      <c r="A1394" s="17" t="s">
        <v>4547</v>
      </c>
      <c r="B1394" s="17" t="s">
        <v>4548</v>
      </c>
      <c r="C1394" s="17">
        <v>15</v>
      </c>
      <c r="D1394" s="11"/>
      <c r="E1394" s="1">
        <v>2150</v>
      </c>
      <c r="F1394" s="1">
        <v>2440</v>
      </c>
      <c r="G1394" s="1">
        <v>53</v>
      </c>
      <c r="H1394" s="11"/>
      <c r="I1394" s="11"/>
      <c r="J1394" s="11"/>
      <c r="K1394" s="1"/>
      <c r="L1394" s="2"/>
      <c r="M1394" s="2"/>
      <c r="N1394" s="2"/>
      <c r="O1394" s="2"/>
    </row>
    <row r="1395" spans="1:15" x14ac:dyDescent="0.2">
      <c r="A1395" s="17" t="s">
        <v>4549</v>
      </c>
      <c r="B1395" s="17" t="s">
        <v>4550</v>
      </c>
      <c r="C1395" s="17">
        <v>15</v>
      </c>
      <c r="D1395" s="11"/>
      <c r="E1395" s="1">
        <v>2150</v>
      </c>
      <c r="F1395" s="1">
        <v>2440</v>
      </c>
      <c r="G1395" s="1">
        <v>53</v>
      </c>
      <c r="H1395" s="11"/>
      <c r="I1395" s="11"/>
      <c r="J1395" s="11"/>
      <c r="K1395" s="1"/>
      <c r="L1395" s="2"/>
      <c r="M1395" s="2"/>
      <c r="N1395" s="2"/>
      <c r="O1395" s="2"/>
    </row>
    <row r="1396" spans="1:15" x14ac:dyDescent="0.2">
      <c r="A1396" s="17" t="s">
        <v>4551</v>
      </c>
      <c r="B1396" s="17" t="s">
        <v>4552</v>
      </c>
      <c r="C1396" s="17">
        <v>15</v>
      </c>
      <c r="D1396" s="11"/>
      <c r="E1396" s="1">
        <v>2150</v>
      </c>
      <c r="F1396" s="1">
        <v>2440</v>
      </c>
      <c r="G1396" s="1">
        <v>53</v>
      </c>
      <c r="H1396" s="11"/>
      <c r="I1396" s="11"/>
      <c r="J1396" s="11"/>
      <c r="K1396" s="1"/>
      <c r="L1396" s="2"/>
      <c r="M1396" s="2"/>
      <c r="N1396" s="2"/>
      <c r="O1396" s="2"/>
    </row>
    <row r="1397" spans="1:15" x14ac:dyDescent="0.2">
      <c r="A1397" s="17" t="s">
        <v>4553</v>
      </c>
      <c r="B1397" s="17" t="s">
        <v>4554</v>
      </c>
      <c r="C1397" s="17">
        <v>15</v>
      </c>
      <c r="D1397" s="11"/>
      <c r="E1397" s="1">
        <v>2150</v>
      </c>
      <c r="F1397" s="1">
        <v>2440</v>
      </c>
      <c r="G1397" s="1">
        <v>53</v>
      </c>
      <c r="H1397" s="11"/>
      <c r="I1397" s="11"/>
      <c r="J1397" s="11"/>
      <c r="K1397" s="1"/>
      <c r="L1397" s="2"/>
      <c r="M1397" s="2"/>
      <c r="N1397" s="2"/>
      <c r="O1397" s="2"/>
    </row>
    <row r="1398" spans="1:15" x14ac:dyDescent="0.2">
      <c r="A1398" s="17" t="s">
        <v>4555</v>
      </c>
      <c r="B1398" s="17" t="s">
        <v>4556</v>
      </c>
      <c r="C1398" s="17">
        <v>15</v>
      </c>
      <c r="D1398" s="11"/>
      <c r="E1398" s="1">
        <v>2150</v>
      </c>
      <c r="F1398" s="1">
        <v>2440</v>
      </c>
      <c r="G1398" s="1">
        <v>53</v>
      </c>
      <c r="H1398" s="11"/>
      <c r="I1398" s="11"/>
      <c r="J1398" s="11"/>
      <c r="K1398" s="1"/>
      <c r="L1398" s="2"/>
      <c r="M1398" s="2"/>
      <c r="N1398" s="2"/>
      <c r="O1398" s="2"/>
    </row>
    <row r="1399" spans="1:15" x14ac:dyDescent="0.2">
      <c r="A1399" s="17" t="s">
        <v>4557</v>
      </c>
      <c r="B1399" s="17" t="s">
        <v>4558</v>
      </c>
      <c r="C1399" s="17">
        <v>15</v>
      </c>
      <c r="D1399" s="11"/>
      <c r="E1399" s="1">
        <v>2150</v>
      </c>
      <c r="F1399" s="1">
        <v>2440</v>
      </c>
      <c r="G1399" s="1">
        <v>53</v>
      </c>
      <c r="H1399" s="11"/>
      <c r="I1399" s="11"/>
      <c r="J1399" s="11"/>
      <c r="K1399" s="1"/>
      <c r="L1399" s="2"/>
      <c r="M1399" s="2"/>
      <c r="N1399" s="2"/>
      <c r="O1399" s="2"/>
    </row>
    <row r="1400" spans="1:15" x14ac:dyDescent="0.2">
      <c r="A1400" s="17" t="s">
        <v>4559</v>
      </c>
      <c r="B1400" s="17" t="s">
        <v>4560</v>
      </c>
      <c r="C1400" s="17">
        <v>15</v>
      </c>
      <c r="D1400" s="11"/>
      <c r="E1400" s="1">
        <v>2150</v>
      </c>
      <c r="F1400" s="1">
        <v>2440</v>
      </c>
      <c r="G1400" s="1">
        <v>53</v>
      </c>
      <c r="H1400" s="11"/>
      <c r="I1400" s="11"/>
      <c r="J1400" s="11"/>
      <c r="K1400" s="1"/>
      <c r="L1400" s="2"/>
      <c r="M1400" s="2"/>
      <c r="N1400" s="2"/>
      <c r="O1400" s="2"/>
    </row>
    <row r="1401" spans="1:15" x14ac:dyDescent="0.2">
      <c r="A1401" s="17" t="s">
        <v>4561</v>
      </c>
      <c r="B1401" s="17" t="s">
        <v>4562</v>
      </c>
      <c r="C1401" s="17">
        <v>15</v>
      </c>
      <c r="D1401" s="11"/>
      <c r="E1401" s="1">
        <v>2150</v>
      </c>
      <c r="F1401" s="1">
        <v>2440</v>
      </c>
      <c r="G1401" s="1">
        <v>53</v>
      </c>
      <c r="H1401" s="11"/>
      <c r="I1401" s="11"/>
      <c r="J1401" s="11"/>
      <c r="K1401" s="1"/>
      <c r="L1401" s="2"/>
      <c r="M1401" s="2"/>
      <c r="N1401" s="2"/>
      <c r="O1401" s="2"/>
    </row>
    <row r="1402" spans="1:15" x14ac:dyDescent="0.2">
      <c r="A1402" s="17" t="s">
        <v>4563</v>
      </c>
      <c r="B1402" s="17" t="s">
        <v>4564</v>
      </c>
      <c r="C1402" s="17">
        <v>15</v>
      </c>
      <c r="D1402" s="11"/>
      <c r="E1402" s="1">
        <v>2150</v>
      </c>
      <c r="F1402" s="1">
        <v>2440</v>
      </c>
      <c r="G1402" s="1">
        <v>53</v>
      </c>
      <c r="H1402" s="11"/>
      <c r="I1402" s="11"/>
      <c r="J1402" s="11"/>
      <c r="K1402" s="1"/>
      <c r="L1402" s="2"/>
      <c r="M1402" s="2"/>
      <c r="N1402" s="2"/>
      <c r="O1402" s="2"/>
    </row>
    <row r="1403" spans="1:15" x14ac:dyDescent="0.2">
      <c r="A1403" s="17" t="s">
        <v>4551</v>
      </c>
      <c r="B1403" s="17" t="s">
        <v>4552</v>
      </c>
      <c r="C1403" s="17">
        <v>15</v>
      </c>
      <c r="D1403" s="11"/>
      <c r="E1403" s="1">
        <v>2150</v>
      </c>
      <c r="F1403" s="1">
        <v>2440</v>
      </c>
      <c r="G1403" s="1">
        <v>53</v>
      </c>
      <c r="H1403" s="11"/>
      <c r="I1403" s="11"/>
      <c r="J1403" s="11"/>
      <c r="K1403" s="1"/>
      <c r="L1403" s="2"/>
      <c r="M1403" s="2"/>
      <c r="N1403" s="2"/>
      <c r="O1403" s="2"/>
    </row>
    <row r="1404" spans="1:15" x14ac:dyDescent="0.2">
      <c r="A1404" s="17" t="s">
        <v>4553</v>
      </c>
      <c r="B1404" s="17" t="s">
        <v>4554</v>
      </c>
      <c r="C1404" s="17">
        <v>15</v>
      </c>
      <c r="D1404" s="11"/>
      <c r="E1404" s="1">
        <v>2150</v>
      </c>
      <c r="F1404" s="1">
        <v>2440</v>
      </c>
      <c r="G1404" s="1">
        <v>53</v>
      </c>
      <c r="H1404" s="11"/>
      <c r="I1404" s="11"/>
      <c r="J1404" s="11"/>
      <c r="K1404" s="1"/>
      <c r="L1404" s="2"/>
      <c r="M1404" s="2"/>
      <c r="N1404" s="2"/>
      <c r="O1404" s="2"/>
    </row>
    <row r="1405" spans="1:15" x14ac:dyDescent="0.2">
      <c r="A1405" s="17" t="s">
        <v>4557</v>
      </c>
      <c r="B1405" s="17" t="s">
        <v>4558</v>
      </c>
      <c r="C1405" s="17">
        <v>15</v>
      </c>
      <c r="D1405" s="11"/>
      <c r="E1405" s="1">
        <v>2150</v>
      </c>
      <c r="F1405" s="1">
        <v>2440</v>
      </c>
      <c r="G1405" s="1">
        <v>53</v>
      </c>
      <c r="H1405" s="11"/>
      <c r="I1405" s="11"/>
      <c r="J1405" s="11"/>
      <c r="K1405" s="1"/>
      <c r="L1405" s="2"/>
      <c r="M1405" s="2"/>
      <c r="N1405" s="2"/>
      <c r="O1405" s="2"/>
    </row>
    <row r="1406" spans="1:15" x14ac:dyDescent="0.2">
      <c r="A1406" s="17" t="s">
        <v>4565</v>
      </c>
      <c r="B1406" s="17" t="s">
        <v>4566</v>
      </c>
      <c r="C1406" s="17">
        <v>15</v>
      </c>
      <c r="D1406" s="11"/>
      <c r="E1406" s="1">
        <v>2150</v>
      </c>
      <c r="F1406" s="1">
        <v>2440</v>
      </c>
      <c r="G1406" s="1">
        <v>53</v>
      </c>
      <c r="H1406" s="11"/>
      <c r="I1406" s="11"/>
      <c r="J1406" s="11"/>
      <c r="K1406" s="1"/>
      <c r="L1406" s="2"/>
      <c r="M1406" s="2"/>
      <c r="N1406" s="2"/>
      <c r="O1406" s="2"/>
    </row>
    <row r="1407" spans="1:15" x14ac:dyDescent="0.2">
      <c r="A1407" s="17" t="s">
        <v>4567</v>
      </c>
      <c r="B1407" s="17" t="s">
        <v>4568</v>
      </c>
      <c r="C1407" s="17">
        <v>15</v>
      </c>
      <c r="D1407" s="11"/>
      <c r="E1407" s="1">
        <v>2150</v>
      </c>
      <c r="F1407" s="1">
        <v>2440</v>
      </c>
      <c r="G1407" s="1">
        <v>53</v>
      </c>
      <c r="H1407" s="11"/>
      <c r="I1407" s="11"/>
      <c r="J1407" s="11"/>
      <c r="K1407" s="1"/>
      <c r="L1407" s="2"/>
      <c r="M1407" s="2"/>
      <c r="N1407" s="2"/>
      <c r="O1407" s="2"/>
    </row>
    <row r="1408" spans="1:15" x14ac:dyDescent="0.2">
      <c r="A1408" s="17" t="s">
        <v>4569</v>
      </c>
      <c r="B1408" s="17" t="s">
        <v>4570</v>
      </c>
      <c r="C1408" s="17">
        <v>15</v>
      </c>
      <c r="D1408" s="11"/>
      <c r="E1408" s="1">
        <v>2150</v>
      </c>
      <c r="F1408" s="1">
        <v>2440</v>
      </c>
      <c r="G1408" s="1">
        <v>53</v>
      </c>
      <c r="H1408" s="11"/>
      <c r="I1408" s="11"/>
      <c r="J1408" s="11"/>
      <c r="K1408" s="1"/>
      <c r="L1408" s="2"/>
      <c r="M1408" s="2"/>
      <c r="N1408" s="2"/>
      <c r="O1408" s="2"/>
    </row>
    <row r="1409" spans="1:15" x14ac:dyDescent="0.2">
      <c r="A1409" s="17" t="s">
        <v>4571</v>
      </c>
      <c r="B1409" s="17" t="s">
        <v>4572</v>
      </c>
      <c r="C1409" s="17">
        <v>15</v>
      </c>
      <c r="D1409" s="11"/>
      <c r="E1409" s="1">
        <v>2150</v>
      </c>
      <c r="F1409" s="1">
        <v>2440</v>
      </c>
      <c r="G1409" s="1">
        <v>53</v>
      </c>
      <c r="H1409" s="11"/>
      <c r="I1409" s="11"/>
      <c r="J1409" s="11"/>
      <c r="K1409" s="1"/>
      <c r="L1409" s="2"/>
      <c r="M1409" s="2"/>
      <c r="N1409" s="2"/>
      <c r="O1409" s="2"/>
    </row>
    <row r="1410" spans="1:15" x14ac:dyDescent="0.2">
      <c r="A1410" s="17" t="s">
        <v>4573</v>
      </c>
      <c r="B1410" s="17" t="s">
        <v>4574</v>
      </c>
      <c r="C1410" s="17">
        <v>15</v>
      </c>
      <c r="D1410" s="11"/>
      <c r="E1410" s="1">
        <v>2150</v>
      </c>
      <c r="F1410" s="1">
        <v>2440</v>
      </c>
      <c r="G1410" s="1">
        <v>53</v>
      </c>
      <c r="H1410" s="11"/>
      <c r="I1410" s="11"/>
      <c r="J1410" s="11"/>
      <c r="K1410" s="1"/>
      <c r="L1410" s="2"/>
      <c r="M1410" s="2"/>
      <c r="N1410" s="2"/>
      <c r="O1410" s="2"/>
    </row>
    <row r="1411" spans="1:15" x14ac:dyDescent="0.2">
      <c r="A1411" s="17" t="s">
        <v>4575</v>
      </c>
      <c r="B1411" s="17" t="s">
        <v>4576</v>
      </c>
      <c r="C1411" s="17">
        <v>15</v>
      </c>
      <c r="D1411" s="11"/>
      <c r="E1411" s="1">
        <v>2150</v>
      </c>
      <c r="F1411" s="1">
        <v>2440</v>
      </c>
      <c r="G1411" s="1">
        <v>53</v>
      </c>
      <c r="H1411" s="11"/>
      <c r="I1411" s="11"/>
      <c r="J1411" s="11"/>
      <c r="K1411" s="1"/>
      <c r="L1411" s="2"/>
      <c r="M1411" s="2"/>
      <c r="N1411" s="2"/>
      <c r="O1411" s="2"/>
    </row>
    <row r="1412" spans="1:15" x14ac:dyDescent="0.2">
      <c r="A1412" s="17" t="s">
        <v>4577</v>
      </c>
      <c r="B1412" s="17" t="s">
        <v>4578</v>
      </c>
      <c r="C1412" s="17">
        <v>15</v>
      </c>
      <c r="D1412" s="11"/>
      <c r="E1412" s="1">
        <v>2150</v>
      </c>
      <c r="F1412" s="1">
        <v>2440</v>
      </c>
      <c r="G1412" s="1">
        <v>53</v>
      </c>
      <c r="H1412" s="11"/>
      <c r="I1412" s="11"/>
      <c r="J1412" s="11"/>
      <c r="K1412" s="1"/>
      <c r="L1412" s="2"/>
      <c r="M1412" s="2"/>
      <c r="N1412" s="2"/>
      <c r="O1412" s="2"/>
    </row>
    <row r="1413" spans="1:15" x14ac:dyDescent="0.2">
      <c r="A1413" s="17" t="s">
        <v>4559</v>
      </c>
      <c r="B1413" s="17" t="s">
        <v>4560</v>
      </c>
      <c r="C1413" s="17">
        <v>15</v>
      </c>
      <c r="D1413" s="11"/>
      <c r="E1413" s="1">
        <v>2150</v>
      </c>
      <c r="F1413" s="1">
        <v>2440</v>
      </c>
      <c r="G1413" s="1">
        <v>53</v>
      </c>
      <c r="H1413" s="11"/>
      <c r="I1413" s="11"/>
      <c r="J1413" s="11"/>
      <c r="K1413" s="1"/>
      <c r="L1413" s="2"/>
      <c r="M1413" s="2"/>
      <c r="N1413" s="2"/>
      <c r="O1413" s="2"/>
    </row>
    <row r="1414" spans="1:15" x14ac:dyDescent="0.2">
      <c r="A1414" s="17" t="s">
        <v>4555</v>
      </c>
      <c r="B1414" s="17" t="s">
        <v>4556</v>
      </c>
      <c r="C1414" s="17">
        <v>15</v>
      </c>
      <c r="D1414" s="11"/>
      <c r="E1414" s="1">
        <v>2150</v>
      </c>
      <c r="F1414" s="1">
        <v>2440</v>
      </c>
      <c r="G1414" s="1">
        <v>53</v>
      </c>
      <c r="H1414" s="11"/>
      <c r="I1414" s="11"/>
      <c r="J1414" s="11"/>
      <c r="K1414" s="1"/>
      <c r="L1414" s="2"/>
      <c r="M1414" s="2"/>
      <c r="N1414" s="2"/>
      <c r="O1414" s="2"/>
    </row>
    <row r="1415" spans="1:15" x14ac:dyDescent="0.2">
      <c r="A1415" s="17" t="s">
        <v>4579</v>
      </c>
      <c r="B1415" s="17" t="s">
        <v>4580</v>
      </c>
      <c r="C1415" s="17">
        <v>6</v>
      </c>
      <c r="D1415" s="11"/>
      <c r="E1415" s="1">
        <v>2150</v>
      </c>
      <c r="F1415" s="1">
        <v>2440</v>
      </c>
      <c r="G1415" s="1">
        <v>23</v>
      </c>
      <c r="H1415" s="11"/>
      <c r="I1415" s="11"/>
      <c r="J1415" s="11"/>
      <c r="K1415" s="1"/>
      <c r="L1415" s="2"/>
      <c r="M1415" s="2"/>
      <c r="N1415" s="2"/>
      <c r="O1415" s="2"/>
    </row>
    <row r="1416" spans="1:15" x14ac:dyDescent="0.2">
      <c r="A1416" s="17" t="s">
        <v>4581</v>
      </c>
      <c r="B1416" s="17" t="s">
        <v>4582</v>
      </c>
      <c r="C1416" s="17">
        <v>6</v>
      </c>
      <c r="D1416" s="11"/>
      <c r="E1416" s="1">
        <v>2150</v>
      </c>
      <c r="F1416" s="1">
        <v>2440</v>
      </c>
      <c r="G1416" s="1">
        <v>23</v>
      </c>
      <c r="H1416" s="11"/>
      <c r="I1416" s="11"/>
      <c r="J1416" s="11"/>
      <c r="K1416" s="1"/>
      <c r="L1416" s="2"/>
      <c r="M1416" s="2"/>
      <c r="N1416" s="2"/>
      <c r="O1416" s="2"/>
    </row>
    <row r="1417" spans="1:15" x14ac:dyDescent="0.2">
      <c r="A1417" s="17" t="s">
        <v>4583</v>
      </c>
      <c r="B1417" s="17" t="s">
        <v>4584</v>
      </c>
      <c r="C1417" s="17">
        <v>6</v>
      </c>
      <c r="D1417" s="11"/>
      <c r="E1417" s="1">
        <v>2150</v>
      </c>
      <c r="F1417" s="1">
        <v>2440</v>
      </c>
      <c r="G1417" s="1">
        <v>23</v>
      </c>
      <c r="H1417" s="11"/>
      <c r="I1417" s="11"/>
      <c r="J1417" s="11"/>
      <c r="K1417" s="1"/>
      <c r="L1417" s="2"/>
      <c r="M1417" s="2"/>
      <c r="N1417" s="2"/>
      <c r="O1417" s="2"/>
    </row>
    <row r="1418" spans="1:15" x14ac:dyDescent="0.2">
      <c r="A1418" s="17" t="s">
        <v>4585</v>
      </c>
      <c r="B1418" s="17" t="s">
        <v>4586</v>
      </c>
      <c r="C1418" s="17">
        <v>6</v>
      </c>
      <c r="D1418" s="11"/>
      <c r="E1418" s="1">
        <v>2150</v>
      </c>
      <c r="F1418" s="1">
        <v>2440</v>
      </c>
      <c r="G1418" s="1">
        <v>23</v>
      </c>
      <c r="H1418" s="11"/>
      <c r="I1418" s="11"/>
      <c r="J1418" s="11"/>
      <c r="K1418" s="1"/>
      <c r="L1418" s="2"/>
      <c r="M1418" s="2"/>
      <c r="N1418" s="2"/>
      <c r="O1418" s="2"/>
    </row>
    <row r="1419" spans="1:15" x14ac:dyDescent="0.2">
      <c r="A1419" s="17" t="s">
        <v>4587</v>
      </c>
      <c r="B1419" s="17" t="s">
        <v>4588</v>
      </c>
      <c r="C1419" s="17">
        <v>6</v>
      </c>
      <c r="D1419" s="11"/>
      <c r="E1419" s="1">
        <v>2150</v>
      </c>
      <c r="F1419" s="1">
        <v>2440</v>
      </c>
      <c r="G1419" s="1">
        <v>23</v>
      </c>
      <c r="H1419" s="11"/>
      <c r="I1419" s="11"/>
      <c r="J1419" s="11"/>
      <c r="K1419" s="1"/>
      <c r="L1419" s="2"/>
      <c r="M1419" s="2"/>
      <c r="N1419" s="2"/>
      <c r="O1419" s="2"/>
    </row>
    <row r="1420" spans="1:15" x14ac:dyDescent="0.2">
      <c r="A1420" s="17" t="s">
        <v>4589</v>
      </c>
      <c r="B1420" s="17" t="s">
        <v>4590</v>
      </c>
      <c r="C1420" s="17">
        <v>6</v>
      </c>
      <c r="D1420" s="11"/>
      <c r="E1420" s="1">
        <v>2150</v>
      </c>
      <c r="F1420" s="1">
        <v>2440</v>
      </c>
      <c r="G1420" s="1">
        <v>23</v>
      </c>
      <c r="H1420" s="11"/>
      <c r="I1420" s="11"/>
      <c r="J1420" s="11"/>
      <c r="K1420" s="1"/>
      <c r="L1420" s="2"/>
      <c r="M1420" s="2"/>
      <c r="N1420" s="2"/>
      <c r="O1420" s="2"/>
    </row>
    <row r="1421" spans="1:15" x14ac:dyDescent="0.2">
      <c r="A1421" s="17" t="s">
        <v>4591</v>
      </c>
      <c r="B1421" s="17" t="s">
        <v>4592</v>
      </c>
      <c r="C1421" s="17">
        <v>6</v>
      </c>
      <c r="D1421" s="11"/>
      <c r="E1421" s="1">
        <v>2150</v>
      </c>
      <c r="F1421" s="1">
        <v>2440</v>
      </c>
      <c r="G1421" s="1">
        <v>23</v>
      </c>
      <c r="H1421" s="11"/>
      <c r="I1421" s="11"/>
      <c r="J1421" s="11"/>
      <c r="K1421" s="1"/>
      <c r="L1421" s="2"/>
      <c r="M1421" s="2"/>
      <c r="N1421" s="2"/>
      <c r="O1421" s="2"/>
    </row>
    <row r="1422" spans="1:15" x14ac:dyDescent="0.2">
      <c r="A1422" s="17" t="s">
        <v>4593</v>
      </c>
      <c r="B1422" s="17" t="s">
        <v>4594</v>
      </c>
      <c r="C1422" s="17">
        <v>6</v>
      </c>
      <c r="D1422" s="11"/>
      <c r="E1422" s="1">
        <v>2150</v>
      </c>
      <c r="F1422" s="1">
        <v>2440</v>
      </c>
      <c r="G1422" s="1">
        <v>23</v>
      </c>
      <c r="H1422" s="11"/>
      <c r="I1422" s="11"/>
      <c r="J1422" s="11"/>
      <c r="K1422" s="1"/>
      <c r="L1422" s="2"/>
      <c r="M1422" s="2"/>
      <c r="N1422" s="2"/>
      <c r="O1422" s="2"/>
    </row>
    <row r="1423" spans="1:15" x14ac:dyDescent="0.2">
      <c r="A1423" s="17" t="s">
        <v>4595</v>
      </c>
      <c r="B1423" s="17" t="s">
        <v>4596</v>
      </c>
      <c r="C1423" s="17">
        <v>15</v>
      </c>
      <c r="D1423" s="11"/>
      <c r="E1423" s="1">
        <v>2150</v>
      </c>
      <c r="F1423" s="1">
        <v>2440</v>
      </c>
      <c r="G1423" s="1">
        <v>53</v>
      </c>
      <c r="H1423" s="11"/>
      <c r="I1423" s="11"/>
      <c r="J1423" s="11"/>
      <c r="K1423" s="1"/>
      <c r="L1423" s="2"/>
      <c r="M1423" s="2"/>
      <c r="N1423" s="2"/>
      <c r="O1423" s="2"/>
    </row>
    <row r="1424" spans="1:15" x14ac:dyDescent="0.2">
      <c r="A1424" s="17" t="s">
        <v>4597</v>
      </c>
      <c r="B1424" s="17" t="s">
        <v>4598</v>
      </c>
      <c r="C1424" s="17">
        <v>6</v>
      </c>
      <c r="D1424" s="11"/>
      <c r="E1424" s="1">
        <v>2150</v>
      </c>
      <c r="F1424" s="1">
        <v>2440</v>
      </c>
      <c r="G1424" s="1">
        <v>23</v>
      </c>
      <c r="H1424" s="11"/>
      <c r="I1424" s="11"/>
      <c r="J1424" s="11"/>
      <c r="K1424" s="1"/>
      <c r="L1424" s="2"/>
      <c r="M1424" s="2"/>
      <c r="N1424" s="2"/>
      <c r="O1424" s="2"/>
    </row>
    <row r="1425" spans="1:15" x14ac:dyDescent="0.2">
      <c r="A1425" s="17" t="s">
        <v>4599</v>
      </c>
      <c r="B1425" s="17" t="s">
        <v>4600</v>
      </c>
      <c r="C1425" s="17">
        <v>6</v>
      </c>
      <c r="D1425" s="11"/>
      <c r="E1425" s="1">
        <v>2150</v>
      </c>
      <c r="F1425" s="1">
        <v>2440</v>
      </c>
      <c r="G1425" s="1">
        <v>23</v>
      </c>
      <c r="H1425" s="11"/>
      <c r="I1425" s="11"/>
      <c r="J1425" s="11"/>
      <c r="K1425" s="1"/>
      <c r="L1425" s="2"/>
      <c r="M1425" s="2"/>
      <c r="N1425" s="2"/>
      <c r="O1425" s="2"/>
    </row>
    <row r="1426" spans="1:15" x14ac:dyDescent="0.2">
      <c r="A1426" s="17" t="s">
        <v>4601</v>
      </c>
      <c r="B1426" s="17" t="s">
        <v>4602</v>
      </c>
      <c r="C1426" s="17">
        <v>15</v>
      </c>
      <c r="D1426" s="11"/>
      <c r="E1426" s="1">
        <v>2150</v>
      </c>
      <c r="F1426" s="1">
        <v>2440</v>
      </c>
      <c r="G1426" s="1">
        <v>53</v>
      </c>
      <c r="H1426" s="11"/>
      <c r="I1426" s="11"/>
      <c r="J1426" s="11"/>
      <c r="K1426" s="1"/>
      <c r="L1426" s="2"/>
      <c r="M1426" s="2"/>
      <c r="N1426" s="2"/>
      <c r="O1426" s="2"/>
    </row>
    <row r="1427" spans="1:15" x14ac:dyDescent="0.2">
      <c r="A1427" s="17" t="s">
        <v>4603</v>
      </c>
      <c r="B1427" s="17" t="s">
        <v>4604</v>
      </c>
      <c r="C1427" s="17">
        <v>6</v>
      </c>
      <c r="D1427" s="11"/>
      <c r="E1427" s="1">
        <v>2150</v>
      </c>
      <c r="F1427" s="1">
        <v>2440</v>
      </c>
      <c r="G1427" s="1">
        <v>23</v>
      </c>
      <c r="H1427" s="11"/>
      <c r="I1427" s="11"/>
      <c r="J1427" s="11"/>
      <c r="K1427" s="1"/>
      <c r="L1427" s="2"/>
      <c r="M1427" s="2"/>
      <c r="N1427" s="2"/>
      <c r="O1427" s="2"/>
    </row>
    <row r="1428" spans="1:15" x14ac:dyDescent="0.2">
      <c r="A1428" s="17" t="s">
        <v>4605</v>
      </c>
      <c r="B1428" s="17" t="s">
        <v>4606</v>
      </c>
      <c r="C1428" s="17">
        <v>6</v>
      </c>
      <c r="D1428" s="11"/>
      <c r="E1428" s="1">
        <v>2150</v>
      </c>
      <c r="F1428" s="1">
        <v>2440</v>
      </c>
      <c r="G1428" s="1">
        <v>23</v>
      </c>
      <c r="H1428" s="11"/>
      <c r="I1428" s="11"/>
      <c r="J1428" s="11"/>
      <c r="K1428" s="1"/>
      <c r="L1428" s="2"/>
      <c r="M1428" s="2"/>
      <c r="N1428" s="2"/>
      <c r="O1428" s="2"/>
    </row>
    <row r="1429" spans="1:15" x14ac:dyDescent="0.2">
      <c r="A1429" s="17" t="s">
        <v>4607</v>
      </c>
      <c r="B1429" s="17" t="s">
        <v>4608</v>
      </c>
      <c r="C1429" s="17">
        <v>6</v>
      </c>
      <c r="D1429" s="11"/>
      <c r="E1429" s="1">
        <v>2150</v>
      </c>
      <c r="F1429" s="1">
        <v>2440</v>
      </c>
      <c r="G1429" s="1">
        <v>23</v>
      </c>
      <c r="H1429" s="11"/>
      <c r="I1429" s="11"/>
      <c r="J1429" s="11"/>
      <c r="K1429" s="1"/>
      <c r="L1429" s="2"/>
      <c r="M1429" s="2"/>
      <c r="N1429" s="2"/>
      <c r="O1429" s="2"/>
    </row>
    <row r="1430" spans="1:15" x14ac:dyDescent="0.2">
      <c r="A1430" s="17" t="s">
        <v>4609</v>
      </c>
      <c r="B1430" s="17" t="s">
        <v>4610</v>
      </c>
      <c r="C1430" s="17">
        <v>6</v>
      </c>
      <c r="D1430" s="11"/>
      <c r="E1430" s="1">
        <v>2150</v>
      </c>
      <c r="F1430" s="1">
        <v>2440</v>
      </c>
      <c r="G1430" s="1">
        <v>23</v>
      </c>
      <c r="H1430" s="11"/>
      <c r="I1430" s="11"/>
      <c r="J1430" s="11"/>
      <c r="K1430" s="1"/>
      <c r="L1430" s="2"/>
      <c r="M1430" s="2"/>
      <c r="N1430" s="2"/>
      <c r="O1430" s="2"/>
    </row>
    <row r="1431" spans="1:15" x14ac:dyDescent="0.2">
      <c r="A1431" s="17" t="s">
        <v>4611</v>
      </c>
      <c r="B1431" s="17" t="s">
        <v>4612</v>
      </c>
      <c r="C1431" s="17">
        <v>6</v>
      </c>
      <c r="D1431" s="11"/>
      <c r="E1431" s="1">
        <v>2150</v>
      </c>
      <c r="F1431" s="1">
        <v>2440</v>
      </c>
      <c r="G1431" s="1">
        <v>23</v>
      </c>
      <c r="H1431" s="11"/>
      <c r="I1431" s="11"/>
      <c r="J1431" s="11"/>
      <c r="K1431" s="1"/>
      <c r="L1431" s="2"/>
      <c r="M1431" s="2"/>
      <c r="N1431" s="2"/>
      <c r="O1431" s="2"/>
    </row>
    <row r="1432" spans="1:15" x14ac:dyDescent="0.2">
      <c r="A1432" s="17" t="s">
        <v>4425</v>
      </c>
      <c r="B1432" s="17" t="s">
        <v>4613</v>
      </c>
      <c r="C1432" s="17">
        <v>12</v>
      </c>
      <c r="D1432" s="11"/>
      <c r="E1432" s="1">
        <v>1830</v>
      </c>
      <c r="F1432" s="1">
        <v>2440</v>
      </c>
      <c r="G1432" s="1"/>
      <c r="H1432" s="11"/>
      <c r="I1432" s="11"/>
      <c r="J1432" s="11"/>
      <c r="K1432" s="1"/>
      <c r="L1432" s="2"/>
      <c r="M1432" s="2"/>
      <c r="N1432" s="2"/>
      <c r="O1432" s="2"/>
    </row>
    <row r="1433" spans="1:15" x14ac:dyDescent="0.2">
      <c r="A1433" s="17" t="s">
        <v>1098</v>
      </c>
      <c r="B1433" s="17" t="s">
        <v>4614</v>
      </c>
      <c r="C1433" s="17">
        <v>15</v>
      </c>
      <c r="D1433" s="11"/>
      <c r="E1433" s="1">
        <v>2150</v>
      </c>
      <c r="F1433" s="1">
        <v>2440</v>
      </c>
      <c r="G1433" s="1">
        <v>52</v>
      </c>
      <c r="H1433" s="11"/>
      <c r="I1433" s="11"/>
      <c r="J1433" s="11"/>
      <c r="K1433" s="1"/>
      <c r="L1433" s="2"/>
      <c r="M1433" s="2"/>
      <c r="N1433" s="2"/>
      <c r="O1433" s="2"/>
    </row>
    <row r="1434" spans="1:15" x14ac:dyDescent="0.2">
      <c r="A1434" s="17" t="s">
        <v>4615</v>
      </c>
      <c r="B1434" s="17" t="s">
        <v>4616</v>
      </c>
      <c r="C1434" s="17">
        <v>15</v>
      </c>
      <c r="D1434" s="11"/>
      <c r="E1434" s="1">
        <v>2150</v>
      </c>
      <c r="F1434" s="1">
        <v>2440</v>
      </c>
      <c r="G1434" s="1">
        <v>52</v>
      </c>
      <c r="H1434" s="11"/>
      <c r="I1434" s="11"/>
      <c r="J1434" s="11"/>
      <c r="K1434" s="1"/>
      <c r="L1434" s="2"/>
      <c r="M1434" s="2"/>
      <c r="N1434" s="2"/>
      <c r="O1434" s="2"/>
    </row>
    <row r="1435" spans="1:15" x14ac:dyDescent="0.2">
      <c r="A1435" s="17" t="s">
        <v>4617</v>
      </c>
      <c r="B1435" s="17" t="s">
        <v>4618</v>
      </c>
      <c r="C1435" s="17">
        <v>18</v>
      </c>
      <c r="D1435" s="11"/>
      <c r="E1435" s="1">
        <v>2150</v>
      </c>
      <c r="F1435" s="1">
        <v>2440</v>
      </c>
      <c r="G1435" s="1">
        <v>61</v>
      </c>
      <c r="H1435" s="11"/>
      <c r="I1435" s="11"/>
      <c r="J1435" s="11"/>
      <c r="K1435" s="1"/>
      <c r="L1435" s="2"/>
      <c r="M1435" s="2"/>
      <c r="N1435" s="2"/>
      <c r="O1435" s="2"/>
    </row>
    <row r="1436" spans="1:15" x14ac:dyDescent="0.2">
      <c r="A1436" s="17" t="s">
        <v>4619</v>
      </c>
      <c r="B1436" s="17" t="s">
        <v>4620</v>
      </c>
      <c r="C1436" s="17">
        <v>36</v>
      </c>
      <c r="D1436" s="11"/>
      <c r="E1436" s="1">
        <v>2150</v>
      </c>
      <c r="F1436" s="1">
        <v>2440</v>
      </c>
      <c r="G1436" s="1">
        <v>117</v>
      </c>
      <c r="H1436" s="11"/>
      <c r="I1436" s="11"/>
      <c r="J1436" s="11"/>
      <c r="K1436" s="1"/>
      <c r="L1436" s="2"/>
      <c r="M1436" s="2"/>
      <c r="N1436" s="2"/>
      <c r="O1436" s="2"/>
    </row>
    <row r="1437" spans="1:15" x14ac:dyDescent="0.2">
      <c r="A1437" s="17" t="s">
        <v>4621</v>
      </c>
      <c r="B1437" s="17" t="s">
        <v>4622</v>
      </c>
      <c r="C1437" s="17">
        <v>6</v>
      </c>
      <c r="D1437" s="11"/>
      <c r="E1437" s="1">
        <v>2150</v>
      </c>
      <c r="F1437" s="1">
        <v>2440</v>
      </c>
      <c r="G1437" s="1">
        <v>23</v>
      </c>
      <c r="H1437" s="11"/>
      <c r="I1437" s="11"/>
      <c r="J1437" s="11"/>
      <c r="K1437" s="1"/>
      <c r="L1437" s="2"/>
      <c r="M1437" s="2"/>
      <c r="N1437" s="2"/>
      <c r="O1437" s="2"/>
    </row>
    <row r="1438" spans="1:15" x14ac:dyDescent="0.2">
      <c r="A1438" s="17" t="s">
        <v>4623</v>
      </c>
      <c r="B1438" s="17" t="s">
        <v>4624</v>
      </c>
      <c r="C1438" s="17">
        <v>18</v>
      </c>
      <c r="D1438" s="11"/>
      <c r="E1438" s="1">
        <v>2150</v>
      </c>
      <c r="F1438" s="1">
        <v>2440</v>
      </c>
      <c r="G1438" s="1">
        <v>61</v>
      </c>
      <c r="H1438" s="11"/>
      <c r="I1438" s="11"/>
      <c r="J1438" s="11"/>
      <c r="K1438" s="1"/>
      <c r="L1438" s="2"/>
      <c r="M1438" s="2"/>
      <c r="N1438" s="2"/>
      <c r="O1438" s="2"/>
    </row>
    <row r="1439" spans="1:15" x14ac:dyDescent="0.2">
      <c r="A1439" s="17" t="s">
        <v>4625</v>
      </c>
      <c r="B1439" s="17" t="s">
        <v>4626</v>
      </c>
      <c r="C1439" s="17">
        <v>36</v>
      </c>
      <c r="D1439" s="11"/>
      <c r="E1439" s="1">
        <v>2150</v>
      </c>
      <c r="F1439" s="1">
        <v>2440</v>
      </c>
      <c r="G1439" s="1">
        <v>117</v>
      </c>
      <c r="H1439" s="11"/>
      <c r="I1439" s="11"/>
      <c r="J1439" s="11"/>
      <c r="K1439" s="1"/>
      <c r="L1439" s="2"/>
      <c r="M1439" s="2"/>
      <c r="N1439" s="2"/>
      <c r="O1439" s="2"/>
    </row>
    <row r="1440" spans="1:15" x14ac:dyDescent="0.2">
      <c r="A1440" s="17" t="s">
        <v>4627</v>
      </c>
      <c r="B1440" s="17" t="s">
        <v>4628</v>
      </c>
      <c r="C1440" s="17">
        <v>36</v>
      </c>
      <c r="D1440" s="11"/>
      <c r="E1440" s="1">
        <v>2150</v>
      </c>
      <c r="F1440" s="1">
        <v>2440</v>
      </c>
      <c r="G1440" s="1">
        <v>117</v>
      </c>
      <c r="H1440" s="11"/>
      <c r="I1440" s="11"/>
      <c r="J1440" s="11"/>
      <c r="K1440" s="1"/>
      <c r="L1440" s="2"/>
      <c r="M1440" s="2"/>
      <c r="N1440" s="2"/>
      <c r="O1440" s="2"/>
    </row>
    <row r="1441" spans="1:15" x14ac:dyDescent="0.2">
      <c r="A1441" s="17" t="s">
        <v>4629</v>
      </c>
      <c r="B1441" s="17" t="s">
        <v>4630</v>
      </c>
      <c r="C1441" s="17">
        <v>18</v>
      </c>
      <c r="D1441" s="11"/>
      <c r="E1441" s="1">
        <v>2150</v>
      </c>
      <c r="F1441" s="1">
        <v>2440</v>
      </c>
      <c r="G1441" s="1">
        <v>61</v>
      </c>
      <c r="H1441" s="11"/>
      <c r="I1441" s="11"/>
      <c r="J1441" s="11"/>
      <c r="K1441" s="1"/>
      <c r="L1441" s="2"/>
      <c r="M1441" s="2"/>
      <c r="N1441" s="2"/>
      <c r="O1441" s="2"/>
    </row>
    <row r="1442" spans="1:15" x14ac:dyDescent="0.2">
      <c r="A1442" s="17" t="s">
        <v>4631</v>
      </c>
      <c r="B1442" s="17" t="s">
        <v>4632</v>
      </c>
      <c r="C1442" s="17">
        <v>36</v>
      </c>
      <c r="D1442" s="11"/>
      <c r="E1442" s="1">
        <v>2150</v>
      </c>
      <c r="F1442" s="1">
        <v>2440</v>
      </c>
      <c r="G1442" s="1">
        <v>117</v>
      </c>
      <c r="H1442" s="11"/>
      <c r="I1442" s="11"/>
      <c r="J1442" s="11"/>
      <c r="K1442" s="1"/>
      <c r="L1442" s="2"/>
      <c r="M1442" s="2"/>
      <c r="N1442" s="2"/>
      <c r="O1442" s="2"/>
    </row>
    <row r="1443" spans="1:15" x14ac:dyDescent="0.2">
      <c r="A1443" s="17" t="s">
        <v>4633</v>
      </c>
      <c r="B1443" s="17" t="s">
        <v>4634</v>
      </c>
      <c r="C1443" s="17">
        <v>18</v>
      </c>
      <c r="D1443" s="11"/>
      <c r="E1443" s="1">
        <v>2150</v>
      </c>
      <c r="F1443" s="1">
        <v>2440</v>
      </c>
      <c r="G1443" s="1">
        <v>61</v>
      </c>
      <c r="H1443" s="11"/>
      <c r="I1443" s="11"/>
      <c r="J1443" s="11"/>
      <c r="K1443" s="1"/>
      <c r="L1443" s="2"/>
      <c r="M1443" s="2"/>
      <c r="N1443" s="2"/>
      <c r="O1443" s="2"/>
    </row>
    <row r="1444" spans="1:15" x14ac:dyDescent="0.2">
      <c r="A1444" s="17" t="s">
        <v>4635</v>
      </c>
      <c r="B1444" s="17" t="s">
        <v>4636</v>
      </c>
      <c r="C1444" s="17">
        <v>36</v>
      </c>
      <c r="D1444" s="11"/>
      <c r="E1444" s="1">
        <v>2150</v>
      </c>
      <c r="F1444" s="1">
        <v>2440</v>
      </c>
      <c r="G1444" s="1">
        <v>117</v>
      </c>
      <c r="H1444" s="11"/>
      <c r="I1444" s="11"/>
      <c r="J1444" s="11"/>
      <c r="K1444" s="1"/>
      <c r="L1444" s="2"/>
      <c r="M1444" s="2"/>
      <c r="N1444" s="2"/>
      <c r="O1444" s="2"/>
    </row>
    <row r="1445" spans="1:15" x14ac:dyDescent="0.2">
      <c r="A1445" s="17" t="s">
        <v>4637</v>
      </c>
      <c r="B1445" s="17" t="s">
        <v>4638</v>
      </c>
      <c r="C1445" s="17">
        <v>15</v>
      </c>
      <c r="D1445" s="11"/>
      <c r="E1445" s="1">
        <v>2150</v>
      </c>
      <c r="F1445" s="1">
        <v>2440</v>
      </c>
      <c r="G1445" s="1">
        <v>53</v>
      </c>
      <c r="H1445" s="11"/>
      <c r="I1445" s="11"/>
      <c r="J1445" s="11"/>
      <c r="K1445" s="1"/>
      <c r="L1445" s="2"/>
      <c r="M1445" s="2"/>
      <c r="N1445" s="2"/>
      <c r="O1445" s="2"/>
    </row>
    <row r="1446" spans="1:15" x14ac:dyDescent="0.2">
      <c r="A1446" s="17" t="s">
        <v>4639</v>
      </c>
      <c r="B1446" s="17" t="s">
        <v>4640</v>
      </c>
      <c r="C1446" s="17">
        <v>18</v>
      </c>
      <c r="D1446" s="11"/>
      <c r="E1446" s="1">
        <v>2150</v>
      </c>
      <c r="F1446" s="1">
        <v>2440</v>
      </c>
      <c r="G1446" s="1">
        <v>61</v>
      </c>
      <c r="H1446" s="11"/>
      <c r="I1446" s="11"/>
      <c r="J1446" s="11"/>
      <c r="K1446" s="1"/>
      <c r="L1446" s="2"/>
      <c r="M1446" s="2"/>
      <c r="N1446" s="2"/>
      <c r="O1446" s="2"/>
    </row>
    <row r="1447" spans="1:15" x14ac:dyDescent="0.2">
      <c r="A1447" s="17" t="s">
        <v>4641</v>
      </c>
      <c r="B1447" s="17" t="s">
        <v>4642</v>
      </c>
      <c r="C1447" s="17">
        <v>18</v>
      </c>
      <c r="D1447" s="11"/>
      <c r="E1447" s="1">
        <v>2150</v>
      </c>
      <c r="F1447" s="1">
        <v>2440</v>
      </c>
      <c r="G1447" s="1">
        <v>61</v>
      </c>
      <c r="H1447" s="11"/>
      <c r="I1447" s="11"/>
      <c r="J1447" s="11"/>
      <c r="K1447" s="1"/>
      <c r="L1447" s="2"/>
      <c r="M1447" s="2"/>
      <c r="N1447" s="2"/>
      <c r="O1447" s="2"/>
    </row>
    <row r="1448" spans="1:15" x14ac:dyDescent="0.2">
      <c r="A1448" s="17" t="s">
        <v>4643</v>
      </c>
      <c r="B1448" s="17" t="s">
        <v>4644</v>
      </c>
      <c r="C1448" s="17">
        <v>18</v>
      </c>
      <c r="D1448" s="11"/>
      <c r="E1448" s="1">
        <v>2150</v>
      </c>
      <c r="F1448" s="1">
        <v>2440</v>
      </c>
      <c r="G1448" s="1">
        <v>61</v>
      </c>
      <c r="H1448" s="11"/>
      <c r="I1448" s="11"/>
      <c r="J1448" s="11"/>
      <c r="K1448" s="1"/>
      <c r="L1448" s="2"/>
      <c r="M1448" s="2"/>
      <c r="N1448" s="2"/>
      <c r="O1448" s="2"/>
    </row>
    <row r="1449" spans="1:15" x14ac:dyDescent="0.2">
      <c r="A1449" s="17" t="s">
        <v>4645</v>
      </c>
      <c r="B1449" s="17" t="s">
        <v>4646</v>
      </c>
      <c r="C1449" s="17">
        <v>6</v>
      </c>
      <c r="D1449" s="11"/>
      <c r="E1449" s="1">
        <v>2150</v>
      </c>
      <c r="F1449" s="1">
        <v>2440</v>
      </c>
      <c r="G1449" s="1">
        <v>23</v>
      </c>
      <c r="H1449" s="11"/>
      <c r="I1449" s="11"/>
      <c r="J1449" s="11"/>
      <c r="K1449" s="1"/>
      <c r="L1449" s="2"/>
      <c r="M1449" s="2"/>
      <c r="N1449" s="2"/>
      <c r="O1449" s="2"/>
    </row>
    <row r="1450" spans="1:15" x14ac:dyDescent="0.2">
      <c r="A1450" s="17" t="s">
        <v>4647</v>
      </c>
      <c r="B1450" s="17" t="s">
        <v>4648</v>
      </c>
      <c r="C1450" s="17">
        <v>15</v>
      </c>
      <c r="D1450" s="11"/>
      <c r="E1450" s="1">
        <v>2150</v>
      </c>
      <c r="F1450" s="1">
        <v>2440</v>
      </c>
      <c r="G1450" s="1">
        <v>53</v>
      </c>
      <c r="H1450" s="11"/>
      <c r="I1450" s="11"/>
      <c r="J1450" s="11"/>
      <c r="K1450" s="1"/>
      <c r="L1450" s="2"/>
      <c r="M1450" s="2"/>
      <c r="N1450" s="2"/>
      <c r="O1450" s="2"/>
    </row>
    <row r="1451" spans="1:15" x14ac:dyDescent="0.2">
      <c r="A1451" s="17" t="s">
        <v>4649</v>
      </c>
      <c r="B1451" s="17" t="s">
        <v>4650</v>
      </c>
      <c r="C1451" s="17">
        <v>6</v>
      </c>
      <c r="D1451" s="11"/>
      <c r="E1451" s="1">
        <v>2150</v>
      </c>
      <c r="F1451" s="1">
        <v>2440</v>
      </c>
      <c r="G1451" s="1">
        <v>23</v>
      </c>
      <c r="H1451" s="11"/>
      <c r="I1451" s="11"/>
      <c r="J1451" s="11"/>
      <c r="K1451" s="1"/>
      <c r="L1451" s="2"/>
      <c r="M1451" s="2"/>
      <c r="N1451" s="2"/>
      <c r="O1451" s="2"/>
    </row>
    <row r="1452" spans="1:15" x14ac:dyDescent="0.2">
      <c r="A1452" s="17" t="s">
        <v>4651</v>
      </c>
      <c r="B1452" s="17" t="s">
        <v>4652</v>
      </c>
      <c r="C1452" s="17">
        <v>6</v>
      </c>
      <c r="D1452" s="11"/>
      <c r="E1452" s="1">
        <v>2150</v>
      </c>
      <c r="F1452" s="1">
        <v>2440</v>
      </c>
      <c r="G1452" s="1">
        <v>23</v>
      </c>
      <c r="H1452" s="11"/>
      <c r="I1452" s="11"/>
      <c r="J1452" s="11"/>
      <c r="K1452" s="1"/>
      <c r="L1452" s="2"/>
      <c r="M1452" s="2"/>
      <c r="N1452" s="2"/>
      <c r="O1452" s="2"/>
    </row>
    <row r="1453" spans="1:15" x14ac:dyDescent="0.2">
      <c r="A1453" s="17" t="s">
        <v>4653</v>
      </c>
      <c r="B1453" s="17" t="s">
        <v>4654</v>
      </c>
      <c r="C1453" s="17"/>
      <c r="D1453" s="11"/>
      <c r="E1453" s="1">
        <v>2150</v>
      </c>
      <c r="F1453" s="1">
        <v>2440</v>
      </c>
      <c r="G1453" s="1">
        <v>23</v>
      </c>
      <c r="H1453" s="11"/>
      <c r="I1453" s="11"/>
      <c r="J1453" s="11"/>
      <c r="K1453" s="1"/>
      <c r="L1453" s="2"/>
      <c r="M1453" s="2"/>
      <c r="N1453" s="2"/>
      <c r="O1453" s="2"/>
    </row>
    <row r="1454" spans="1:15" x14ac:dyDescent="0.2">
      <c r="A1454" s="17" t="s">
        <v>4655</v>
      </c>
      <c r="B1454" s="17" t="s">
        <v>4656</v>
      </c>
      <c r="C1454" s="17">
        <v>36</v>
      </c>
      <c r="D1454" s="11"/>
      <c r="E1454" s="1">
        <v>2150</v>
      </c>
      <c r="F1454" s="1">
        <v>2440</v>
      </c>
      <c r="G1454" s="1">
        <v>117</v>
      </c>
      <c r="H1454" s="11"/>
      <c r="I1454" s="11"/>
      <c r="J1454" s="11"/>
      <c r="K1454" s="1"/>
      <c r="L1454" s="2"/>
      <c r="M1454" s="2"/>
      <c r="N1454" s="2"/>
      <c r="O1454" s="2"/>
    </row>
    <row r="1455" spans="1:15" x14ac:dyDescent="0.2">
      <c r="A1455" s="17" t="s">
        <v>3905</v>
      </c>
      <c r="B1455" s="17" t="s">
        <v>4657</v>
      </c>
      <c r="C1455" s="17">
        <v>9</v>
      </c>
      <c r="D1455" s="11"/>
      <c r="E1455" s="1">
        <v>1830</v>
      </c>
      <c r="F1455" s="1">
        <v>2440</v>
      </c>
      <c r="G1455" s="1"/>
      <c r="H1455" s="11"/>
      <c r="I1455" s="11"/>
      <c r="J1455" s="11"/>
      <c r="K1455" s="1"/>
      <c r="L1455" s="2"/>
      <c r="M1455" s="2"/>
      <c r="N1455" s="2"/>
      <c r="O1455" s="2"/>
    </row>
    <row r="1456" spans="1:15" x14ac:dyDescent="0.2">
      <c r="A1456" s="17" t="s">
        <v>4658</v>
      </c>
      <c r="B1456" s="17" t="s">
        <v>4659</v>
      </c>
      <c r="C1456" s="17">
        <v>18</v>
      </c>
      <c r="D1456" s="11"/>
      <c r="E1456" s="1">
        <v>2150</v>
      </c>
      <c r="F1456" s="1">
        <v>2440</v>
      </c>
      <c r="G1456" s="1">
        <v>61</v>
      </c>
      <c r="H1456" s="11"/>
      <c r="I1456" s="11"/>
      <c r="J1456" s="11"/>
      <c r="K1456" s="1"/>
      <c r="L1456" s="2"/>
      <c r="M1456" s="2"/>
      <c r="N1456" s="2"/>
      <c r="O1456" s="2"/>
    </row>
    <row r="1457" spans="1:15" x14ac:dyDescent="0.2">
      <c r="A1457" s="17" t="s">
        <v>4660</v>
      </c>
      <c r="B1457" s="17" t="s">
        <v>4661</v>
      </c>
      <c r="C1457" s="17"/>
      <c r="D1457" s="11"/>
      <c r="E1457" s="1"/>
      <c r="F1457" s="1"/>
      <c r="G1457" s="1"/>
      <c r="H1457" s="11"/>
      <c r="I1457" s="11"/>
      <c r="J1457" s="11"/>
      <c r="K1457" s="1"/>
      <c r="L1457" s="2"/>
      <c r="M1457" s="2"/>
      <c r="N1457" s="2"/>
      <c r="O1457" s="2"/>
    </row>
    <row r="1458" spans="1:15" x14ac:dyDescent="0.2">
      <c r="A1458" s="17" t="s">
        <v>4662</v>
      </c>
      <c r="B1458" s="17" t="s">
        <v>4663</v>
      </c>
      <c r="C1458" s="17">
        <v>36</v>
      </c>
      <c r="D1458" s="11"/>
      <c r="E1458" s="1">
        <v>2150</v>
      </c>
      <c r="F1458" s="1">
        <v>2440</v>
      </c>
      <c r="G1458" s="1">
        <v>117</v>
      </c>
      <c r="H1458" s="11"/>
      <c r="I1458" s="11"/>
      <c r="J1458" s="11"/>
      <c r="K1458" s="1"/>
      <c r="L1458" s="2"/>
      <c r="M1458" s="2"/>
      <c r="N1458" s="2"/>
      <c r="O1458" s="2"/>
    </row>
    <row r="1459" spans="1:15" x14ac:dyDescent="0.2">
      <c r="A1459" s="17" t="s">
        <v>507</v>
      </c>
      <c r="B1459" s="17" t="s">
        <v>4664</v>
      </c>
      <c r="C1459" s="17">
        <v>15</v>
      </c>
      <c r="D1459" s="11"/>
      <c r="E1459" s="1">
        <v>2150</v>
      </c>
      <c r="F1459" s="1">
        <v>2440</v>
      </c>
      <c r="G1459" s="1">
        <v>52</v>
      </c>
      <c r="H1459" s="11"/>
      <c r="I1459" s="11"/>
      <c r="J1459" s="11"/>
      <c r="K1459" s="1"/>
      <c r="L1459" s="2"/>
      <c r="M1459" s="2"/>
      <c r="N1459" s="2"/>
      <c r="O1459" s="2"/>
    </row>
    <row r="1460" spans="1:15" x14ac:dyDescent="0.2">
      <c r="A1460" s="17" t="s">
        <v>4665</v>
      </c>
      <c r="B1460" s="17" t="s">
        <v>4666</v>
      </c>
      <c r="C1460" s="17"/>
      <c r="D1460" s="11"/>
      <c r="E1460" s="1"/>
      <c r="F1460" s="1"/>
      <c r="G1460" s="1"/>
      <c r="H1460" s="11"/>
      <c r="I1460" s="11"/>
      <c r="J1460" s="11"/>
      <c r="K1460" s="1"/>
      <c r="L1460" s="2"/>
      <c r="M1460" s="2"/>
      <c r="N1460" s="2"/>
      <c r="O1460" s="2"/>
    </row>
    <row r="1461" spans="1:15" x14ac:dyDescent="0.2">
      <c r="A1461" s="17" t="s">
        <v>4667</v>
      </c>
      <c r="B1461" s="17" t="s">
        <v>4668</v>
      </c>
      <c r="C1461" s="17">
        <v>5</v>
      </c>
      <c r="D1461" s="11"/>
      <c r="E1461" s="1"/>
      <c r="F1461" s="1"/>
      <c r="G1461" s="1"/>
      <c r="H1461" s="11"/>
      <c r="I1461" s="11"/>
      <c r="J1461" s="11"/>
      <c r="K1461" s="1"/>
      <c r="L1461" s="2"/>
      <c r="M1461" s="2"/>
      <c r="N1461" s="2"/>
      <c r="O1461" s="2"/>
    </row>
    <row r="1462" spans="1:15" x14ac:dyDescent="0.2">
      <c r="A1462" s="17" t="s">
        <v>4665</v>
      </c>
      <c r="B1462" s="17" t="s">
        <v>4666</v>
      </c>
      <c r="C1462" s="17"/>
      <c r="D1462" s="11"/>
      <c r="E1462" s="1"/>
      <c r="F1462" s="1"/>
      <c r="G1462" s="1"/>
      <c r="H1462" s="11"/>
      <c r="I1462" s="11"/>
      <c r="J1462" s="11"/>
      <c r="K1462" s="1"/>
      <c r="L1462" s="2"/>
      <c r="M1462" s="2"/>
      <c r="N1462" s="2"/>
      <c r="O1462" s="2"/>
    </row>
    <row r="1463" spans="1:15" x14ac:dyDescent="0.2">
      <c r="A1463" s="17" t="s">
        <v>4669</v>
      </c>
      <c r="B1463" s="17" t="s">
        <v>4670</v>
      </c>
      <c r="C1463" s="17">
        <v>36</v>
      </c>
      <c r="D1463" s="11"/>
      <c r="E1463" s="1">
        <v>2150</v>
      </c>
      <c r="F1463" s="1">
        <v>2440</v>
      </c>
      <c r="G1463" s="1">
        <v>117</v>
      </c>
      <c r="H1463" s="11"/>
      <c r="I1463" s="11"/>
      <c r="J1463" s="11"/>
      <c r="K1463" s="1"/>
      <c r="L1463" s="2"/>
      <c r="M1463" s="2"/>
      <c r="N1463" s="2"/>
      <c r="O1463" s="2"/>
    </row>
    <row r="1464" spans="1:15" x14ac:dyDescent="0.2">
      <c r="A1464" s="17" t="s">
        <v>4671</v>
      </c>
      <c r="B1464" s="17" t="s">
        <v>4672</v>
      </c>
      <c r="C1464" s="17">
        <v>36</v>
      </c>
      <c r="D1464" s="11"/>
      <c r="E1464" s="1">
        <v>2150</v>
      </c>
      <c r="F1464" s="1">
        <v>2440</v>
      </c>
      <c r="G1464" s="1">
        <v>117</v>
      </c>
      <c r="H1464" s="11"/>
      <c r="I1464" s="11"/>
      <c r="J1464" s="11"/>
      <c r="K1464" s="1"/>
      <c r="L1464" s="2"/>
      <c r="M1464" s="2"/>
      <c r="N1464" s="2"/>
      <c r="O1464" s="2"/>
    </row>
    <row r="1465" spans="1:15" x14ac:dyDescent="0.2">
      <c r="A1465" s="17" t="s">
        <v>4673</v>
      </c>
      <c r="B1465" s="17" t="s">
        <v>4674</v>
      </c>
      <c r="C1465" s="17">
        <v>18</v>
      </c>
      <c r="D1465" s="11"/>
      <c r="E1465" s="1">
        <v>2150</v>
      </c>
      <c r="F1465" s="1">
        <v>2440</v>
      </c>
      <c r="G1465" s="1">
        <v>67</v>
      </c>
      <c r="H1465" s="11"/>
      <c r="I1465" s="11"/>
      <c r="J1465" s="11"/>
      <c r="K1465" s="1"/>
      <c r="L1465" s="2"/>
      <c r="M1465" s="2"/>
      <c r="N1465" s="2"/>
      <c r="O1465" s="2"/>
    </row>
    <row r="1466" spans="1:15" x14ac:dyDescent="0.2">
      <c r="A1466" s="17" t="s">
        <v>4675</v>
      </c>
      <c r="B1466" s="17" t="s">
        <v>4676</v>
      </c>
      <c r="C1466" s="17">
        <v>18</v>
      </c>
      <c r="D1466" s="11"/>
      <c r="E1466" s="1">
        <v>2150</v>
      </c>
      <c r="F1466" s="1">
        <v>2440</v>
      </c>
      <c r="G1466" s="1">
        <v>67</v>
      </c>
      <c r="H1466" s="11"/>
      <c r="I1466" s="11"/>
      <c r="J1466" s="11"/>
      <c r="K1466" s="1"/>
      <c r="L1466" s="2"/>
      <c r="M1466" s="2"/>
      <c r="N1466" s="2"/>
      <c r="O1466" s="2"/>
    </row>
    <row r="1467" spans="1:15" x14ac:dyDescent="0.2">
      <c r="A1467" s="17" t="s">
        <v>4677</v>
      </c>
      <c r="B1467" s="17" t="s">
        <v>4678</v>
      </c>
      <c r="C1467" s="17">
        <v>25</v>
      </c>
      <c r="D1467" s="11"/>
      <c r="E1467" s="1">
        <v>2150</v>
      </c>
      <c r="F1467" s="1">
        <v>2440</v>
      </c>
      <c r="G1467" s="1"/>
      <c r="H1467" s="11"/>
      <c r="I1467" s="11"/>
      <c r="J1467" s="11"/>
      <c r="K1467" s="1"/>
      <c r="L1467" s="2"/>
      <c r="M1467" s="2"/>
      <c r="N1467" s="2"/>
      <c r="O1467" s="2"/>
    </row>
    <row r="1468" spans="1:15" x14ac:dyDescent="0.2">
      <c r="A1468" s="17" t="s">
        <v>4679</v>
      </c>
      <c r="B1468" s="17" t="s">
        <v>4680</v>
      </c>
      <c r="C1468" s="17">
        <v>25</v>
      </c>
      <c r="D1468" s="11"/>
      <c r="E1468" s="1">
        <v>2150</v>
      </c>
      <c r="F1468" s="1">
        <v>2440</v>
      </c>
      <c r="G1468" s="1"/>
      <c r="H1468" s="11"/>
      <c r="I1468" s="11"/>
      <c r="J1468" s="11"/>
      <c r="K1468" s="1"/>
      <c r="L1468" s="2"/>
      <c r="M1468" s="2"/>
      <c r="N1468" s="2"/>
      <c r="O1468" s="2"/>
    </row>
    <row r="1469" spans="1:15" x14ac:dyDescent="0.2">
      <c r="A1469" s="17" t="s">
        <v>1389</v>
      </c>
      <c r="B1469" s="17" t="s">
        <v>4681</v>
      </c>
      <c r="C1469" s="17">
        <v>25</v>
      </c>
      <c r="D1469" s="11"/>
      <c r="E1469" s="1">
        <v>2150</v>
      </c>
      <c r="F1469" s="1">
        <v>2440</v>
      </c>
      <c r="G1469" s="1"/>
      <c r="H1469" s="11"/>
      <c r="I1469" s="11"/>
      <c r="J1469" s="11"/>
      <c r="K1469" s="1"/>
      <c r="L1469" s="2"/>
      <c r="M1469" s="2"/>
      <c r="N1469" s="2"/>
      <c r="O1469" s="2"/>
    </row>
    <row r="1470" spans="1:15" x14ac:dyDescent="0.2">
      <c r="A1470" s="17" t="s">
        <v>4682</v>
      </c>
      <c r="B1470" s="17" t="s">
        <v>4683</v>
      </c>
      <c r="C1470" s="17">
        <v>25</v>
      </c>
      <c r="D1470" s="11"/>
      <c r="E1470" s="1">
        <v>2150</v>
      </c>
      <c r="F1470" s="1">
        <v>2440</v>
      </c>
      <c r="G1470" s="1"/>
      <c r="H1470" s="11"/>
      <c r="I1470" s="11"/>
      <c r="J1470" s="11"/>
      <c r="K1470" s="1"/>
      <c r="L1470" s="2"/>
      <c r="M1470" s="2"/>
      <c r="N1470" s="2"/>
      <c r="O1470" s="2"/>
    </row>
    <row r="1471" spans="1:15" x14ac:dyDescent="0.2">
      <c r="A1471" s="17" t="s">
        <v>4684</v>
      </c>
      <c r="B1471" s="17" t="s">
        <v>4685</v>
      </c>
      <c r="C1471" s="17">
        <v>18</v>
      </c>
      <c r="D1471" s="11"/>
      <c r="E1471" s="1">
        <v>2150</v>
      </c>
      <c r="F1471" s="1">
        <v>2440</v>
      </c>
      <c r="G1471" s="1">
        <v>67</v>
      </c>
      <c r="H1471" s="11"/>
      <c r="I1471" s="11"/>
      <c r="J1471" s="11"/>
      <c r="K1471" s="1"/>
      <c r="L1471" s="2"/>
      <c r="M1471" s="2"/>
      <c r="N1471" s="2"/>
      <c r="O1471" s="2"/>
    </row>
    <row r="1472" spans="1:15" x14ac:dyDescent="0.2">
      <c r="A1472" s="17" t="s">
        <v>4686</v>
      </c>
      <c r="B1472" s="17" t="s">
        <v>4687</v>
      </c>
      <c r="C1472" s="17">
        <v>18</v>
      </c>
      <c r="D1472" s="11"/>
      <c r="E1472" s="1">
        <v>2150</v>
      </c>
      <c r="F1472" s="1">
        <v>2440</v>
      </c>
      <c r="G1472" s="1">
        <v>67</v>
      </c>
      <c r="H1472" s="11"/>
      <c r="I1472" s="11"/>
      <c r="J1472" s="11"/>
      <c r="K1472" s="1"/>
      <c r="L1472" s="2"/>
      <c r="M1472" s="2"/>
      <c r="N1472" s="2"/>
      <c r="O1472" s="2"/>
    </row>
    <row r="1473" spans="1:15" x14ac:dyDescent="0.2">
      <c r="A1473" s="17" t="s">
        <v>4688</v>
      </c>
      <c r="B1473" s="17" t="s">
        <v>4689</v>
      </c>
      <c r="C1473" s="17">
        <v>18</v>
      </c>
      <c r="D1473" s="11"/>
      <c r="E1473" s="1">
        <v>2150</v>
      </c>
      <c r="F1473" s="1">
        <v>2440</v>
      </c>
      <c r="G1473" s="1">
        <v>61</v>
      </c>
      <c r="H1473" s="11"/>
      <c r="I1473" s="11"/>
      <c r="J1473" s="11"/>
      <c r="K1473" s="1"/>
      <c r="L1473" s="2"/>
      <c r="M1473" s="2"/>
      <c r="N1473" s="2"/>
      <c r="O1473" s="2"/>
    </row>
    <row r="1474" spans="1:15" x14ac:dyDescent="0.2">
      <c r="A1474" s="17" t="s">
        <v>4690</v>
      </c>
      <c r="B1474" s="17" t="s">
        <v>4691</v>
      </c>
      <c r="C1474" s="17">
        <v>36</v>
      </c>
      <c r="D1474" s="11"/>
      <c r="E1474" s="1">
        <v>2150</v>
      </c>
      <c r="F1474" s="1">
        <v>2440</v>
      </c>
      <c r="G1474" s="1">
        <v>117</v>
      </c>
      <c r="H1474" s="11"/>
      <c r="I1474" s="11"/>
      <c r="J1474" s="11"/>
      <c r="K1474" s="1"/>
      <c r="L1474" s="2"/>
      <c r="M1474" s="2"/>
      <c r="N1474" s="2"/>
      <c r="O1474" s="2"/>
    </row>
    <row r="1475" spans="1:15" x14ac:dyDescent="0.2">
      <c r="A1475" s="17" t="s">
        <v>112</v>
      </c>
      <c r="B1475" s="17" t="s">
        <v>4692</v>
      </c>
      <c r="C1475" s="17">
        <v>15</v>
      </c>
      <c r="D1475" s="11"/>
      <c r="E1475" s="1">
        <v>2150</v>
      </c>
      <c r="F1475" s="1">
        <v>2440</v>
      </c>
      <c r="G1475" s="1">
        <v>52</v>
      </c>
      <c r="H1475" s="11"/>
      <c r="I1475" s="11"/>
      <c r="J1475" s="11"/>
      <c r="K1475" s="1"/>
      <c r="L1475" s="2"/>
      <c r="M1475" s="2"/>
      <c r="N1475" s="2"/>
      <c r="O1475" s="2"/>
    </row>
    <row r="1476" spans="1:15" x14ac:dyDescent="0.2">
      <c r="A1476" s="17" t="s">
        <v>4693</v>
      </c>
      <c r="B1476" s="17" t="s">
        <v>4694</v>
      </c>
      <c r="C1476" s="17">
        <v>18</v>
      </c>
      <c r="D1476" s="11"/>
      <c r="E1476" s="1">
        <v>2150</v>
      </c>
      <c r="F1476" s="1">
        <v>2440</v>
      </c>
      <c r="G1476" s="1">
        <v>61</v>
      </c>
      <c r="H1476" s="11"/>
      <c r="I1476" s="11"/>
      <c r="J1476" s="11"/>
      <c r="K1476" s="1"/>
      <c r="L1476" s="2"/>
      <c r="M1476" s="2"/>
      <c r="N1476" s="2"/>
      <c r="O1476" s="2"/>
    </row>
    <row r="1477" spans="1:15" x14ac:dyDescent="0.2">
      <c r="A1477" s="17" t="s">
        <v>4667</v>
      </c>
      <c r="B1477" s="17" t="s">
        <v>4695</v>
      </c>
      <c r="C1477" s="17">
        <v>5</v>
      </c>
      <c r="D1477" s="11"/>
      <c r="E1477" s="1">
        <v>1850</v>
      </c>
      <c r="F1477" s="1">
        <v>2440</v>
      </c>
      <c r="G1477" s="1">
        <v>23</v>
      </c>
      <c r="H1477" s="11"/>
      <c r="I1477" s="11"/>
      <c r="J1477" s="11"/>
      <c r="K1477" s="1"/>
      <c r="L1477" s="2"/>
      <c r="M1477" s="2"/>
      <c r="N1477" s="2"/>
      <c r="O1477" s="2"/>
    </row>
    <row r="1478" spans="1:15" x14ac:dyDescent="0.2">
      <c r="A1478" s="17" t="s">
        <v>4667</v>
      </c>
      <c r="B1478" s="17" t="s">
        <v>4695</v>
      </c>
      <c r="C1478" s="17">
        <v>5</v>
      </c>
      <c r="D1478" s="11"/>
      <c r="E1478" s="1">
        <v>1850</v>
      </c>
      <c r="F1478" s="1">
        <v>2440</v>
      </c>
      <c r="G1478" s="1">
        <v>23</v>
      </c>
      <c r="H1478" s="11"/>
      <c r="I1478" s="11"/>
      <c r="J1478" s="11"/>
      <c r="K1478" s="1"/>
      <c r="L1478" s="2"/>
      <c r="M1478" s="2"/>
      <c r="N1478" s="2"/>
      <c r="O1478" s="2"/>
    </row>
    <row r="1479" spans="1:15" x14ac:dyDescent="0.2">
      <c r="A1479" s="17" t="s">
        <v>4696</v>
      </c>
      <c r="B1479" s="17" t="s">
        <v>4697</v>
      </c>
      <c r="C1479" s="17">
        <v>15</v>
      </c>
      <c r="D1479" s="11"/>
      <c r="E1479" s="1">
        <v>2070</v>
      </c>
      <c r="F1479" s="1">
        <v>2800</v>
      </c>
      <c r="G1479" s="1">
        <v>60</v>
      </c>
      <c r="H1479" s="11"/>
      <c r="I1479" s="11"/>
      <c r="J1479" s="11"/>
      <c r="K1479" s="1"/>
      <c r="L1479" s="2"/>
      <c r="M1479" s="2"/>
      <c r="N1479" s="2"/>
      <c r="O1479" s="2"/>
    </row>
    <row r="1480" spans="1:15" x14ac:dyDescent="0.2">
      <c r="A1480" s="17" t="s">
        <v>4698</v>
      </c>
      <c r="B1480" s="17" t="s">
        <v>4699</v>
      </c>
      <c r="C1480" s="17">
        <v>15</v>
      </c>
      <c r="D1480" s="11"/>
      <c r="E1480" s="1">
        <v>2150</v>
      </c>
      <c r="F1480" s="1">
        <v>2440</v>
      </c>
      <c r="G1480" s="1">
        <v>41</v>
      </c>
      <c r="H1480" s="11"/>
      <c r="I1480" s="11"/>
      <c r="J1480" s="11"/>
      <c r="K1480" s="1"/>
      <c r="L1480" s="2"/>
      <c r="M1480" s="2"/>
      <c r="N1480" s="2"/>
      <c r="O1480" s="2"/>
    </row>
    <row r="1481" spans="1:15" x14ac:dyDescent="0.2">
      <c r="A1481" s="17" t="s">
        <v>4700</v>
      </c>
      <c r="B1481" s="17" t="s">
        <v>4701</v>
      </c>
      <c r="C1481" s="17">
        <v>9</v>
      </c>
      <c r="D1481" s="11"/>
      <c r="E1481" s="1">
        <v>1220</v>
      </c>
      <c r="F1481" s="1">
        <v>2440</v>
      </c>
      <c r="G1481" s="1"/>
      <c r="H1481" s="11"/>
      <c r="I1481" s="11"/>
      <c r="J1481" s="11"/>
      <c r="K1481" s="1"/>
      <c r="L1481" s="2"/>
      <c r="M1481" s="2"/>
      <c r="N1481" s="2"/>
      <c r="O1481" s="2"/>
    </row>
    <row r="1482" spans="1:15" x14ac:dyDescent="0.2">
      <c r="A1482" s="17" t="s">
        <v>4702</v>
      </c>
      <c r="B1482" s="17" t="s">
        <v>4703</v>
      </c>
      <c r="C1482" s="17">
        <v>12</v>
      </c>
      <c r="D1482" s="11"/>
      <c r="E1482" s="1">
        <v>1220</v>
      </c>
      <c r="F1482" s="1">
        <v>2440</v>
      </c>
      <c r="G1482" s="1"/>
      <c r="H1482" s="11"/>
      <c r="I1482" s="11"/>
      <c r="J1482" s="11"/>
      <c r="K1482" s="1"/>
      <c r="L1482" s="2"/>
      <c r="M1482" s="2"/>
      <c r="N1482" s="2"/>
      <c r="O1482" s="2"/>
    </row>
    <row r="1483" spans="1:15" x14ac:dyDescent="0.2">
      <c r="A1483" s="17" t="s">
        <v>4704</v>
      </c>
      <c r="B1483" s="17" t="s">
        <v>4705</v>
      </c>
      <c r="C1483" s="17">
        <v>15</v>
      </c>
      <c r="D1483" s="11"/>
      <c r="E1483" s="1">
        <v>1220</v>
      </c>
      <c r="F1483" s="1">
        <v>2440</v>
      </c>
      <c r="G1483" s="1"/>
      <c r="H1483" s="11"/>
      <c r="I1483" s="11"/>
      <c r="J1483" s="11"/>
      <c r="K1483" s="1"/>
      <c r="L1483" s="2"/>
      <c r="M1483" s="2"/>
      <c r="N1483" s="2"/>
      <c r="O1483" s="2"/>
    </row>
    <row r="1484" spans="1:15" x14ac:dyDescent="0.2">
      <c r="A1484" s="17" t="s">
        <v>4706</v>
      </c>
      <c r="B1484" s="17" t="s">
        <v>4707</v>
      </c>
      <c r="C1484" s="17">
        <v>18</v>
      </c>
      <c r="D1484" s="11"/>
      <c r="E1484" s="1">
        <v>1220</v>
      </c>
      <c r="F1484" s="1">
        <v>2440</v>
      </c>
      <c r="G1484" s="1"/>
      <c r="H1484" s="11"/>
      <c r="I1484" s="11"/>
      <c r="J1484" s="11"/>
      <c r="K1484" s="1"/>
      <c r="L1484" s="2"/>
      <c r="M1484" s="2"/>
      <c r="N1484" s="2"/>
      <c r="O1484" s="2"/>
    </row>
    <row r="1485" spans="1:15" x14ac:dyDescent="0.2">
      <c r="A1485" s="17" t="s">
        <v>4708</v>
      </c>
      <c r="B1485" s="17" t="s">
        <v>4709</v>
      </c>
      <c r="C1485" s="17">
        <v>25</v>
      </c>
      <c r="D1485" s="11"/>
      <c r="E1485" s="1">
        <v>1220</v>
      </c>
      <c r="F1485" s="1">
        <v>2440</v>
      </c>
      <c r="G1485" s="1"/>
      <c r="H1485" s="11"/>
      <c r="I1485" s="11"/>
      <c r="J1485" s="11"/>
      <c r="K1485" s="1"/>
      <c r="L1485" s="2"/>
      <c r="M1485" s="2"/>
      <c r="N1485" s="2"/>
      <c r="O1485" s="2"/>
    </row>
    <row r="1486" spans="1:15" x14ac:dyDescent="0.2">
      <c r="A1486" s="17" t="s">
        <v>4710</v>
      </c>
      <c r="B1486" s="17" t="s">
        <v>4711</v>
      </c>
      <c r="C1486" s="17">
        <v>30</v>
      </c>
      <c r="D1486" s="11"/>
      <c r="E1486" s="1">
        <v>1830</v>
      </c>
      <c r="F1486" s="1">
        <v>2440</v>
      </c>
      <c r="G1486" s="1"/>
      <c r="H1486" s="11"/>
      <c r="I1486" s="11"/>
      <c r="J1486" s="11"/>
      <c r="K1486" s="1"/>
      <c r="L1486" s="2"/>
      <c r="M1486" s="2"/>
      <c r="N1486" s="2"/>
      <c r="O1486" s="2"/>
    </row>
    <row r="1487" spans="1:15" x14ac:dyDescent="0.2">
      <c r="A1487" s="17" t="s">
        <v>4712</v>
      </c>
      <c r="B1487" s="17" t="s">
        <v>4713</v>
      </c>
      <c r="C1487" s="17">
        <v>12</v>
      </c>
      <c r="D1487" s="11"/>
      <c r="E1487" s="1">
        <v>1830</v>
      </c>
      <c r="F1487" s="1">
        <v>2440</v>
      </c>
      <c r="G1487" s="1"/>
      <c r="H1487" s="11"/>
      <c r="I1487" s="11"/>
      <c r="J1487" s="11"/>
      <c r="K1487" s="1"/>
      <c r="L1487" s="2"/>
      <c r="M1487" s="2"/>
      <c r="N1487" s="2"/>
      <c r="O1487" s="2"/>
    </row>
    <row r="1488" spans="1:15" x14ac:dyDescent="0.2">
      <c r="A1488" s="17" t="s">
        <v>4714</v>
      </c>
      <c r="B1488" s="17" t="s">
        <v>4715</v>
      </c>
      <c r="C1488" s="17">
        <v>15</v>
      </c>
      <c r="D1488" s="11"/>
      <c r="E1488" s="1">
        <v>1830</v>
      </c>
      <c r="F1488" s="1">
        <v>2440</v>
      </c>
      <c r="G1488" s="1">
        <v>41</v>
      </c>
      <c r="H1488" s="11"/>
      <c r="I1488" s="11"/>
      <c r="J1488" s="11"/>
      <c r="K1488" s="1"/>
      <c r="L1488" s="2"/>
      <c r="M1488" s="2"/>
      <c r="N1488" s="2"/>
      <c r="O1488" s="2"/>
    </row>
    <row r="1489" spans="1:15" x14ac:dyDescent="0.2">
      <c r="A1489" s="17" t="s">
        <v>4716</v>
      </c>
      <c r="B1489" s="17" t="s">
        <v>4717</v>
      </c>
      <c r="C1489" s="17">
        <v>18</v>
      </c>
      <c r="D1489" s="11"/>
      <c r="E1489" s="1">
        <v>1830</v>
      </c>
      <c r="F1489" s="1">
        <v>2440</v>
      </c>
      <c r="G1489" s="1">
        <v>52</v>
      </c>
      <c r="H1489" s="11"/>
      <c r="I1489" s="11"/>
      <c r="J1489" s="11"/>
      <c r="K1489" s="1"/>
      <c r="L1489" s="2"/>
      <c r="M1489" s="2"/>
      <c r="N1489" s="2"/>
      <c r="O1489" s="2"/>
    </row>
    <row r="1490" spans="1:15" x14ac:dyDescent="0.2">
      <c r="A1490" s="17" t="s">
        <v>4718</v>
      </c>
      <c r="B1490" s="17" t="s">
        <v>4719</v>
      </c>
      <c r="C1490" s="17">
        <v>25</v>
      </c>
      <c r="D1490" s="11"/>
      <c r="E1490" s="1">
        <v>1830</v>
      </c>
      <c r="F1490" s="1">
        <v>2440</v>
      </c>
      <c r="G1490" s="1"/>
      <c r="H1490" s="11"/>
      <c r="I1490" s="11"/>
      <c r="J1490" s="11"/>
      <c r="K1490" s="1"/>
      <c r="L1490" s="2"/>
      <c r="M1490" s="2"/>
      <c r="N1490" s="2"/>
      <c r="O1490" s="2"/>
    </row>
    <row r="1491" spans="1:15" x14ac:dyDescent="0.2">
      <c r="A1491" s="17" t="s">
        <v>4720</v>
      </c>
      <c r="B1491" s="17" t="s">
        <v>4721</v>
      </c>
      <c r="C1491" s="17">
        <v>9</v>
      </c>
      <c r="D1491" s="11"/>
      <c r="E1491" s="1">
        <v>2150</v>
      </c>
      <c r="F1491" s="1">
        <v>2440</v>
      </c>
      <c r="G1491" s="1"/>
      <c r="H1491" s="11"/>
      <c r="I1491" s="11"/>
      <c r="J1491" s="11"/>
      <c r="K1491" s="1"/>
      <c r="L1491" s="2"/>
      <c r="M1491" s="2"/>
      <c r="N1491" s="2"/>
      <c r="O1491" s="2"/>
    </row>
    <row r="1492" spans="1:15" x14ac:dyDescent="0.2">
      <c r="A1492" s="17" t="s">
        <v>4722</v>
      </c>
      <c r="B1492" s="17" t="s">
        <v>4723</v>
      </c>
      <c r="C1492" s="17">
        <v>15</v>
      </c>
      <c r="D1492" s="11"/>
      <c r="E1492" s="1">
        <v>2150</v>
      </c>
      <c r="F1492" s="1">
        <v>2440</v>
      </c>
      <c r="G1492" s="1">
        <v>53</v>
      </c>
      <c r="H1492" s="11"/>
      <c r="I1492" s="11"/>
      <c r="J1492" s="11"/>
      <c r="K1492" s="1"/>
      <c r="L1492" s="2"/>
      <c r="M1492" s="2"/>
      <c r="N1492" s="2"/>
      <c r="O1492" s="2"/>
    </row>
    <row r="1493" spans="1:15" x14ac:dyDescent="0.2">
      <c r="A1493" s="17" t="s">
        <v>4724</v>
      </c>
      <c r="B1493" s="17" t="s">
        <v>4725</v>
      </c>
      <c r="C1493" s="17">
        <v>12</v>
      </c>
      <c r="D1493" s="11"/>
      <c r="E1493" s="1">
        <v>1530</v>
      </c>
      <c r="F1493" s="1">
        <v>2440</v>
      </c>
      <c r="G1493" s="1"/>
      <c r="H1493" s="11"/>
      <c r="I1493" s="11"/>
      <c r="J1493" s="11"/>
      <c r="K1493" s="1"/>
      <c r="L1493" s="2"/>
      <c r="M1493" s="2"/>
      <c r="N1493" s="2"/>
      <c r="O1493" s="2"/>
    </row>
    <row r="1494" spans="1:15" x14ac:dyDescent="0.2">
      <c r="A1494" s="17" t="s">
        <v>4726</v>
      </c>
      <c r="B1494" s="17" t="s">
        <v>4727</v>
      </c>
      <c r="C1494" s="17">
        <v>15</v>
      </c>
      <c r="D1494" s="11"/>
      <c r="E1494" s="1">
        <v>1830</v>
      </c>
      <c r="F1494" s="1">
        <v>2440</v>
      </c>
      <c r="G1494" s="1">
        <v>41</v>
      </c>
      <c r="H1494" s="11"/>
      <c r="I1494" s="11"/>
      <c r="J1494" s="11"/>
      <c r="K1494" s="1"/>
      <c r="L1494" s="2"/>
      <c r="M1494" s="2"/>
      <c r="N1494" s="2"/>
      <c r="O1494" s="2"/>
    </row>
    <row r="1495" spans="1:15" x14ac:dyDescent="0.2">
      <c r="A1495" s="17" t="s">
        <v>4728</v>
      </c>
      <c r="B1495" s="17" t="s">
        <v>4729</v>
      </c>
      <c r="C1495" s="17">
        <v>25</v>
      </c>
      <c r="D1495" s="11"/>
      <c r="E1495" s="1">
        <v>1830</v>
      </c>
      <c r="F1495" s="1">
        <v>2440</v>
      </c>
      <c r="G1495" s="1"/>
      <c r="H1495" s="11"/>
      <c r="I1495" s="11"/>
      <c r="J1495" s="11"/>
      <c r="K1495" s="1"/>
      <c r="L1495" s="2"/>
      <c r="M1495" s="2"/>
      <c r="N1495" s="2"/>
      <c r="O1495" s="2"/>
    </row>
    <row r="1496" spans="1:15" x14ac:dyDescent="0.2">
      <c r="A1496" s="17" t="s">
        <v>4730</v>
      </c>
      <c r="B1496" s="17" t="s">
        <v>4731</v>
      </c>
      <c r="C1496" s="17">
        <v>4</v>
      </c>
      <c r="D1496" s="11"/>
      <c r="E1496" s="1">
        <v>2150</v>
      </c>
      <c r="F1496" s="1">
        <v>2440</v>
      </c>
      <c r="G1496" s="1"/>
      <c r="H1496" s="11"/>
      <c r="I1496" s="11"/>
      <c r="J1496" s="11"/>
      <c r="K1496" s="1"/>
      <c r="L1496" s="2"/>
      <c r="M1496" s="2"/>
      <c r="N1496" s="2"/>
      <c r="O1496" s="2"/>
    </row>
    <row r="1497" spans="1:15" x14ac:dyDescent="0.2">
      <c r="A1497" s="17" t="s">
        <v>4732</v>
      </c>
      <c r="B1497" s="17" t="s">
        <v>4733</v>
      </c>
      <c r="C1497" s="17">
        <v>15</v>
      </c>
      <c r="D1497" s="11"/>
      <c r="E1497" s="1">
        <v>2150</v>
      </c>
      <c r="F1497" s="1">
        <v>2440</v>
      </c>
      <c r="G1497" s="1">
        <v>53</v>
      </c>
      <c r="H1497" s="11"/>
      <c r="I1497" s="11"/>
      <c r="J1497" s="11"/>
      <c r="K1497" s="1"/>
      <c r="L1497" s="2"/>
      <c r="M1497" s="2"/>
      <c r="N1497" s="2"/>
      <c r="O1497" s="2"/>
    </row>
    <row r="1498" spans="1:15" x14ac:dyDescent="0.2">
      <c r="A1498" s="17" t="s">
        <v>4734</v>
      </c>
      <c r="B1498" s="17" t="s">
        <v>4735</v>
      </c>
      <c r="C1498" s="17">
        <v>15</v>
      </c>
      <c r="D1498" s="11"/>
      <c r="E1498" s="1">
        <v>2150</v>
      </c>
      <c r="F1498" s="1">
        <v>2440</v>
      </c>
      <c r="G1498" s="1">
        <v>53</v>
      </c>
      <c r="H1498" s="11"/>
      <c r="I1498" s="11"/>
      <c r="J1498" s="11"/>
      <c r="K1498" s="1"/>
      <c r="L1498" s="2"/>
      <c r="M1498" s="2"/>
      <c r="N1498" s="2"/>
      <c r="O1498" s="2"/>
    </row>
    <row r="1499" spans="1:15" x14ac:dyDescent="0.2">
      <c r="A1499" s="17" t="s">
        <v>4736</v>
      </c>
      <c r="B1499" s="17" t="s">
        <v>4737</v>
      </c>
      <c r="C1499" s="17">
        <v>15</v>
      </c>
      <c r="D1499" s="11"/>
      <c r="E1499" s="1">
        <v>2150</v>
      </c>
      <c r="F1499" s="1">
        <v>2440</v>
      </c>
      <c r="G1499" s="1">
        <v>53</v>
      </c>
      <c r="H1499" s="11"/>
      <c r="I1499" s="11"/>
      <c r="J1499" s="11"/>
      <c r="K1499" s="1"/>
      <c r="L1499" s="2"/>
      <c r="M1499" s="2"/>
      <c r="N1499" s="2"/>
      <c r="O1499" s="2"/>
    </row>
    <row r="1500" spans="1:15" x14ac:dyDescent="0.2">
      <c r="A1500" s="17" t="s">
        <v>4738</v>
      </c>
      <c r="B1500" s="17" t="s">
        <v>4739</v>
      </c>
      <c r="C1500" s="17">
        <v>9</v>
      </c>
      <c r="D1500" s="11"/>
      <c r="E1500" s="1">
        <v>1530</v>
      </c>
      <c r="F1500" s="1">
        <v>2440</v>
      </c>
      <c r="G1500" s="1"/>
      <c r="H1500" s="11"/>
      <c r="I1500" s="11"/>
      <c r="J1500" s="11"/>
      <c r="K1500" s="1"/>
      <c r="L1500" s="2"/>
      <c r="M1500" s="2"/>
      <c r="N1500" s="2"/>
      <c r="O1500" s="2"/>
    </row>
    <row r="1501" spans="1:15" x14ac:dyDescent="0.2">
      <c r="A1501" s="17" t="s">
        <v>4740</v>
      </c>
      <c r="B1501" s="17" t="s">
        <v>4741</v>
      </c>
      <c r="C1501" s="17">
        <v>12</v>
      </c>
      <c r="D1501" s="11"/>
      <c r="E1501" s="1">
        <v>1830</v>
      </c>
      <c r="F1501" s="1">
        <v>2440</v>
      </c>
      <c r="G1501" s="1"/>
      <c r="H1501" s="11"/>
      <c r="I1501" s="11"/>
      <c r="J1501" s="11"/>
      <c r="K1501" s="1"/>
      <c r="L1501" s="2"/>
      <c r="M1501" s="2"/>
      <c r="N1501" s="2"/>
      <c r="O1501" s="2"/>
    </row>
    <row r="1502" spans="1:15" x14ac:dyDescent="0.2">
      <c r="A1502" s="17" t="s">
        <v>4742</v>
      </c>
      <c r="B1502" s="17" t="s">
        <v>4743</v>
      </c>
      <c r="C1502" s="17">
        <v>18</v>
      </c>
      <c r="D1502" s="11"/>
      <c r="E1502" s="1">
        <v>1860</v>
      </c>
      <c r="F1502" s="1">
        <v>2750</v>
      </c>
      <c r="G1502" s="1">
        <v>52</v>
      </c>
      <c r="H1502" s="11"/>
      <c r="I1502" s="11"/>
      <c r="J1502" s="11"/>
      <c r="K1502" s="1"/>
      <c r="L1502" s="2"/>
      <c r="M1502" s="2"/>
      <c r="N1502" s="2"/>
      <c r="O1502" s="2"/>
    </row>
    <row r="1503" spans="1:15" x14ac:dyDescent="0.2">
      <c r="A1503" s="17" t="s">
        <v>4744</v>
      </c>
      <c r="B1503" s="17" t="s">
        <v>4745</v>
      </c>
      <c r="C1503" s="17">
        <v>18</v>
      </c>
      <c r="D1503" s="11"/>
      <c r="E1503" s="1">
        <v>1860</v>
      </c>
      <c r="F1503" s="1">
        <v>2750</v>
      </c>
      <c r="G1503" s="1">
        <v>52</v>
      </c>
      <c r="H1503" s="11"/>
      <c r="I1503" s="11"/>
      <c r="J1503" s="11"/>
      <c r="K1503" s="1"/>
      <c r="L1503" s="2"/>
      <c r="M1503" s="2"/>
      <c r="N1503" s="2"/>
      <c r="O1503" s="2"/>
    </row>
    <row r="1504" spans="1:15" x14ac:dyDescent="0.2">
      <c r="A1504" s="17" t="s">
        <v>4746</v>
      </c>
      <c r="B1504" s="17" t="s">
        <v>4747</v>
      </c>
      <c r="C1504" s="17">
        <v>15</v>
      </c>
      <c r="D1504" s="11"/>
      <c r="E1504" s="1">
        <v>2070</v>
      </c>
      <c r="F1504" s="1">
        <v>2800</v>
      </c>
      <c r="G1504" s="1">
        <v>60</v>
      </c>
      <c r="H1504" s="11"/>
      <c r="I1504" s="11"/>
      <c r="J1504" s="11"/>
      <c r="K1504" s="1"/>
      <c r="L1504" s="2"/>
      <c r="M1504" s="2"/>
      <c r="N1504" s="2"/>
      <c r="O1504" s="2"/>
    </row>
    <row r="1505" spans="1:15" x14ac:dyDescent="0.2">
      <c r="A1505" s="17" t="s">
        <v>4748</v>
      </c>
      <c r="B1505" s="17" t="s">
        <v>4749</v>
      </c>
      <c r="C1505" s="17">
        <v>15</v>
      </c>
      <c r="D1505" s="11"/>
      <c r="E1505" s="1">
        <v>2070</v>
      </c>
      <c r="F1505" s="1">
        <v>2800</v>
      </c>
      <c r="G1505" s="1">
        <v>60</v>
      </c>
      <c r="H1505" s="11"/>
      <c r="I1505" s="11"/>
      <c r="J1505" s="11"/>
      <c r="K1505" s="1"/>
      <c r="L1505" s="2"/>
      <c r="M1505" s="2"/>
      <c r="N1505" s="2"/>
      <c r="O1505" s="2"/>
    </row>
    <row r="1506" spans="1:15" x14ac:dyDescent="0.2">
      <c r="A1506" s="17" t="s">
        <v>4750</v>
      </c>
      <c r="B1506" s="17" t="s">
        <v>4751</v>
      </c>
      <c r="C1506" s="17">
        <v>15</v>
      </c>
      <c r="D1506" s="11"/>
      <c r="E1506" s="1">
        <v>2070</v>
      </c>
      <c r="F1506" s="1">
        <v>2800</v>
      </c>
      <c r="G1506" s="1">
        <v>60</v>
      </c>
      <c r="H1506" s="11"/>
      <c r="I1506" s="11"/>
      <c r="J1506" s="11"/>
      <c r="K1506" s="1"/>
      <c r="L1506" s="2"/>
      <c r="M1506" s="2"/>
      <c r="N1506" s="2"/>
      <c r="O1506" s="2"/>
    </row>
    <row r="1507" spans="1:15" x14ac:dyDescent="0.2">
      <c r="A1507" s="17" t="s">
        <v>4752</v>
      </c>
      <c r="B1507" s="17" t="s">
        <v>4753</v>
      </c>
      <c r="C1507" s="17">
        <v>15</v>
      </c>
      <c r="D1507" s="11"/>
      <c r="E1507" s="1">
        <v>2070</v>
      </c>
      <c r="F1507" s="1">
        <v>2800</v>
      </c>
      <c r="G1507" s="1">
        <v>60</v>
      </c>
      <c r="H1507" s="11"/>
      <c r="I1507" s="11"/>
      <c r="J1507" s="11"/>
      <c r="K1507" s="1"/>
      <c r="L1507" s="2"/>
      <c r="M1507" s="2"/>
      <c r="N1507" s="2"/>
      <c r="O1507" s="2"/>
    </row>
    <row r="1508" spans="1:15" x14ac:dyDescent="0.2">
      <c r="A1508" s="17" t="s">
        <v>4754</v>
      </c>
      <c r="B1508" s="17" t="s">
        <v>4755</v>
      </c>
      <c r="C1508" s="17">
        <v>15</v>
      </c>
      <c r="D1508" s="11"/>
      <c r="E1508" s="1">
        <v>2070</v>
      </c>
      <c r="F1508" s="1">
        <v>2800</v>
      </c>
      <c r="G1508" s="1">
        <v>60</v>
      </c>
      <c r="H1508" s="11"/>
      <c r="I1508" s="11"/>
      <c r="J1508" s="11"/>
      <c r="K1508" s="1"/>
      <c r="L1508" s="2"/>
      <c r="M1508" s="2"/>
      <c r="N1508" s="2"/>
      <c r="O1508" s="2"/>
    </row>
    <row r="1509" spans="1:15" x14ac:dyDescent="0.2">
      <c r="A1509" s="17" t="s">
        <v>4756</v>
      </c>
      <c r="B1509" s="17" t="s">
        <v>4757</v>
      </c>
      <c r="C1509" s="17">
        <v>18</v>
      </c>
      <c r="D1509" s="11"/>
      <c r="E1509" s="1">
        <v>2070</v>
      </c>
      <c r="F1509" s="1">
        <v>2800</v>
      </c>
      <c r="G1509" s="1">
        <v>67</v>
      </c>
      <c r="H1509" s="11"/>
      <c r="I1509" s="11"/>
      <c r="J1509" s="11"/>
      <c r="K1509" s="1"/>
      <c r="L1509" s="2"/>
      <c r="M1509" s="2"/>
      <c r="N1509" s="2"/>
      <c r="O1509" s="2"/>
    </row>
    <row r="1510" spans="1:15" x14ac:dyDescent="0.2">
      <c r="A1510" s="17" t="s">
        <v>4758</v>
      </c>
      <c r="B1510" s="17" t="s">
        <v>4759</v>
      </c>
      <c r="C1510" s="17">
        <v>15</v>
      </c>
      <c r="D1510" s="11"/>
      <c r="E1510" s="1">
        <v>2070</v>
      </c>
      <c r="F1510" s="1">
        <v>2800</v>
      </c>
      <c r="G1510" s="1">
        <v>60</v>
      </c>
      <c r="H1510" s="11"/>
      <c r="I1510" s="11"/>
      <c r="J1510" s="11"/>
      <c r="K1510" s="1"/>
      <c r="L1510" s="2"/>
      <c r="M1510" s="2"/>
      <c r="N1510" s="2"/>
      <c r="O1510" s="2"/>
    </row>
    <row r="1511" spans="1:15" x14ac:dyDescent="0.2">
      <c r="A1511" s="17" t="s">
        <v>4760</v>
      </c>
      <c r="B1511" s="17" t="s">
        <v>4761</v>
      </c>
      <c r="C1511" s="17">
        <v>18</v>
      </c>
      <c r="D1511" s="11"/>
      <c r="E1511" s="1">
        <v>2070</v>
      </c>
      <c r="F1511" s="1">
        <v>2800</v>
      </c>
      <c r="G1511" s="1">
        <v>67</v>
      </c>
      <c r="H1511" s="11"/>
      <c r="I1511" s="11"/>
      <c r="J1511" s="11"/>
      <c r="K1511" s="1"/>
      <c r="L1511" s="2"/>
      <c r="M1511" s="2"/>
      <c r="N1511" s="2"/>
      <c r="O1511" s="2"/>
    </row>
    <row r="1512" spans="1:15" x14ac:dyDescent="0.2">
      <c r="A1512" s="17" t="s">
        <v>4762</v>
      </c>
      <c r="B1512" s="17" t="s">
        <v>4763</v>
      </c>
      <c r="C1512" s="17">
        <v>15</v>
      </c>
      <c r="D1512" s="11"/>
      <c r="E1512" s="1">
        <v>2070</v>
      </c>
      <c r="F1512" s="1">
        <v>2800</v>
      </c>
      <c r="G1512" s="1">
        <v>60</v>
      </c>
      <c r="H1512" s="11"/>
      <c r="I1512" s="11"/>
      <c r="J1512" s="11"/>
      <c r="K1512" s="1"/>
      <c r="L1512" s="2"/>
      <c r="M1512" s="2"/>
      <c r="N1512" s="2"/>
      <c r="O1512" s="2"/>
    </row>
    <row r="1513" spans="1:15" x14ac:dyDescent="0.2">
      <c r="A1513" s="17" t="s">
        <v>4764</v>
      </c>
      <c r="B1513" s="17" t="s">
        <v>4765</v>
      </c>
      <c r="C1513" s="17">
        <v>18</v>
      </c>
      <c r="D1513" s="11"/>
      <c r="E1513" s="1">
        <v>2150</v>
      </c>
      <c r="F1513" s="1">
        <v>2440</v>
      </c>
      <c r="G1513" s="1">
        <v>61</v>
      </c>
      <c r="H1513" s="11"/>
      <c r="I1513" s="11"/>
      <c r="J1513" s="11"/>
      <c r="K1513" s="1"/>
      <c r="L1513" s="2"/>
      <c r="M1513" s="2"/>
      <c r="N1513" s="2"/>
      <c r="O1513" s="2"/>
    </row>
    <row r="1514" spans="1:15" x14ac:dyDescent="0.2">
      <c r="A1514" s="17" t="s">
        <v>4766</v>
      </c>
      <c r="B1514" s="17" t="s">
        <v>4767</v>
      </c>
      <c r="C1514" s="17">
        <v>36</v>
      </c>
      <c r="D1514" s="11"/>
      <c r="E1514" s="1">
        <v>2150</v>
      </c>
      <c r="F1514" s="1">
        <v>2440</v>
      </c>
      <c r="G1514" s="1">
        <v>117</v>
      </c>
      <c r="H1514" s="11"/>
      <c r="I1514" s="11"/>
      <c r="J1514" s="11"/>
      <c r="K1514" s="1"/>
      <c r="L1514" s="2"/>
      <c r="M1514" s="2"/>
      <c r="N1514" s="2"/>
      <c r="O1514" s="2"/>
    </row>
    <row r="1515" spans="1:15" x14ac:dyDescent="0.2">
      <c r="A1515" s="17" t="s">
        <v>4768</v>
      </c>
      <c r="B1515" s="17" t="s">
        <v>4769</v>
      </c>
      <c r="C1515" s="17">
        <v>6</v>
      </c>
      <c r="D1515" s="11"/>
      <c r="E1515" s="1">
        <v>2150</v>
      </c>
      <c r="F1515" s="1">
        <v>2440</v>
      </c>
      <c r="G1515" s="1">
        <v>23</v>
      </c>
      <c r="H1515" s="11"/>
      <c r="I1515" s="11"/>
      <c r="J1515" s="11"/>
      <c r="K1515" s="1"/>
      <c r="L1515" s="2"/>
      <c r="M1515" s="2"/>
      <c r="N1515" s="2"/>
      <c r="O1515" s="2"/>
    </row>
    <row r="1516" spans="1:15" x14ac:dyDescent="0.2">
      <c r="A1516" s="17" t="s">
        <v>4770</v>
      </c>
      <c r="B1516" s="17" t="s">
        <v>4771</v>
      </c>
      <c r="C1516" s="17">
        <v>36</v>
      </c>
      <c r="D1516" s="11"/>
      <c r="E1516" s="1">
        <v>2150</v>
      </c>
      <c r="F1516" s="1">
        <v>2440</v>
      </c>
      <c r="G1516" s="1">
        <v>117</v>
      </c>
      <c r="H1516" s="11"/>
      <c r="I1516" s="11"/>
      <c r="J1516" s="11"/>
      <c r="K1516" s="1"/>
      <c r="L1516" s="2"/>
      <c r="M1516" s="2"/>
      <c r="N1516" s="2"/>
      <c r="O1516" s="2"/>
    </row>
    <row r="1517" spans="1:15" x14ac:dyDescent="0.2">
      <c r="A1517" s="17" t="s">
        <v>4772</v>
      </c>
      <c r="B1517" s="17" t="s">
        <v>4773</v>
      </c>
      <c r="C1517" s="17">
        <v>18</v>
      </c>
      <c r="D1517" s="11"/>
      <c r="E1517" s="1">
        <v>2150</v>
      </c>
      <c r="F1517" s="1">
        <v>2440</v>
      </c>
      <c r="G1517" s="1">
        <v>61</v>
      </c>
      <c r="H1517" s="11"/>
      <c r="I1517" s="11"/>
      <c r="J1517" s="11"/>
      <c r="K1517" s="1"/>
      <c r="L1517" s="2"/>
      <c r="M1517" s="2"/>
      <c r="N1517" s="2"/>
      <c r="O1517" s="2"/>
    </row>
    <row r="1518" spans="1:15" x14ac:dyDescent="0.2">
      <c r="A1518" s="17" t="s">
        <v>4774</v>
      </c>
      <c r="B1518" s="17" t="s">
        <v>4775</v>
      </c>
      <c r="C1518" s="17">
        <v>15</v>
      </c>
      <c r="D1518" s="11"/>
      <c r="E1518" s="1">
        <v>2150</v>
      </c>
      <c r="F1518" s="1">
        <v>2440</v>
      </c>
      <c r="G1518" s="1">
        <v>53</v>
      </c>
      <c r="H1518" s="11"/>
      <c r="I1518" s="11"/>
      <c r="J1518" s="11"/>
      <c r="K1518" s="1"/>
      <c r="L1518" s="2"/>
      <c r="M1518" s="2"/>
      <c r="N1518" s="2"/>
      <c r="O1518" s="2"/>
    </row>
    <row r="1519" spans="1:15" x14ac:dyDescent="0.2">
      <c r="A1519" s="17" t="s">
        <v>4776</v>
      </c>
      <c r="B1519" s="17" t="s">
        <v>4777</v>
      </c>
      <c r="C1519" s="17">
        <v>6</v>
      </c>
      <c r="D1519" s="11"/>
      <c r="E1519" s="1">
        <v>2150</v>
      </c>
      <c r="F1519" s="1">
        <v>2440</v>
      </c>
      <c r="G1519" s="1">
        <v>23</v>
      </c>
      <c r="H1519" s="11"/>
      <c r="I1519" s="11"/>
      <c r="J1519" s="11"/>
      <c r="K1519" s="1"/>
      <c r="L1519" s="2"/>
      <c r="M1519" s="2"/>
      <c r="N1519" s="2"/>
      <c r="O1519" s="2"/>
    </row>
    <row r="1520" spans="1:15" x14ac:dyDescent="0.2">
      <c r="A1520" s="17" t="s">
        <v>4778</v>
      </c>
      <c r="B1520" s="17" t="s">
        <v>4779</v>
      </c>
      <c r="C1520" s="17">
        <v>15</v>
      </c>
      <c r="D1520" s="11"/>
      <c r="E1520" s="1">
        <v>2150</v>
      </c>
      <c r="F1520" s="1">
        <v>2440</v>
      </c>
      <c r="G1520" s="1">
        <v>53</v>
      </c>
      <c r="H1520" s="11"/>
      <c r="I1520" s="11"/>
      <c r="J1520" s="11"/>
      <c r="K1520" s="1"/>
      <c r="L1520" s="2"/>
      <c r="M1520" s="2"/>
      <c r="N1520" s="2"/>
      <c r="O1520" s="2"/>
    </row>
    <row r="1521" spans="1:15" x14ac:dyDescent="0.2">
      <c r="A1521" s="17" t="s">
        <v>4780</v>
      </c>
      <c r="B1521" s="17" t="s">
        <v>4781</v>
      </c>
      <c r="C1521" s="17">
        <v>18</v>
      </c>
      <c r="D1521" s="11"/>
      <c r="E1521" s="1">
        <v>2150</v>
      </c>
      <c r="F1521" s="1">
        <v>2440</v>
      </c>
      <c r="G1521" s="1">
        <v>61</v>
      </c>
      <c r="H1521" s="11"/>
      <c r="I1521" s="11"/>
      <c r="J1521" s="11"/>
      <c r="K1521" s="1"/>
      <c r="L1521" s="2"/>
      <c r="M1521" s="2"/>
      <c r="N1521" s="2"/>
      <c r="O1521" s="2"/>
    </row>
    <row r="1522" spans="1:15" x14ac:dyDescent="0.2">
      <c r="A1522" s="17" t="s">
        <v>4782</v>
      </c>
      <c r="B1522" s="17" t="s">
        <v>4783</v>
      </c>
      <c r="C1522" s="17">
        <v>18</v>
      </c>
      <c r="D1522" s="11"/>
      <c r="E1522" s="1">
        <v>2150</v>
      </c>
      <c r="F1522" s="1">
        <v>2440</v>
      </c>
      <c r="G1522" s="1">
        <v>61</v>
      </c>
      <c r="H1522" s="11"/>
      <c r="I1522" s="11"/>
      <c r="J1522" s="11"/>
      <c r="K1522" s="1"/>
      <c r="L1522" s="2"/>
      <c r="M1522" s="2"/>
      <c r="N1522" s="2"/>
      <c r="O1522" s="2"/>
    </row>
    <row r="1523" spans="1:15" x14ac:dyDescent="0.2">
      <c r="A1523" s="17" t="s">
        <v>4784</v>
      </c>
      <c r="B1523" s="17" t="s">
        <v>4785</v>
      </c>
      <c r="C1523" s="17">
        <v>25</v>
      </c>
      <c r="D1523" s="11"/>
      <c r="E1523" s="1">
        <v>1220</v>
      </c>
      <c r="F1523" s="1">
        <v>2440</v>
      </c>
      <c r="G1523" s="1"/>
      <c r="H1523" s="11"/>
      <c r="I1523" s="11"/>
      <c r="J1523" s="11"/>
      <c r="K1523" s="1"/>
      <c r="L1523" s="2"/>
      <c r="M1523" s="2"/>
      <c r="N1523" s="2"/>
      <c r="O1523" s="2"/>
    </row>
    <row r="1524" spans="1:15" x14ac:dyDescent="0.2">
      <c r="A1524" s="17" t="s">
        <v>4786</v>
      </c>
      <c r="B1524" s="17" t="s">
        <v>4787</v>
      </c>
      <c r="C1524" s="17">
        <v>6</v>
      </c>
      <c r="D1524" s="11"/>
      <c r="E1524" s="1">
        <v>2150</v>
      </c>
      <c r="F1524" s="1">
        <v>2440</v>
      </c>
      <c r="G1524" s="1">
        <v>23</v>
      </c>
      <c r="H1524" s="11"/>
      <c r="I1524" s="11"/>
      <c r="J1524" s="11"/>
      <c r="K1524" s="1"/>
      <c r="L1524" s="2"/>
      <c r="M1524" s="2"/>
      <c r="N1524" s="2"/>
      <c r="O1524" s="2"/>
    </row>
    <row r="1525" spans="1:15" x14ac:dyDescent="0.2">
      <c r="A1525" s="17" t="s">
        <v>4788</v>
      </c>
      <c r="B1525" s="17" t="s">
        <v>4789</v>
      </c>
      <c r="C1525" s="17">
        <v>36</v>
      </c>
      <c r="D1525" s="11"/>
      <c r="E1525" s="1">
        <v>2150</v>
      </c>
      <c r="F1525" s="1">
        <v>2440</v>
      </c>
      <c r="G1525" s="1">
        <v>117</v>
      </c>
      <c r="H1525" s="11"/>
      <c r="I1525" s="11"/>
      <c r="J1525" s="11"/>
      <c r="K1525" s="1"/>
      <c r="L1525" s="2"/>
      <c r="M1525" s="2"/>
      <c r="N1525" s="2"/>
      <c r="O1525" s="2"/>
    </row>
    <row r="1526" spans="1:15" x14ac:dyDescent="0.2">
      <c r="A1526" s="17" t="s">
        <v>4790</v>
      </c>
      <c r="B1526" s="17" t="s">
        <v>4791</v>
      </c>
      <c r="C1526" s="17">
        <v>6</v>
      </c>
      <c r="D1526" s="11"/>
      <c r="E1526" s="1">
        <v>2150</v>
      </c>
      <c r="F1526" s="1">
        <v>2440</v>
      </c>
      <c r="G1526" s="1">
        <v>23</v>
      </c>
      <c r="H1526" s="11"/>
      <c r="I1526" s="11"/>
      <c r="J1526" s="11"/>
      <c r="K1526" s="1"/>
      <c r="L1526" s="2"/>
      <c r="M1526" s="2"/>
      <c r="N1526" s="2"/>
      <c r="O1526" s="2"/>
    </row>
    <row r="1527" spans="1:15" x14ac:dyDescent="0.2">
      <c r="A1527" s="17" t="s">
        <v>4792</v>
      </c>
      <c r="B1527" s="17" t="s">
        <v>4793</v>
      </c>
      <c r="C1527" s="17">
        <v>18</v>
      </c>
      <c r="D1527" s="11"/>
      <c r="E1527" s="1">
        <v>2150</v>
      </c>
      <c r="F1527" s="1">
        <v>2440</v>
      </c>
      <c r="G1527" s="1">
        <v>61</v>
      </c>
      <c r="H1527" s="11"/>
      <c r="I1527" s="11"/>
      <c r="J1527" s="11"/>
      <c r="K1527" s="1"/>
      <c r="L1527" s="2"/>
      <c r="M1527" s="2"/>
      <c r="N1527" s="2"/>
      <c r="O1527" s="2"/>
    </row>
    <row r="1528" spans="1:15" x14ac:dyDescent="0.2">
      <c r="A1528" s="17" t="s">
        <v>4794</v>
      </c>
      <c r="B1528" s="17" t="s">
        <v>4795</v>
      </c>
      <c r="C1528" s="17">
        <v>36</v>
      </c>
      <c r="D1528" s="11"/>
      <c r="E1528" s="1">
        <v>2150</v>
      </c>
      <c r="F1528" s="1">
        <v>2440</v>
      </c>
      <c r="G1528" s="1">
        <v>117</v>
      </c>
      <c r="H1528" s="11"/>
      <c r="I1528" s="11"/>
      <c r="J1528" s="11"/>
      <c r="K1528" s="1"/>
      <c r="L1528" s="2"/>
      <c r="M1528" s="2"/>
      <c r="N1528" s="2"/>
      <c r="O1528" s="2"/>
    </row>
    <row r="1529" spans="1:15" x14ac:dyDescent="0.2">
      <c r="A1529" s="17" t="s">
        <v>4796</v>
      </c>
      <c r="B1529" s="17" t="s">
        <v>4797</v>
      </c>
      <c r="C1529" s="17">
        <v>6</v>
      </c>
      <c r="D1529" s="11"/>
      <c r="E1529" s="1">
        <v>2150</v>
      </c>
      <c r="F1529" s="1">
        <v>2440</v>
      </c>
      <c r="G1529" s="1">
        <v>23</v>
      </c>
      <c r="H1529" s="11"/>
      <c r="I1529" s="11"/>
      <c r="J1529" s="11"/>
      <c r="K1529" s="1"/>
      <c r="L1529" s="2"/>
      <c r="M1529" s="2"/>
      <c r="N1529" s="2"/>
      <c r="O1529" s="2"/>
    </row>
    <row r="1530" spans="1:15" x14ac:dyDescent="0.2">
      <c r="A1530" s="17" t="s">
        <v>4798</v>
      </c>
      <c r="B1530" s="17" t="s">
        <v>4799</v>
      </c>
      <c r="C1530" s="17">
        <v>15</v>
      </c>
      <c r="D1530" s="11"/>
      <c r="E1530" s="1">
        <v>2150</v>
      </c>
      <c r="F1530" s="1">
        <v>2440</v>
      </c>
      <c r="G1530" s="1">
        <v>53</v>
      </c>
      <c r="H1530" s="11"/>
      <c r="I1530" s="11"/>
      <c r="J1530" s="11"/>
      <c r="K1530" s="1"/>
      <c r="L1530" s="2"/>
      <c r="M1530" s="2"/>
      <c r="N1530" s="2"/>
      <c r="O1530" s="2"/>
    </row>
    <row r="1531" spans="1:15" x14ac:dyDescent="0.2">
      <c r="A1531" s="17" t="s">
        <v>4800</v>
      </c>
      <c r="B1531" s="17" t="s">
        <v>4801</v>
      </c>
      <c r="C1531" s="17">
        <v>18</v>
      </c>
      <c r="D1531" s="11"/>
      <c r="E1531" s="1">
        <v>2150</v>
      </c>
      <c r="F1531" s="1">
        <v>2440</v>
      </c>
      <c r="G1531" s="1">
        <v>61</v>
      </c>
      <c r="H1531" s="11"/>
      <c r="I1531" s="11"/>
      <c r="J1531" s="11"/>
      <c r="K1531" s="1"/>
      <c r="L1531" s="2"/>
      <c r="M1531" s="2"/>
      <c r="N1531" s="2"/>
      <c r="O1531" s="2"/>
    </row>
    <row r="1532" spans="1:15" x14ac:dyDescent="0.2">
      <c r="A1532" s="17" t="s">
        <v>4802</v>
      </c>
      <c r="B1532" s="17" t="s">
        <v>4803</v>
      </c>
      <c r="C1532" s="17">
        <v>18</v>
      </c>
      <c r="D1532" s="11"/>
      <c r="E1532" s="1">
        <v>2150</v>
      </c>
      <c r="F1532" s="1">
        <v>2440</v>
      </c>
      <c r="G1532" s="1">
        <v>61</v>
      </c>
      <c r="H1532" s="11"/>
      <c r="I1532" s="11"/>
      <c r="J1532" s="11"/>
      <c r="K1532" s="1"/>
      <c r="L1532" s="2"/>
      <c r="M1532" s="2"/>
      <c r="N1532" s="2"/>
      <c r="O1532" s="2"/>
    </row>
    <row r="1533" spans="1:15" x14ac:dyDescent="0.2">
      <c r="A1533" s="17" t="s">
        <v>4804</v>
      </c>
      <c r="B1533" s="17" t="s">
        <v>4805</v>
      </c>
      <c r="C1533" s="17">
        <v>36</v>
      </c>
      <c r="D1533" s="11"/>
      <c r="E1533" s="1">
        <v>2150</v>
      </c>
      <c r="F1533" s="1">
        <v>2440</v>
      </c>
      <c r="G1533" s="1">
        <v>117</v>
      </c>
      <c r="H1533" s="11"/>
      <c r="I1533" s="11"/>
      <c r="J1533" s="11"/>
      <c r="K1533" s="1"/>
      <c r="L1533" s="2"/>
      <c r="M1533" s="2"/>
      <c r="N1533" s="2"/>
      <c r="O1533" s="2"/>
    </row>
    <row r="1534" spans="1:15" x14ac:dyDescent="0.2">
      <c r="A1534" s="17" t="s">
        <v>4806</v>
      </c>
      <c r="B1534" s="17" t="s">
        <v>4807</v>
      </c>
      <c r="C1534" s="17">
        <v>36</v>
      </c>
      <c r="D1534" s="11"/>
      <c r="E1534" s="1">
        <v>2150</v>
      </c>
      <c r="F1534" s="1">
        <v>2440</v>
      </c>
      <c r="G1534" s="1">
        <v>117</v>
      </c>
      <c r="H1534" s="11"/>
      <c r="I1534" s="11"/>
      <c r="J1534" s="11"/>
      <c r="K1534" s="1"/>
      <c r="L1534" s="2"/>
      <c r="M1534" s="2"/>
      <c r="N1534" s="2"/>
      <c r="O1534" s="2"/>
    </row>
    <row r="1535" spans="1:15" x14ac:dyDescent="0.2">
      <c r="A1535" s="17" t="s">
        <v>4808</v>
      </c>
      <c r="B1535" s="17" t="s">
        <v>4809</v>
      </c>
      <c r="C1535" s="17">
        <v>15</v>
      </c>
      <c r="D1535" s="11"/>
      <c r="E1535" s="1">
        <v>2150</v>
      </c>
      <c r="F1535" s="1">
        <v>2440</v>
      </c>
      <c r="G1535" s="1">
        <v>53</v>
      </c>
      <c r="H1535" s="11"/>
      <c r="I1535" s="11"/>
      <c r="J1535" s="11"/>
      <c r="K1535" s="1"/>
      <c r="L1535" s="2"/>
      <c r="M1535" s="2"/>
      <c r="N1535" s="2"/>
      <c r="O1535" s="2"/>
    </row>
    <row r="1536" spans="1:15" x14ac:dyDescent="0.2">
      <c r="A1536" s="17" t="s">
        <v>4810</v>
      </c>
      <c r="B1536" s="17" t="s">
        <v>4811</v>
      </c>
      <c r="C1536" s="17">
        <v>6</v>
      </c>
      <c r="D1536" s="11"/>
      <c r="E1536" s="1">
        <v>2150</v>
      </c>
      <c r="F1536" s="1">
        <v>2440</v>
      </c>
      <c r="G1536" s="1">
        <v>23</v>
      </c>
      <c r="H1536" s="11"/>
      <c r="I1536" s="11"/>
      <c r="J1536" s="11"/>
      <c r="K1536" s="1"/>
      <c r="L1536" s="2"/>
      <c r="M1536" s="2"/>
      <c r="N1536" s="2"/>
      <c r="O1536" s="2"/>
    </row>
    <row r="1537" spans="1:15" x14ac:dyDescent="0.2">
      <c r="A1537" s="17" t="s">
        <v>4812</v>
      </c>
      <c r="B1537" s="17" t="s">
        <v>4813</v>
      </c>
      <c r="C1537" s="17">
        <v>15</v>
      </c>
      <c r="D1537" s="11"/>
      <c r="E1537" s="1">
        <v>2150</v>
      </c>
      <c r="F1537" s="1">
        <v>2440</v>
      </c>
      <c r="G1537" s="1">
        <v>53</v>
      </c>
      <c r="H1537" s="11"/>
      <c r="I1537" s="11"/>
      <c r="J1537" s="11"/>
      <c r="K1537" s="1"/>
      <c r="L1537" s="2"/>
      <c r="M1537" s="2"/>
      <c r="N1537" s="2"/>
      <c r="O1537" s="2"/>
    </row>
    <row r="1538" spans="1:15" x14ac:dyDescent="0.2">
      <c r="A1538" s="17" t="s">
        <v>4814</v>
      </c>
      <c r="B1538" s="17" t="s">
        <v>4815</v>
      </c>
      <c r="C1538" s="17">
        <v>18</v>
      </c>
      <c r="D1538" s="11"/>
      <c r="E1538" s="1">
        <v>2150</v>
      </c>
      <c r="F1538" s="1">
        <v>2440</v>
      </c>
      <c r="G1538" s="1">
        <v>61</v>
      </c>
      <c r="H1538" s="11"/>
      <c r="I1538" s="11"/>
      <c r="J1538" s="11"/>
      <c r="K1538" s="1"/>
      <c r="L1538" s="2"/>
      <c r="M1538" s="2"/>
      <c r="N1538" s="2"/>
      <c r="O1538" s="2"/>
    </row>
    <row r="1539" spans="1:15" x14ac:dyDescent="0.2">
      <c r="A1539" s="17" t="s">
        <v>4816</v>
      </c>
      <c r="B1539" s="17" t="s">
        <v>4817</v>
      </c>
      <c r="C1539" s="17">
        <v>36</v>
      </c>
      <c r="D1539" s="11"/>
      <c r="E1539" s="1">
        <v>2150</v>
      </c>
      <c r="F1539" s="1">
        <v>2440</v>
      </c>
      <c r="G1539" s="1">
        <v>117</v>
      </c>
      <c r="H1539" s="11"/>
      <c r="I1539" s="11"/>
      <c r="J1539" s="11"/>
      <c r="K1539" s="1"/>
      <c r="L1539" s="2"/>
      <c r="M1539" s="2"/>
      <c r="N1539" s="2"/>
      <c r="O1539" s="2"/>
    </row>
    <row r="1540" spans="1:15" x14ac:dyDescent="0.2">
      <c r="A1540" s="17" t="s">
        <v>4818</v>
      </c>
      <c r="B1540" s="17" t="s">
        <v>4819</v>
      </c>
      <c r="C1540" s="17">
        <v>25</v>
      </c>
      <c r="D1540" s="11"/>
      <c r="E1540" s="1">
        <v>2150</v>
      </c>
      <c r="F1540" s="1">
        <v>2440</v>
      </c>
      <c r="G1540" s="1"/>
      <c r="H1540" s="11"/>
      <c r="I1540" s="11"/>
      <c r="J1540" s="11"/>
      <c r="K1540" s="1"/>
      <c r="L1540" s="2"/>
      <c r="M1540" s="2"/>
      <c r="N1540" s="2"/>
      <c r="O1540" s="2"/>
    </row>
    <row r="1541" spans="1:15" x14ac:dyDescent="0.2">
      <c r="A1541" s="17" t="s">
        <v>4820</v>
      </c>
      <c r="B1541" s="17" t="s">
        <v>4821</v>
      </c>
      <c r="C1541" s="17">
        <v>18</v>
      </c>
      <c r="D1541" s="11"/>
      <c r="E1541" s="1">
        <v>2150</v>
      </c>
      <c r="F1541" s="1">
        <v>2440</v>
      </c>
      <c r="G1541" s="1">
        <v>61</v>
      </c>
      <c r="H1541" s="11"/>
      <c r="I1541" s="11"/>
      <c r="J1541" s="11"/>
      <c r="K1541" s="1"/>
      <c r="L1541" s="2"/>
      <c r="M1541" s="2"/>
      <c r="N1541" s="2"/>
      <c r="O1541" s="2"/>
    </row>
    <row r="1542" spans="1:15" x14ac:dyDescent="0.2">
      <c r="A1542" s="17" t="s">
        <v>4822</v>
      </c>
      <c r="B1542" s="17" t="s">
        <v>4823</v>
      </c>
      <c r="C1542" s="17">
        <v>6</v>
      </c>
      <c r="D1542" s="11"/>
      <c r="E1542" s="1">
        <v>2150</v>
      </c>
      <c r="F1542" s="1">
        <v>2440</v>
      </c>
      <c r="G1542" s="1">
        <v>23</v>
      </c>
      <c r="H1542" s="11"/>
      <c r="I1542" s="11"/>
      <c r="J1542" s="11"/>
      <c r="K1542" s="1"/>
      <c r="L1542" s="2"/>
      <c r="M1542" s="2"/>
      <c r="N1542" s="2"/>
      <c r="O1542" s="2"/>
    </row>
    <row r="1543" spans="1:15" x14ac:dyDescent="0.2">
      <c r="A1543" s="17" t="s">
        <v>4824</v>
      </c>
      <c r="B1543" s="17" t="s">
        <v>4825</v>
      </c>
      <c r="C1543" s="17">
        <v>18</v>
      </c>
      <c r="D1543" s="11"/>
      <c r="E1543" s="1">
        <v>2150</v>
      </c>
      <c r="F1543" s="1">
        <v>2440</v>
      </c>
      <c r="G1543" s="1">
        <v>61</v>
      </c>
      <c r="H1543" s="11"/>
      <c r="I1543" s="11"/>
      <c r="J1543" s="11"/>
      <c r="K1543" s="1"/>
      <c r="L1543" s="2"/>
      <c r="M1543" s="2"/>
      <c r="N1543" s="2"/>
      <c r="O1543" s="2"/>
    </row>
    <row r="1544" spans="1:15" x14ac:dyDescent="0.2">
      <c r="A1544" s="17" t="s">
        <v>4826</v>
      </c>
      <c r="B1544" s="17" t="s">
        <v>4827</v>
      </c>
      <c r="C1544" s="17">
        <v>25</v>
      </c>
      <c r="D1544" s="11"/>
      <c r="E1544" s="1">
        <v>2150</v>
      </c>
      <c r="F1544" s="1">
        <v>2440</v>
      </c>
      <c r="G1544" s="1"/>
      <c r="H1544" s="11"/>
      <c r="I1544" s="11"/>
      <c r="J1544" s="11"/>
      <c r="K1544" s="1"/>
      <c r="L1544" s="2"/>
      <c r="M1544" s="2"/>
      <c r="N1544" s="2"/>
      <c r="O1544" s="2"/>
    </row>
    <row r="1545" spans="1:15" x14ac:dyDescent="0.2">
      <c r="A1545" s="17" t="s">
        <v>4828</v>
      </c>
      <c r="B1545" s="17" t="s">
        <v>4829</v>
      </c>
      <c r="C1545" s="17">
        <v>30</v>
      </c>
      <c r="D1545" s="11"/>
      <c r="E1545" s="1">
        <v>2150</v>
      </c>
      <c r="F1545" s="1">
        <v>2440</v>
      </c>
      <c r="G1545" s="1"/>
      <c r="H1545" s="11"/>
      <c r="I1545" s="11"/>
      <c r="J1545" s="11"/>
      <c r="K1545" s="1"/>
      <c r="L1545" s="2"/>
      <c r="M1545" s="2"/>
      <c r="N1545" s="2"/>
      <c r="O1545" s="2"/>
    </row>
    <row r="1546" spans="1:15" x14ac:dyDescent="0.2">
      <c r="A1546" s="17" t="s">
        <v>4830</v>
      </c>
      <c r="B1546" s="17" t="s">
        <v>4831</v>
      </c>
      <c r="C1546" s="17">
        <v>6</v>
      </c>
      <c r="D1546" s="11"/>
      <c r="E1546" s="1">
        <v>2150</v>
      </c>
      <c r="F1546" s="1">
        <v>2440</v>
      </c>
      <c r="G1546" s="1">
        <v>23</v>
      </c>
      <c r="H1546" s="11"/>
      <c r="I1546" s="11"/>
      <c r="J1546" s="11"/>
      <c r="K1546" s="1"/>
      <c r="L1546" s="2"/>
      <c r="M1546" s="2"/>
      <c r="N1546" s="2"/>
      <c r="O1546" s="2"/>
    </row>
    <row r="1547" spans="1:15" x14ac:dyDescent="0.2">
      <c r="A1547" s="17" t="s">
        <v>4832</v>
      </c>
      <c r="B1547" s="17" t="s">
        <v>4833</v>
      </c>
      <c r="C1547" s="17">
        <v>15</v>
      </c>
      <c r="D1547" s="11"/>
      <c r="E1547" s="1">
        <v>2150</v>
      </c>
      <c r="F1547" s="1">
        <v>2440</v>
      </c>
      <c r="G1547" s="1">
        <v>53</v>
      </c>
      <c r="H1547" s="11"/>
      <c r="I1547" s="11"/>
      <c r="J1547" s="11"/>
      <c r="K1547" s="1"/>
      <c r="L1547" s="2"/>
      <c r="M1547" s="2"/>
      <c r="N1547" s="2"/>
      <c r="O1547" s="2"/>
    </row>
    <row r="1548" spans="1:15" x14ac:dyDescent="0.2">
      <c r="A1548" s="17" t="s">
        <v>4834</v>
      </c>
      <c r="B1548" s="17" t="s">
        <v>4835</v>
      </c>
      <c r="C1548" s="17">
        <v>18</v>
      </c>
      <c r="D1548" s="11"/>
      <c r="E1548" s="1">
        <v>2150</v>
      </c>
      <c r="F1548" s="1">
        <v>2440</v>
      </c>
      <c r="G1548" s="1">
        <v>61</v>
      </c>
      <c r="H1548" s="11"/>
      <c r="I1548" s="11"/>
      <c r="J1548" s="11"/>
      <c r="K1548" s="1"/>
      <c r="L1548" s="2"/>
      <c r="M1548" s="2"/>
      <c r="N1548" s="2"/>
      <c r="O1548" s="2"/>
    </row>
    <row r="1549" spans="1:15" x14ac:dyDescent="0.2">
      <c r="A1549" s="17" t="s">
        <v>4836</v>
      </c>
      <c r="B1549" s="17" t="s">
        <v>4837</v>
      </c>
      <c r="C1549" s="17">
        <v>36</v>
      </c>
      <c r="D1549" s="11"/>
      <c r="E1549" s="1">
        <v>2150</v>
      </c>
      <c r="F1549" s="1">
        <v>2440</v>
      </c>
      <c r="G1549" s="1">
        <v>117</v>
      </c>
      <c r="H1549" s="11"/>
      <c r="I1549" s="11"/>
      <c r="J1549" s="11"/>
      <c r="K1549" s="1"/>
      <c r="L1549" s="2"/>
      <c r="M1549" s="2"/>
      <c r="N1549" s="2"/>
      <c r="O1549" s="2"/>
    </row>
    <row r="1550" spans="1:15" x14ac:dyDescent="0.2">
      <c r="A1550" s="17" t="s">
        <v>4838</v>
      </c>
      <c r="B1550" s="17" t="s">
        <v>4839</v>
      </c>
      <c r="C1550" s="17">
        <v>15</v>
      </c>
      <c r="D1550" s="11"/>
      <c r="E1550" s="1">
        <v>2150</v>
      </c>
      <c r="F1550" s="1">
        <v>2440</v>
      </c>
      <c r="G1550" s="1">
        <v>53</v>
      </c>
      <c r="H1550" s="11"/>
      <c r="I1550" s="11"/>
      <c r="J1550" s="11"/>
      <c r="K1550" s="1"/>
      <c r="L1550" s="2"/>
      <c r="M1550" s="2"/>
      <c r="N1550" s="2"/>
      <c r="O1550" s="2"/>
    </row>
    <row r="1551" spans="1:15" x14ac:dyDescent="0.2">
      <c r="A1551" s="17" t="s">
        <v>4840</v>
      </c>
      <c r="B1551" s="17" t="s">
        <v>4841</v>
      </c>
      <c r="C1551" s="17">
        <v>6</v>
      </c>
      <c r="D1551" s="11"/>
      <c r="E1551" s="1">
        <v>2150</v>
      </c>
      <c r="F1551" s="1">
        <v>2440</v>
      </c>
      <c r="G1551" s="1">
        <v>23</v>
      </c>
      <c r="H1551" s="11"/>
      <c r="I1551" s="11"/>
      <c r="J1551" s="11"/>
      <c r="K1551" s="1"/>
      <c r="L1551" s="2"/>
      <c r="M1551" s="2"/>
      <c r="N1551" s="2"/>
      <c r="O1551" s="2"/>
    </row>
    <row r="1552" spans="1:15" x14ac:dyDescent="0.2">
      <c r="A1552" s="17" t="s">
        <v>4842</v>
      </c>
      <c r="B1552" s="17" t="s">
        <v>4843</v>
      </c>
      <c r="C1552" s="17">
        <v>15</v>
      </c>
      <c r="D1552" s="11"/>
      <c r="E1552" s="1">
        <v>2150</v>
      </c>
      <c r="F1552" s="1">
        <v>2440</v>
      </c>
      <c r="G1552" s="1">
        <v>53</v>
      </c>
      <c r="H1552" s="11"/>
      <c r="I1552" s="11"/>
      <c r="J1552" s="11"/>
      <c r="K1552" s="1"/>
      <c r="L1552" s="2"/>
      <c r="M1552" s="2"/>
      <c r="N1552" s="2"/>
      <c r="O1552" s="2"/>
    </row>
    <row r="1553" spans="1:15" x14ac:dyDescent="0.2">
      <c r="A1553" s="17" t="s">
        <v>4844</v>
      </c>
      <c r="B1553" s="17" t="s">
        <v>4845</v>
      </c>
      <c r="C1553" s="17">
        <v>18</v>
      </c>
      <c r="D1553" s="11"/>
      <c r="E1553" s="1">
        <v>2150</v>
      </c>
      <c r="F1553" s="1">
        <v>2440</v>
      </c>
      <c r="G1553" s="1">
        <v>61</v>
      </c>
      <c r="H1553" s="11"/>
      <c r="I1553" s="11"/>
      <c r="J1553" s="11"/>
      <c r="K1553" s="1"/>
      <c r="L1553" s="2"/>
      <c r="M1553" s="2"/>
      <c r="N1553" s="2"/>
      <c r="O1553" s="2"/>
    </row>
    <row r="1554" spans="1:15" x14ac:dyDescent="0.2">
      <c r="A1554" s="17" t="s">
        <v>4846</v>
      </c>
      <c r="B1554" s="17" t="s">
        <v>4847</v>
      </c>
      <c r="C1554" s="17">
        <v>36</v>
      </c>
      <c r="D1554" s="11"/>
      <c r="E1554" s="1">
        <v>2150</v>
      </c>
      <c r="F1554" s="1">
        <v>2440</v>
      </c>
      <c r="G1554" s="1">
        <v>117</v>
      </c>
      <c r="H1554" s="11"/>
      <c r="I1554" s="11"/>
      <c r="J1554" s="11"/>
      <c r="K1554" s="1"/>
      <c r="L1554" s="2"/>
      <c r="M1554" s="2"/>
      <c r="N1554" s="2"/>
      <c r="O1554" s="2"/>
    </row>
    <row r="1555" spans="1:15" x14ac:dyDescent="0.2">
      <c r="A1555" s="17" t="s">
        <v>4848</v>
      </c>
      <c r="B1555" s="17" t="s">
        <v>4849</v>
      </c>
      <c r="C1555" s="17">
        <v>18</v>
      </c>
      <c r="D1555" s="11"/>
      <c r="E1555" s="1">
        <v>2150</v>
      </c>
      <c r="F1555" s="1">
        <v>2440</v>
      </c>
      <c r="G1555" s="1">
        <v>61</v>
      </c>
      <c r="H1555" s="11"/>
      <c r="I1555" s="11"/>
      <c r="J1555" s="11"/>
      <c r="K1555" s="1"/>
      <c r="L1555" s="2"/>
      <c r="M1555" s="2"/>
      <c r="N1555" s="2"/>
      <c r="O1555" s="2"/>
    </row>
    <row r="1556" spans="1:15" x14ac:dyDescent="0.2">
      <c r="A1556" s="17" t="s">
        <v>4850</v>
      </c>
      <c r="B1556" s="17" t="s">
        <v>4851</v>
      </c>
      <c r="C1556" s="17">
        <v>36</v>
      </c>
      <c r="D1556" s="11"/>
      <c r="E1556" s="1">
        <v>2150</v>
      </c>
      <c r="F1556" s="1">
        <v>2440</v>
      </c>
      <c r="G1556" s="1">
        <v>117</v>
      </c>
      <c r="H1556" s="11"/>
      <c r="I1556" s="11"/>
      <c r="J1556" s="11"/>
      <c r="K1556" s="1"/>
      <c r="L1556" s="2"/>
      <c r="M1556" s="2"/>
      <c r="N1556" s="2"/>
      <c r="O1556" s="2"/>
    </row>
    <row r="1557" spans="1:15" x14ac:dyDescent="0.2">
      <c r="A1557" s="17" t="s">
        <v>4852</v>
      </c>
      <c r="B1557" s="17" t="s">
        <v>4853</v>
      </c>
      <c r="C1557" s="17">
        <v>6</v>
      </c>
      <c r="D1557" s="11"/>
      <c r="E1557" s="1"/>
      <c r="F1557" s="1"/>
      <c r="G1557" s="1">
        <v>23</v>
      </c>
      <c r="H1557" s="11"/>
      <c r="I1557" s="11"/>
      <c r="J1557" s="11"/>
      <c r="K1557" s="1"/>
      <c r="L1557" s="2"/>
      <c r="M1557" s="2"/>
      <c r="N1557" s="2"/>
      <c r="O1557" s="2"/>
    </row>
    <row r="1558" spans="1:15" x14ac:dyDescent="0.2">
      <c r="A1558" s="17" t="s">
        <v>4854</v>
      </c>
      <c r="B1558" s="17" t="s">
        <v>4855</v>
      </c>
      <c r="C1558" s="17">
        <v>18</v>
      </c>
      <c r="D1558" s="11"/>
      <c r="E1558" s="1">
        <v>2150</v>
      </c>
      <c r="F1558" s="1">
        <v>2440</v>
      </c>
      <c r="G1558" s="1">
        <v>61</v>
      </c>
      <c r="H1558" s="11"/>
      <c r="I1558" s="11"/>
      <c r="J1558" s="11"/>
      <c r="K1558" s="1"/>
      <c r="L1558" s="2"/>
      <c r="M1558" s="2"/>
      <c r="N1558" s="2"/>
      <c r="O1558" s="2"/>
    </row>
    <row r="1559" spans="1:15" x14ac:dyDescent="0.2">
      <c r="A1559" s="17" t="s">
        <v>4856</v>
      </c>
      <c r="B1559" s="17" t="s">
        <v>4857</v>
      </c>
      <c r="C1559" s="17">
        <v>36</v>
      </c>
      <c r="D1559" s="11"/>
      <c r="E1559" s="1">
        <v>2150</v>
      </c>
      <c r="F1559" s="1">
        <v>2440</v>
      </c>
      <c r="G1559" s="1">
        <v>117</v>
      </c>
      <c r="H1559" s="11"/>
      <c r="I1559" s="11"/>
      <c r="J1559" s="11"/>
      <c r="K1559" s="1"/>
      <c r="L1559" s="2"/>
      <c r="M1559" s="2"/>
      <c r="N1559" s="2"/>
      <c r="O1559" s="2"/>
    </row>
    <row r="1560" spans="1:15" x14ac:dyDescent="0.2">
      <c r="A1560" s="17" t="s">
        <v>4858</v>
      </c>
      <c r="B1560" s="17" t="s">
        <v>4859</v>
      </c>
      <c r="C1560" s="17">
        <v>18</v>
      </c>
      <c r="D1560" s="11"/>
      <c r="E1560" s="1">
        <v>2150</v>
      </c>
      <c r="F1560" s="1">
        <v>2440</v>
      </c>
      <c r="G1560" s="1">
        <v>61</v>
      </c>
      <c r="H1560" s="11"/>
      <c r="I1560" s="11"/>
      <c r="J1560" s="11"/>
      <c r="K1560" s="1"/>
      <c r="L1560" s="2"/>
      <c r="M1560" s="2"/>
      <c r="N1560" s="2"/>
      <c r="O1560" s="2"/>
    </row>
    <row r="1561" spans="1:15" x14ac:dyDescent="0.2">
      <c r="A1561" s="17" t="s">
        <v>4860</v>
      </c>
      <c r="B1561" s="17" t="s">
        <v>4861</v>
      </c>
      <c r="C1561" s="17">
        <v>36</v>
      </c>
      <c r="D1561" s="11"/>
      <c r="E1561" s="1">
        <v>2150</v>
      </c>
      <c r="F1561" s="1">
        <v>2440</v>
      </c>
      <c r="G1561" s="1">
        <v>117</v>
      </c>
      <c r="H1561" s="11"/>
      <c r="I1561" s="11"/>
      <c r="J1561" s="11"/>
      <c r="K1561" s="1"/>
      <c r="L1561" s="2"/>
      <c r="M1561" s="2"/>
      <c r="N1561" s="2"/>
      <c r="O1561" s="2"/>
    </row>
    <row r="1562" spans="1:15" x14ac:dyDescent="0.2">
      <c r="A1562" s="17" t="s">
        <v>4862</v>
      </c>
      <c r="B1562" s="17" t="s">
        <v>4863</v>
      </c>
      <c r="C1562" s="17">
        <v>18</v>
      </c>
      <c r="D1562" s="11"/>
      <c r="E1562" s="1">
        <v>2150</v>
      </c>
      <c r="F1562" s="1">
        <v>2440</v>
      </c>
      <c r="G1562" s="1">
        <v>61</v>
      </c>
      <c r="H1562" s="11"/>
      <c r="I1562" s="11"/>
      <c r="J1562" s="11"/>
      <c r="K1562" s="1"/>
      <c r="L1562" s="2"/>
      <c r="M1562" s="2"/>
      <c r="N1562" s="2"/>
      <c r="O1562" s="2"/>
    </row>
    <row r="1563" spans="1:15" x14ac:dyDescent="0.2">
      <c r="A1563" s="17" t="s">
        <v>4864</v>
      </c>
      <c r="B1563" s="17" t="s">
        <v>4865</v>
      </c>
      <c r="C1563" s="17">
        <v>6</v>
      </c>
      <c r="D1563" s="11"/>
      <c r="E1563" s="1">
        <v>2150</v>
      </c>
      <c r="F1563" s="1">
        <v>2440</v>
      </c>
      <c r="G1563" s="1">
        <v>23</v>
      </c>
      <c r="H1563" s="11"/>
      <c r="I1563" s="11"/>
      <c r="J1563" s="11"/>
      <c r="K1563" s="1"/>
      <c r="L1563" s="2"/>
      <c r="M1563" s="2"/>
      <c r="N1563" s="2"/>
      <c r="O1563" s="2"/>
    </row>
    <row r="1564" spans="1:15" x14ac:dyDescent="0.2">
      <c r="A1564" s="17" t="s">
        <v>4866</v>
      </c>
      <c r="B1564" s="17" t="s">
        <v>4867</v>
      </c>
      <c r="C1564" s="17">
        <v>15</v>
      </c>
      <c r="D1564" s="11"/>
      <c r="E1564" s="1">
        <v>2150</v>
      </c>
      <c r="F1564" s="1">
        <v>2440</v>
      </c>
      <c r="G1564" s="1">
        <v>53</v>
      </c>
      <c r="H1564" s="11"/>
      <c r="I1564" s="11"/>
      <c r="J1564" s="11"/>
      <c r="K1564" s="1"/>
      <c r="L1564" s="2"/>
      <c r="M1564" s="2"/>
      <c r="N1564" s="2"/>
      <c r="O1564" s="2"/>
    </row>
    <row r="1565" spans="1:15" x14ac:dyDescent="0.2">
      <c r="A1565" s="17" t="s">
        <v>4868</v>
      </c>
      <c r="B1565" s="17" t="s">
        <v>4869</v>
      </c>
      <c r="C1565" s="17">
        <v>15</v>
      </c>
      <c r="D1565" s="11"/>
      <c r="E1565" s="1">
        <v>2150</v>
      </c>
      <c r="F1565" s="1">
        <v>2440</v>
      </c>
      <c r="G1565" s="1">
        <v>53</v>
      </c>
      <c r="H1565" s="11"/>
      <c r="I1565" s="11"/>
      <c r="J1565" s="11"/>
      <c r="K1565" s="1"/>
      <c r="L1565" s="2"/>
      <c r="M1565" s="2"/>
      <c r="N1565" s="2"/>
      <c r="O1565" s="2"/>
    </row>
    <row r="1566" spans="1:15" x14ac:dyDescent="0.2">
      <c r="A1566" s="17" t="s">
        <v>4870</v>
      </c>
      <c r="B1566" s="17" t="s">
        <v>4871</v>
      </c>
      <c r="C1566" s="17">
        <v>36</v>
      </c>
      <c r="D1566" s="11"/>
      <c r="E1566" s="1">
        <v>2150</v>
      </c>
      <c r="F1566" s="1">
        <v>2440</v>
      </c>
      <c r="G1566" s="1">
        <v>117</v>
      </c>
      <c r="H1566" s="11"/>
      <c r="I1566" s="11"/>
      <c r="J1566" s="11"/>
      <c r="K1566" s="1"/>
      <c r="L1566" s="2"/>
      <c r="M1566" s="2"/>
      <c r="N1566" s="2"/>
      <c r="O1566" s="2"/>
    </row>
    <row r="1567" spans="1:15" x14ac:dyDescent="0.2">
      <c r="A1567" s="17" t="s">
        <v>4872</v>
      </c>
      <c r="B1567" s="17" t="s">
        <v>4873</v>
      </c>
      <c r="C1567" s="17">
        <v>6</v>
      </c>
      <c r="D1567" s="11"/>
      <c r="E1567" s="1">
        <v>2150</v>
      </c>
      <c r="F1567" s="1">
        <v>2440</v>
      </c>
      <c r="G1567" s="1">
        <v>23</v>
      </c>
      <c r="H1567" s="11"/>
      <c r="I1567" s="11"/>
      <c r="J1567" s="11"/>
      <c r="K1567" s="1"/>
      <c r="L1567" s="2"/>
      <c r="M1567" s="2"/>
      <c r="N1567" s="2"/>
      <c r="O1567" s="2"/>
    </row>
    <row r="1568" spans="1:15" x14ac:dyDescent="0.2">
      <c r="A1568" s="17" t="s">
        <v>4874</v>
      </c>
      <c r="B1568" s="17" t="s">
        <v>4875</v>
      </c>
      <c r="C1568" s="17">
        <v>15</v>
      </c>
      <c r="D1568" s="11"/>
      <c r="E1568" s="1">
        <v>2150</v>
      </c>
      <c r="F1568" s="1">
        <v>2440</v>
      </c>
      <c r="G1568" s="1">
        <v>53</v>
      </c>
      <c r="H1568" s="11"/>
      <c r="I1568" s="11"/>
      <c r="J1568" s="11"/>
      <c r="K1568" s="1"/>
      <c r="L1568" s="2"/>
      <c r="M1568" s="2"/>
      <c r="N1568" s="2"/>
      <c r="O1568" s="2"/>
    </row>
    <row r="1569" spans="1:15" x14ac:dyDescent="0.2">
      <c r="A1569" s="17" t="s">
        <v>4876</v>
      </c>
      <c r="B1569" s="17" t="s">
        <v>4877</v>
      </c>
      <c r="C1569" s="17">
        <v>18</v>
      </c>
      <c r="D1569" s="11"/>
      <c r="E1569" s="1">
        <v>2150</v>
      </c>
      <c r="F1569" s="1">
        <v>2440</v>
      </c>
      <c r="G1569" s="1">
        <v>61</v>
      </c>
      <c r="H1569" s="11"/>
      <c r="I1569" s="11"/>
      <c r="J1569" s="11"/>
      <c r="K1569" s="1"/>
      <c r="L1569" s="2"/>
      <c r="M1569" s="2"/>
      <c r="N1569" s="2"/>
      <c r="O1569" s="2"/>
    </row>
    <row r="1570" spans="1:15" x14ac:dyDescent="0.2">
      <c r="A1570" s="17" t="s">
        <v>4878</v>
      </c>
      <c r="B1570" s="17" t="s">
        <v>4879</v>
      </c>
      <c r="C1570" s="17">
        <v>18</v>
      </c>
      <c r="D1570" s="11"/>
      <c r="E1570" s="1">
        <v>2150</v>
      </c>
      <c r="F1570" s="1">
        <v>2440</v>
      </c>
      <c r="G1570" s="1">
        <v>61</v>
      </c>
      <c r="H1570" s="11"/>
      <c r="I1570" s="11"/>
      <c r="J1570" s="11"/>
      <c r="K1570" s="1"/>
      <c r="L1570" s="2"/>
      <c r="M1570" s="2"/>
      <c r="N1570" s="2"/>
      <c r="O1570" s="2"/>
    </row>
    <row r="1571" spans="1:15" x14ac:dyDescent="0.2">
      <c r="A1571" s="17" t="s">
        <v>4880</v>
      </c>
      <c r="B1571" s="17" t="s">
        <v>4881</v>
      </c>
      <c r="C1571" s="17">
        <v>36</v>
      </c>
      <c r="D1571" s="11"/>
      <c r="E1571" s="1">
        <v>2150</v>
      </c>
      <c r="F1571" s="1">
        <v>2440</v>
      </c>
      <c r="G1571" s="1">
        <v>117</v>
      </c>
      <c r="H1571" s="11"/>
      <c r="I1571" s="11"/>
      <c r="J1571" s="11"/>
      <c r="K1571" s="1"/>
      <c r="L1571" s="2"/>
      <c r="M1571" s="2"/>
      <c r="N1571" s="2"/>
      <c r="O1571" s="2"/>
    </row>
    <row r="1572" spans="1:15" x14ac:dyDescent="0.2">
      <c r="A1572" s="17" t="s">
        <v>4882</v>
      </c>
      <c r="B1572" s="17" t="s">
        <v>4883</v>
      </c>
      <c r="C1572" s="17">
        <v>6</v>
      </c>
      <c r="D1572" s="11"/>
      <c r="E1572" s="1">
        <v>2150</v>
      </c>
      <c r="F1572" s="1">
        <v>2440</v>
      </c>
      <c r="G1572" s="1">
        <v>23</v>
      </c>
      <c r="H1572" s="11"/>
      <c r="I1572" s="11"/>
      <c r="J1572" s="11"/>
      <c r="K1572" s="1"/>
      <c r="L1572" s="2"/>
      <c r="M1572" s="2"/>
      <c r="N1572" s="2"/>
      <c r="O1572" s="2"/>
    </row>
    <row r="1573" spans="1:15" x14ac:dyDescent="0.2">
      <c r="A1573" s="17" t="s">
        <v>4884</v>
      </c>
      <c r="B1573" s="17" t="s">
        <v>4885</v>
      </c>
      <c r="C1573" s="17">
        <v>15</v>
      </c>
      <c r="D1573" s="11"/>
      <c r="E1573" s="1">
        <v>2150</v>
      </c>
      <c r="F1573" s="1">
        <v>2440</v>
      </c>
      <c r="G1573" s="1">
        <v>53</v>
      </c>
      <c r="H1573" s="11"/>
      <c r="I1573" s="11"/>
      <c r="J1573" s="11"/>
      <c r="K1573" s="1"/>
      <c r="L1573" s="2"/>
      <c r="M1573" s="2"/>
      <c r="N1573" s="2"/>
      <c r="O1573" s="2"/>
    </row>
    <row r="1574" spans="1:15" x14ac:dyDescent="0.2">
      <c r="A1574" s="17" t="s">
        <v>4886</v>
      </c>
      <c r="B1574" s="17" t="s">
        <v>4887</v>
      </c>
      <c r="C1574" s="17">
        <v>18</v>
      </c>
      <c r="D1574" s="11"/>
      <c r="E1574" s="1">
        <v>2150</v>
      </c>
      <c r="F1574" s="1">
        <v>2440</v>
      </c>
      <c r="G1574" s="1">
        <v>61</v>
      </c>
      <c r="H1574" s="11"/>
      <c r="I1574" s="11"/>
      <c r="J1574" s="11"/>
      <c r="K1574" s="1"/>
      <c r="L1574" s="2"/>
      <c r="M1574" s="2"/>
      <c r="N1574" s="2"/>
      <c r="O1574" s="2"/>
    </row>
    <row r="1575" spans="1:15" x14ac:dyDescent="0.2">
      <c r="A1575" s="17" t="s">
        <v>4888</v>
      </c>
      <c r="B1575" s="17" t="s">
        <v>4889</v>
      </c>
      <c r="C1575" s="17">
        <v>15</v>
      </c>
      <c r="D1575" s="11"/>
      <c r="E1575" s="1">
        <v>2150</v>
      </c>
      <c r="F1575" s="1">
        <v>2440</v>
      </c>
      <c r="G1575" s="1">
        <v>53</v>
      </c>
      <c r="H1575" s="11"/>
      <c r="I1575" s="11"/>
      <c r="J1575" s="11"/>
      <c r="K1575" s="1"/>
      <c r="L1575" s="2"/>
      <c r="M1575" s="2"/>
      <c r="N1575" s="2"/>
      <c r="O1575" s="2"/>
    </row>
    <row r="1576" spans="1:15" x14ac:dyDescent="0.2">
      <c r="A1576" s="17" t="s">
        <v>4890</v>
      </c>
      <c r="B1576" s="17" t="s">
        <v>4891</v>
      </c>
      <c r="C1576" s="17">
        <v>25</v>
      </c>
      <c r="D1576" s="11"/>
      <c r="E1576" s="1">
        <v>2150</v>
      </c>
      <c r="F1576" s="1">
        <v>2440</v>
      </c>
      <c r="G1576" s="1"/>
      <c r="H1576" s="11"/>
      <c r="I1576" s="11"/>
      <c r="J1576" s="11"/>
      <c r="K1576" s="1"/>
      <c r="L1576" s="2"/>
      <c r="M1576" s="2"/>
      <c r="N1576" s="2"/>
      <c r="O1576" s="2"/>
    </row>
    <row r="1577" spans="1:15" x14ac:dyDescent="0.2">
      <c r="A1577" s="17" t="s">
        <v>4892</v>
      </c>
      <c r="B1577" s="17" t="s">
        <v>4893</v>
      </c>
      <c r="C1577" s="17">
        <v>15</v>
      </c>
      <c r="D1577" s="11"/>
      <c r="E1577" s="1">
        <v>2150</v>
      </c>
      <c r="F1577" s="1">
        <v>2440</v>
      </c>
      <c r="G1577" s="1">
        <v>53</v>
      </c>
      <c r="H1577" s="11"/>
      <c r="I1577" s="11"/>
      <c r="J1577" s="11"/>
      <c r="K1577" s="1"/>
      <c r="L1577" s="2"/>
      <c r="M1577" s="2"/>
      <c r="N1577" s="2"/>
      <c r="O1577" s="2"/>
    </row>
    <row r="1578" spans="1:15" x14ac:dyDescent="0.2">
      <c r="A1578" s="17" t="s">
        <v>4894</v>
      </c>
      <c r="B1578" s="17" t="s">
        <v>4895</v>
      </c>
      <c r="C1578" s="17">
        <v>6</v>
      </c>
      <c r="D1578" s="11"/>
      <c r="E1578" s="1">
        <v>2150</v>
      </c>
      <c r="F1578" s="1">
        <v>2440</v>
      </c>
      <c r="G1578" s="1">
        <v>23</v>
      </c>
      <c r="H1578" s="11"/>
      <c r="I1578" s="11"/>
      <c r="J1578" s="11"/>
      <c r="K1578" s="1"/>
      <c r="L1578" s="2"/>
      <c r="M1578" s="2"/>
      <c r="N1578" s="2"/>
      <c r="O1578" s="2"/>
    </row>
    <row r="1579" spans="1:15" x14ac:dyDescent="0.2">
      <c r="A1579" s="17" t="s">
        <v>4896</v>
      </c>
      <c r="B1579" s="17" t="s">
        <v>4897</v>
      </c>
      <c r="C1579" s="17">
        <v>18</v>
      </c>
      <c r="D1579" s="11"/>
      <c r="E1579" s="1">
        <v>2150</v>
      </c>
      <c r="F1579" s="1">
        <v>2440</v>
      </c>
      <c r="G1579" s="1">
        <v>61</v>
      </c>
      <c r="H1579" s="11"/>
      <c r="I1579" s="11"/>
      <c r="J1579" s="11"/>
      <c r="K1579" s="1"/>
      <c r="L1579" s="2"/>
      <c r="M1579" s="2"/>
      <c r="N1579" s="2"/>
      <c r="O1579" s="2"/>
    </row>
    <row r="1580" spans="1:15" x14ac:dyDescent="0.2">
      <c r="A1580" s="17" t="s">
        <v>4898</v>
      </c>
      <c r="B1580" s="17" t="s">
        <v>4899</v>
      </c>
      <c r="C1580" s="17">
        <v>15</v>
      </c>
      <c r="D1580" s="11"/>
      <c r="E1580" s="1">
        <v>2150</v>
      </c>
      <c r="F1580" s="1">
        <v>2440</v>
      </c>
      <c r="G1580" s="1">
        <v>53</v>
      </c>
      <c r="H1580" s="11"/>
      <c r="I1580" s="11"/>
      <c r="J1580" s="11"/>
      <c r="K1580" s="1"/>
      <c r="L1580" s="2"/>
      <c r="M1580" s="2"/>
      <c r="N1580" s="2"/>
      <c r="O1580" s="2"/>
    </row>
    <row r="1581" spans="1:15" x14ac:dyDescent="0.2">
      <c r="A1581" s="17" t="s">
        <v>4900</v>
      </c>
      <c r="B1581" s="17" t="s">
        <v>4901</v>
      </c>
      <c r="C1581" s="17">
        <v>18</v>
      </c>
      <c r="D1581" s="11"/>
      <c r="E1581" s="1">
        <v>2150</v>
      </c>
      <c r="F1581" s="1">
        <v>2440</v>
      </c>
      <c r="G1581" s="1">
        <v>61</v>
      </c>
      <c r="H1581" s="11"/>
      <c r="I1581" s="11"/>
      <c r="J1581" s="11"/>
      <c r="K1581" s="1"/>
      <c r="L1581" s="2"/>
      <c r="M1581" s="2"/>
      <c r="N1581" s="2"/>
      <c r="O1581" s="2"/>
    </row>
    <row r="1582" spans="1:15" x14ac:dyDescent="0.2">
      <c r="A1582" s="17" t="s">
        <v>4902</v>
      </c>
      <c r="B1582" s="17" t="s">
        <v>4903</v>
      </c>
      <c r="C1582" s="17">
        <v>36</v>
      </c>
      <c r="D1582" s="11"/>
      <c r="E1582" s="1">
        <v>2150</v>
      </c>
      <c r="F1582" s="1">
        <v>2440</v>
      </c>
      <c r="G1582" s="1">
        <v>117</v>
      </c>
      <c r="H1582" s="11"/>
      <c r="I1582" s="11"/>
      <c r="J1582" s="11"/>
      <c r="K1582" s="1"/>
      <c r="L1582" s="2"/>
      <c r="M1582" s="2"/>
      <c r="N1582" s="2"/>
      <c r="O1582" s="2"/>
    </row>
    <row r="1583" spans="1:15" x14ac:dyDescent="0.2">
      <c r="A1583" s="17" t="s">
        <v>4904</v>
      </c>
      <c r="B1583" s="17" t="s">
        <v>4905</v>
      </c>
      <c r="C1583" s="17">
        <v>6</v>
      </c>
      <c r="D1583" s="11"/>
      <c r="E1583" s="1">
        <v>2150</v>
      </c>
      <c r="F1583" s="1">
        <v>2440</v>
      </c>
      <c r="G1583" s="1">
        <v>23</v>
      </c>
      <c r="H1583" s="11"/>
      <c r="I1583" s="11"/>
      <c r="J1583" s="11"/>
      <c r="K1583" s="1"/>
      <c r="L1583" s="2"/>
      <c r="M1583" s="2"/>
      <c r="N1583" s="2"/>
      <c r="O1583" s="2"/>
    </row>
    <row r="1584" spans="1:15" x14ac:dyDescent="0.2">
      <c r="A1584" s="17" t="s">
        <v>4906</v>
      </c>
      <c r="B1584" s="17" t="s">
        <v>4907</v>
      </c>
      <c r="C1584" s="17">
        <v>15</v>
      </c>
      <c r="D1584" s="11"/>
      <c r="E1584" s="1">
        <v>2150</v>
      </c>
      <c r="F1584" s="1">
        <v>2440</v>
      </c>
      <c r="G1584" s="1">
        <v>53</v>
      </c>
      <c r="H1584" s="11"/>
      <c r="I1584" s="11"/>
      <c r="J1584" s="11"/>
      <c r="K1584" s="1"/>
      <c r="L1584" s="2"/>
      <c r="M1584" s="2"/>
      <c r="N1584" s="2"/>
      <c r="O1584" s="2"/>
    </row>
    <row r="1585" spans="1:15" x14ac:dyDescent="0.2">
      <c r="A1585" s="17" t="s">
        <v>4908</v>
      </c>
      <c r="B1585" s="17" t="s">
        <v>4909</v>
      </c>
      <c r="C1585" s="17">
        <v>18</v>
      </c>
      <c r="D1585" s="11"/>
      <c r="E1585" s="1">
        <v>2150</v>
      </c>
      <c r="F1585" s="1">
        <v>2440</v>
      </c>
      <c r="G1585" s="1">
        <v>61</v>
      </c>
      <c r="H1585" s="11"/>
      <c r="I1585" s="11"/>
      <c r="J1585" s="11"/>
      <c r="K1585" s="1"/>
      <c r="L1585" s="2"/>
      <c r="M1585" s="2"/>
      <c r="N1585" s="2"/>
      <c r="O1585" s="2"/>
    </row>
    <row r="1586" spans="1:15" x14ac:dyDescent="0.2">
      <c r="A1586" s="17" t="s">
        <v>4910</v>
      </c>
      <c r="B1586" s="17" t="s">
        <v>4911</v>
      </c>
      <c r="C1586" s="17">
        <v>6</v>
      </c>
      <c r="D1586" s="11"/>
      <c r="E1586" s="1">
        <v>2150</v>
      </c>
      <c r="F1586" s="1">
        <v>2440</v>
      </c>
      <c r="G1586" s="1">
        <v>23</v>
      </c>
      <c r="H1586" s="11"/>
      <c r="I1586" s="11"/>
      <c r="J1586" s="11"/>
      <c r="K1586" s="1"/>
      <c r="L1586" s="2"/>
      <c r="M1586" s="2"/>
      <c r="N1586" s="2"/>
      <c r="O1586" s="2"/>
    </row>
    <row r="1587" spans="1:15" x14ac:dyDescent="0.2">
      <c r="A1587" s="17" t="s">
        <v>4912</v>
      </c>
      <c r="B1587" s="17" t="s">
        <v>4913</v>
      </c>
      <c r="C1587" s="17">
        <v>36</v>
      </c>
      <c r="D1587" s="11"/>
      <c r="E1587" s="1">
        <v>2150</v>
      </c>
      <c r="F1587" s="1">
        <v>2440</v>
      </c>
      <c r="G1587" s="1">
        <v>117</v>
      </c>
      <c r="H1587" s="11"/>
      <c r="I1587" s="11"/>
      <c r="J1587" s="11"/>
      <c r="K1587" s="1"/>
      <c r="L1587" s="2"/>
      <c r="M1587" s="2"/>
      <c r="N1587" s="2"/>
      <c r="O1587" s="2"/>
    </row>
    <row r="1588" spans="1:15" x14ac:dyDescent="0.2">
      <c r="A1588" s="17" t="s">
        <v>4914</v>
      </c>
      <c r="B1588" s="17" t="s">
        <v>4915</v>
      </c>
      <c r="C1588" s="17">
        <v>18</v>
      </c>
      <c r="D1588" s="11"/>
      <c r="E1588" s="1">
        <v>2150</v>
      </c>
      <c r="F1588" s="1">
        <v>2440</v>
      </c>
      <c r="G1588" s="1">
        <v>61</v>
      </c>
      <c r="H1588" s="11"/>
      <c r="I1588" s="11"/>
      <c r="J1588" s="11"/>
      <c r="K1588" s="1"/>
      <c r="L1588" s="2"/>
      <c r="M1588" s="2"/>
      <c r="N1588" s="2"/>
      <c r="O1588" s="2"/>
    </row>
    <row r="1589" spans="1:15" x14ac:dyDescent="0.2">
      <c r="A1589" s="17" t="s">
        <v>4916</v>
      </c>
      <c r="B1589" s="17" t="s">
        <v>4917</v>
      </c>
      <c r="C1589" s="17">
        <v>36</v>
      </c>
      <c r="D1589" s="11"/>
      <c r="E1589" s="1">
        <v>2150</v>
      </c>
      <c r="F1589" s="1">
        <v>2440</v>
      </c>
      <c r="G1589" s="1">
        <v>117</v>
      </c>
      <c r="H1589" s="11"/>
      <c r="I1589" s="11"/>
      <c r="J1589" s="11"/>
      <c r="K1589" s="1"/>
      <c r="L1589" s="2"/>
      <c r="M1589" s="2"/>
      <c r="N1589" s="2"/>
      <c r="O1589" s="2"/>
    </row>
    <row r="1590" spans="1:15" x14ac:dyDescent="0.2">
      <c r="A1590" s="17" t="s">
        <v>4918</v>
      </c>
      <c r="B1590" s="17" t="s">
        <v>4919</v>
      </c>
      <c r="C1590" s="17">
        <v>15</v>
      </c>
      <c r="D1590" s="11"/>
      <c r="E1590" s="1">
        <v>2150</v>
      </c>
      <c r="F1590" s="1">
        <v>2440</v>
      </c>
      <c r="G1590" s="1">
        <v>53</v>
      </c>
      <c r="H1590" s="11"/>
      <c r="I1590" s="11"/>
      <c r="J1590" s="11"/>
      <c r="K1590" s="1"/>
      <c r="L1590" s="2"/>
      <c r="M1590" s="2"/>
      <c r="N1590" s="2"/>
      <c r="O1590" s="2"/>
    </row>
    <row r="1591" spans="1:15" x14ac:dyDescent="0.2">
      <c r="A1591" s="17" t="s">
        <v>4920</v>
      </c>
      <c r="B1591" s="17" t="s">
        <v>4921</v>
      </c>
      <c r="C1591" s="17">
        <v>9</v>
      </c>
      <c r="D1591" s="11"/>
      <c r="E1591" s="1">
        <v>2150</v>
      </c>
      <c r="F1591" s="1">
        <v>2440</v>
      </c>
      <c r="G1591" s="1"/>
      <c r="H1591" s="11"/>
      <c r="I1591" s="11"/>
      <c r="J1591" s="11"/>
      <c r="K1591" s="1"/>
      <c r="L1591" s="2"/>
      <c r="M1591" s="2"/>
      <c r="N1591" s="2"/>
      <c r="O1591" s="2"/>
    </row>
    <row r="1592" spans="1:15" x14ac:dyDescent="0.2">
      <c r="A1592" s="17" t="s">
        <v>4922</v>
      </c>
      <c r="B1592" s="17" t="s">
        <v>4923</v>
      </c>
      <c r="C1592" s="17">
        <v>15</v>
      </c>
      <c r="D1592" s="11"/>
      <c r="E1592" s="1">
        <v>2150</v>
      </c>
      <c r="F1592" s="1">
        <v>2440</v>
      </c>
      <c r="G1592" s="1">
        <v>53</v>
      </c>
      <c r="H1592" s="11"/>
      <c r="I1592" s="11"/>
      <c r="J1592" s="11"/>
      <c r="K1592" s="1"/>
      <c r="L1592" s="2"/>
      <c r="M1592" s="2"/>
      <c r="N1592" s="2"/>
      <c r="O1592" s="2"/>
    </row>
    <row r="1593" spans="1:15" x14ac:dyDescent="0.2">
      <c r="A1593" s="17" t="s">
        <v>4924</v>
      </c>
      <c r="B1593" s="17" t="s">
        <v>4925</v>
      </c>
      <c r="C1593" s="17">
        <v>6</v>
      </c>
      <c r="D1593" s="11"/>
      <c r="E1593" s="1">
        <v>2150</v>
      </c>
      <c r="F1593" s="1">
        <v>2440</v>
      </c>
      <c r="G1593" s="1">
        <v>23</v>
      </c>
      <c r="H1593" s="11"/>
      <c r="I1593" s="11"/>
      <c r="J1593" s="11"/>
      <c r="K1593" s="1"/>
      <c r="L1593" s="2"/>
      <c r="M1593" s="2"/>
      <c r="N1593" s="2"/>
      <c r="O1593" s="2"/>
    </row>
    <row r="1594" spans="1:15" x14ac:dyDescent="0.2">
      <c r="A1594" s="17" t="s">
        <v>4926</v>
      </c>
      <c r="B1594" s="17" t="s">
        <v>4927</v>
      </c>
      <c r="C1594" s="17">
        <v>15</v>
      </c>
      <c r="D1594" s="11"/>
      <c r="E1594" s="1">
        <v>2150</v>
      </c>
      <c r="F1594" s="1">
        <v>2440</v>
      </c>
      <c r="G1594" s="1">
        <v>53</v>
      </c>
      <c r="H1594" s="11"/>
      <c r="I1594" s="11"/>
      <c r="J1594" s="11"/>
      <c r="K1594" s="1"/>
      <c r="L1594" s="2"/>
      <c r="M1594" s="2"/>
      <c r="N1594" s="2"/>
      <c r="O1594" s="2"/>
    </row>
    <row r="1595" spans="1:15" x14ac:dyDescent="0.2">
      <c r="A1595" s="17" t="s">
        <v>4928</v>
      </c>
      <c r="B1595" s="17" t="s">
        <v>4929</v>
      </c>
      <c r="C1595" s="17">
        <v>18</v>
      </c>
      <c r="D1595" s="11"/>
      <c r="E1595" s="1">
        <v>2150</v>
      </c>
      <c r="F1595" s="1">
        <v>2440</v>
      </c>
      <c r="G1595" s="1">
        <v>61</v>
      </c>
      <c r="H1595" s="11"/>
      <c r="I1595" s="11"/>
      <c r="J1595" s="11"/>
      <c r="K1595" s="1"/>
      <c r="L1595" s="2"/>
      <c r="M1595" s="2"/>
      <c r="N1595" s="2"/>
      <c r="O1595" s="2"/>
    </row>
    <row r="1596" spans="1:15" x14ac:dyDescent="0.2">
      <c r="A1596" s="17" t="s">
        <v>4930</v>
      </c>
      <c r="B1596" s="17" t="s">
        <v>4931</v>
      </c>
      <c r="C1596" s="17">
        <v>18</v>
      </c>
      <c r="D1596" s="11"/>
      <c r="E1596" s="1">
        <v>2150</v>
      </c>
      <c r="F1596" s="1">
        <v>2440</v>
      </c>
      <c r="G1596" s="1">
        <v>61</v>
      </c>
      <c r="H1596" s="11"/>
      <c r="I1596" s="11"/>
      <c r="J1596" s="11"/>
      <c r="K1596" s="1"/>
      <c r="L1596" s="2"/>
      <c r="M1596" s="2"/>
      <c r="N1596" s="2"/>
      <c r="O1596" s="2"/>
    </row>
    <row r="1597" spans="1:15" x14ac:dyDescent="0.2">
      <c r="A1597" s="17" t="s">
        <v>4932</v>
      </c>
      <c r="B1597" s="17" t="s">
        <v>4933</v>
      </c>
      <c r="C1597" s="17">
        <v>36</v>
      </c>
      <c r="D1597" s="11"/>
      <c r="E1597" s="1">
        <v>2150</v>
      </c>
      <c r="F1597" s="1">
        <v>2440</v>
      </c>
      <c r="G1597" s="1">
        <v>117</v>
      </c>
      <c r="H1597" s="11"/>
      <c r="I1597" s="11"/>
      <c r="J1597" s="11"/>
      <c r="K1597" s="1"/>
      <c r="L1597" s="2"/>
      <c r="M1597" s="2"/>
      <c r="N1597" s="2"/>
      <c r="O1597" s="2"/>
    </row>
    <row r="1598" spans="1:15" x14ac:dyDescent="0.2">
      <c r="A1598" s="17" t="s">
        <v>4934</v>
      </c>
      <c r="B1598" s="17" t="s">
        <v>4935</v>
      </c>
      <c r="C1598" s="17">
        <v>15</v>
      </c>
      <c r="D1598" s="11"/>
      <c r="E1598" s="1">
        <v>2150</v>
      </c>
      <c r="F1598" s="1">
        <v>2440</v>
      </c>
      <c r="G1598" s="1">
        <v>53</v>
      </c>
      <c r="H1598" s="11"/>
      <c r="I1598" s="11"/>
      <c r="J1598" s="11"/>
      <c r="K1598" s="1"/>
      <c r="L1598" s="2"/>
      <c r="M1598" s="2"/>
      <c r="N1598" s="2"/>
      <c r="O1598" s="2"/>
    </row>
    <row r="1599" spans="1:15" x14ac:dyDescent="0.2">
      <c r="A1599" s="17" t="s">
        <v>4936</v>
      </c>
      <c r="B1599" s="17" t="s">
        <v>4937</v>
      </c>
      <c r="C1599" s="17">
        <v>36</v>
      </c>
      <c r="D1599" s="11"/>
      <c r="E1599" s="1">
        <v>2150</v>
      </c>
      <c r="F1599" s="1">
        <v>2440</v>
      </c>
      <c r="G1599" s="1">
        <v>117</v>
      </c>
      <c r="H1599" s="11"/>
      <c r="I1599" s="11"/>
      <c r="J1599" s="11"/>
      <c r="K1599" s="1"/>
      <c r="L1599" s="2"/>
      <c r="M1599" s="2"/>
      <c r="N1599" s="2"/>
      <c r="O1599" s="2"/>
    </row>
    <row r="1600" spans="1:15" x14ac:dyDescent="0.2">
      <c r="A1600" s="17" t="s">
        <v>4938</v>
      </c>
      <c r="B1600" s="17" t="s">
        <v>4939</v>
      </c>
      <c r="C1600" s="17">
        <v>15</v>
      </c>
      <c r="D1600" s="11"/>
      <c r="E1600" s="1">
        <v>2150</v>
      </c>
      <c r="F1600" s="1">
        <v>2440</v>
      </c>
      <c r="G1600" s="1">
        <v>53</v>
      </c>
      <c r="H1600" s="11"/>
      <c r="I1600" s="11"/>
      <c r="J1600" s="11"/>
      <c r="K1600" s="1"/>
      <c r="L1600" s="2"/>
      <c r="M1600" s="2"/>
      <c r="N1600" s="2"/>
      <c r="O1600" s="2"/>
    </row>
    <row r="1601" spans="1:15" x14ac:dyDescent="0.2">
      <c r="A1601" s="17" t="s">
        <v>4940</v>
      </c>
      <c r="B1601" s="17" t="s">
        <v>4941</v>
      </c>
      <c r="C1601" s="17">
        <v>36</v>
      </c>
      <c r="D1601" s="11"/>
      <c r="E1601" s="1">
        <v>2150</v>
      </c>
      <c r="F1601" s="1">
        <v>2440</v>
      </c>
      <c r="G1601" s="1">
        <v>117</v>
      </c>
      <c r="H1601" s="11"/>
      <c r="I1601" s="11"/>
      <c r="J1601" s="11"/>
      <c r="K1601" s="1"/>
      <c r="L1601" s="2"/>
      <c r="M1601" s="2"/>
      <c r="N1601" s="2"/>
      <c r="O1601" s="2"/>
    </row>
    <row r="1602" spans="1:15" x14ac:dyDescent="0.2">
      <c r="A1602" s="17" t="s">
        <v>4942</v>
      </c>
      <c r="B1602" s="17" t="s">
        <v>4943</v>
      </c>
      <c r="C1602" s="17">
        <v>6</v>
      </c>
      <c r="D1602" s="11"/>
      <c r="E1602" s="1">
        <v>2150</v>
      </c>
      <c r="F1602" s="1">
        <v>2440</v>
      </c>
      <c r="G1602" s="1">
        <v>23</v>
      </c>
      <c r="H1602" s="11"/>
      <c r="I1602" s="11"/>
      <c r="J1602" s="11"/>
      <c r="K1602" s="1"/>
      <c r="L1602" s="2"/>
      <c r="M1602" s="2"/>
      <c r="N1602" s="2"/>
      <c r="O1602" s="2"/>
    </row>
    <row r="1603" spans="1:15" x14ac:dyDescent="0.2">
      <c r="A1603" s="17" t="s">
        <v>4944</v>
      </c>
      <c r="B1603" s="17" t="s">
        <v>4945</v>
      </c>
      <c r="C1603" s="17">
        <v>15</v>
      </c>
      <c r="D1603" s="11"/>
      <c r="E1603" s="1">
        <v>2150</v>
      </c>
      <c r="F1603" s="1">
        <v>2440</v>
      </c>
      <c r="G1603" s="1">
        <v>53</v>
      </c>
      <c r="H1603" s="11"/>
      <c r="I1603" s="11"/>
      <c r="J1603" s="11"/>
      <c r="K1603" s="1"/>
      <c r="L1603" s="2"/>
      <c r="M1603" s="2"/>
      <c r="N1603" s="2"/>
      <c r="O1603" s="2"/>
    </row>
    <row r="1604" spans="1:15" x14ac:dyDescent="0.2">
      <c r="A1604" s="17" t="s">
        <v>4946</v>
      </c>
      <c r="B1604" s="17" t="s">
        <v>4947</v>
      </c>
      <c r="C1604" s="17">
        <v>18</v>
      </c>
      <c r="D1604" s="11"/>
      <c r="E1604" s="1">
        <v>2150</v>
      </c>
      <c r="F1604" s="1">
        <v>2440</v>
      </c>
      <c r="G1604" s="1">
        <v>61</v>
      </c>
      <c r="H1604" s="11"/>
      <c r="I1604" s="11"/>
      <c r="J1604" s="11"/>
      <c r="K1604" s="1"/>
      <c r="L1604" s="2"/>
      <c r="M1604" s="2"/>
      <c r="N1604" s="2"/>
      <c r="O1604" s="2"/>
    </row>
    <row r="1605" spans="1:15" x14ac:dyDescent="0.2">
      <c r="A1605" s="17" t="s">
        <v>4948</v>
      </c>
      <c r="B1605" s="17" t="s">
        <v>4949</v>
      </c>
      <c r="C1605" s="17">
        <v>15</v>
      </c>
      <c r="D1605" s="11"/>
      <c r="E1605" s="1">
        <v>2150</v>
      </c>
      <c r="F1605" s="1">
        <v>2440</v>
      </c>
      <c r="G1605" s="1">
        <v>53</v>
      </c>
      <c r="H1605" s="11"/>
      <c r="I1605" s="11"/>
      <c r="J1605" s="11"/>
      <c r="K1605" s="1"/>
      <c r="L1605" s="2"/>
      <c r="M1605" s="2"/>
      <c r="N1605" s="2"/>
      <c r="O1605" s="2"/>
    </row>
    <row r="1606" spans="1:15" x14ac:dyDescent="0.2">
      <c r="A1606" s="17" t="s">
        <v>4950</v>
      </c>
      <c r="B1606" s="17" t="s">
        <v>4951</v>
      </c>
      <c r="C1606" s="17">
        <v>15</v>
      </c>
      <c r="D1606" s="11"/>
      <c r="E1606" s="1">
        <v>2150</v>
      </c>
      <c r="F1606" s="1">
        <v>2440</v>
      </c>
      <c r="G1606" s="1">
        <v>53</v>
      </c>
      <c r="H1606" s="11"/>
      <c r="I1606" s="11"/>
      <c r="J1606" s="11"/>
      <c r="K1606" s="1"/>
      <c r="L1606" s="2"/>
      <c r="M1606" s="2"/>
      <c r="N1606" s="2"/>
      <c r="O1606" s="2"/>
    </row>
    <row r="1607" spans="1:15" x14ac:dyDescent="0.2">
      <c r="A1607" s="17" t="s">
        <v>4952</v>
      </c>
      <c r="B1607" s="17" t="s">
        <v>4953</v>
      </c>
      <c r="C1607" s="17">
        <v>18</v>
      </c>
      <c r="D1607" s="11"/>
      <c r="E1607" s="1">
        <v>2150</v>
      </c>
      <c r="F1607" s="1">
        <v>2440</v>
      </c>
      <c r="G1607" s="1">
        <v>61</v>
      </c>
      <c r="H1607" s="11"/>
      <c r="I1607" s="11"/>
      <c r="J1607" s="11"/>
      <c r="K1607" s="1"/>
      <c r="L1607" s="2"/>
      <c r="M1607" s="2"/>
      <c r="N1607" s="2"/>
      <c r="O1607" s="2"/>
    </row>
    <row r="1608" spans="1:15" x14ac:dyDescent="0.2">
      <c r="A1608" s="17" t="s">
        <v>4954</v>
      </c>
      <c r="B1608" s="17" t="s">
        <v>4955</v>
      </c>
      <c r="C1608" s="17">
        <v>15</v>
      </c>
      <c r="D1608" s="11"/>
      <c r="E1608" s="1">
        <v>2150</v>
      </c>
      <c r="F1608" s="1">
        <v>2440</v>
      </c>
      <c r="G1608" s="1">
        <v>53</v>
      </c>
      <c r="H1608" s="11"/>
      <c r="I1608" s="11"/>
      <c r="J1608" s="11"/>
      <c r="K1608" s="1"/>
      <c r="L1608" s="2"/>
      <c r="M1608" s="2"/>
      <c r="N1608" s="2"/>
      <c r="O1608" s="2"/>
    </row>
    <row r="1609" spans="1:15" x14ac:dyDescent="0.2">
      <c r="A1609" s="17" t="s">
        <v>4956</v>
      </c>
      <c r="B1609" s="17" t="s">
        <v>4957</v>
      </c>
      <c r="C1609" s="17">
        <v>36</v>
      </c>
      <c r="D1609" s="11"/>
      <c r="E1609" s="1">
        <v>2150</v>
      </c>
      <c r="F1609" s="1">
        <v>2440</v>
      </c>
      <c r="G1609" s="1">
        <v>117</v>
      </c>
      <c r="H1609" s="11"/>
      <c r="I1609" s="11"/>
      <c r="J1609" s="11"/>
      <c r="K1609" s="1"/>
      <c r="L1609" s="2"/>
      <c r="M1609" s="2"/>
      <c r="N1609" s="2"/>
      <c r="O1609" s="2"/>
    </row>
    <row r="1610" spans="1:15" x14ac:dyDescent="0.2">
      <c r="A1610" s="17" t="s">
        <v>4958</v>
      </c>
      <c r="B1610" s="17" t="s">
        <v>4959</v>
      </c>
      <c r="C1610" s="17">
        <v>6</v>
      </c>
      <c r="D1610" s="11"/>
      <c r="E1610" s="1">
        <v>2150</v>
      </c>
      <c r="F1610" s="1">
        <v>2440</v>
      </c>
      <c r="G1610" s="1">
        <v>23</v>
      </c>
      <c r="H1610" s="11"/>
      <c r="I1610" s="11"/>
      <c r="J1610" s="11"/>
      <c r="K1610" s="1"/>
      <c r="L1610" s="2"/>
      <c r="M1610" s="2"/>
      <c r="N1610" s="2"/>
      <c r="O1610" s="2"/>
    </row>
    <row r="1611" spans="1:15" x14ac:dyDescent="0.2">
      <c r="A1611" s="17" t="s">
        <v>4960</v>
      </c>
      <c r="B1611" s="17" t="s">
        <v>4961</v>
      </c>
      <c r="C1611" s="17">
        <v>15</v>
      </c>
      <c r="D1611" s="11"/>
      <c r="E1611" s="1">
        <v>2150</v>
      </c>
      <c r="F1611" s="1">
        <v>2440</v>
      </c>
      <c r="G1611" s="1">
        <v>53</v>
      </c>
      <c r="H1611" s="11"/>
      <c r="I1611" s="11"/>
      <c r="J1611" s="11"/>
      <c r="K1611" s="1"/>
      <c r="L1611" s="2"/>
      <c r="M1611" s="2"/>
      <c r="N1611" s="2"/>
      <c r="O1611" s="2"/>
    </row>
    <row r="1612" spans="1:15" x14ac:dyDescent="0.2">
      <c r="A1612" s="17" t="s">
        <v>4962</v>
      </c>
      <c r="B1612" s="17" t="s">
        <v>4963</v>
      </c>
      <c r="C1612" s="17">
        <v>18</v>
      </c>
      <c r="D1612" s="11"/>
      <c r="E1612" s="1">
        <v>2150</v>
      </c>
      <c r="F1612" s="1">
        <v>2440</v>
      </c>
      <c r="G1612" s="1">
        <v>61</v>
      </c>
      <c r="H1612" s="11"/>
      <c r="I1612" s="11"/>
      <c r="J1612" s="11"/>
      <c r="K1612" s="1"/>
      <c r="L1612" s="2"/>
      <c r="M1612" s="2"/>
      <c r="N1612" s="2"/>
      <c r="O1612" s="2"/>
    </row>
    <row r="1613" spans="1:15" x14ac:dyDescent="0.2">
      <c r="A1613" s="17" t="s">
        <v>4964</v>
      </c>
      <c r="B1613" s="17" t="s">
        <v>4965</v>
      </c>
      <c r="C1613" s="17">
        <v>18</v>
      </c>
      <c r="D1613" s="11"/>
      <c r="E1613" s="1">
        <v>2150</v>
      </c>
      <c r="F1613" s="1">
        <v>2440</v>
      </c>
      <c r="G1613" s="1">
        <v>61</v>
      </c>
      <c r="H1613" s="11"/>
      <c r="I1613" s="11"/>
      <c r="J1613" s="11"/>
      <c r="K1613" s="1"/>
      <c r="L1613" s="2"/>
      <c r="M1613" s="2"/>
      <c r="N1613" s="2"/>
      <c r="O1613" s="2"/>
    </row>
    <row r="1614" spans="1:15" x14ac:dyDescent="0.2">
      <c r="A1614" s="17" t="s">
        <v>4966</v>
      </c>
      <c r="B1614" s="17" t="s">
        <v>4967</v>
      </c>
      <c r="C1614" s="17">
        <v>12</v>
      </c>
      <c r="D1614" s="11"/>
      <c r="E1614" s="1">
        <v>2150</v>
      </c>
      <c r="F1614" s="1">
        <v>2440</v>
      </c>
      <c r="G1614" s="1"/>
      <c r="H1614" s="11"/>
      <c r="I1614" s="11"/>
      <c r="J1614" s="11"/>
      <c r="K1614" s="1"/>
      <c r="L1614" s="2"/>
      <c r="M1614" s="2"/>
      <c r="N1614" s="2"/>
      <c r="O1614" s="2"/>
    </row>
    <row r="1615" spans="1:15" x14ac:dyDescent="0.2">
      <c r="A1615" s="17" t="s">
        <v>4968</v>
      </c>
      <c r="B1615" s="17" t="s">
        <v>4969</v>
      </c>
      <c r="C1615" s="17">
        <v>36</v>
      </c>
      <c r="D1615" s="11"/>
      <c r="E1615" s="1">
        <v>2150</v>
      </c>
      <c r="F1615" s="1">
        <v>2440</v>
      </c>
      <c r="G1615" s="1">
        <v>117</v>
      </c>
      <c r="H1615" s="11"/>
      <c r="I1615" s="11"/>
      <c r="J1615" s="11"/>
      <c r="K1615" s="1"/>
      <c r="L1615" s="2"/>
      <c r="M1615" s="2"/>
      <c r="N1615" s="2"/>
      <c r="O1615" s="2"/>
    </row>
    <row r="1616" spans="1:15" x14ac:dyDescent="0.2">
      <c r="A1616" s="17" t="s">
        <v>4970</v>
      </c>
      <c r="B1616" s="17" t="s">
        <v>4971</v>
      </c>
      <c r="C1616" s="17">
        <v>6</v>
      </c>
      <c r="D1616" s="11"/>
      <c r="E1616" s="1">
        <v>2150</v>
      </c>
      <c r="F1616" s="1">
        <v>2440</v>
      </c>
      <c r="G1616" s="1">
        <v>23</v>
      </c>
      <c r="H1616" s="11"/>
      <c r="I1616" s="11"/>
      <c r="J1616" s="11"/>
      <c r="K1616" s="1"/>
      <c r="L1616" s="2"/>
      <c r="M1616" s="2"/>
      <c r="N1616" s="2"/>
      <c r="O1616" s="2"/>
    </row>
    <row r="1617" spans="1:15" x14ac:dyDescent="0.2">
      <c r="A1617" s="17" t="s">
        <v>4972</v>
      </c>
      <c r="B1617" s="17" t="s">
        <v>4973</v>
      </c>
      <c r="C1617" s="17">
        <v>18</v>
      </c>
      <c r="D1617" s="11"/>
      <c r="E1617" s="1">
        <v>2150</v>
      </c>
      <c r="F1617" s="1">
        <v>2440</v>
      </c>
      <c r="G1617" s="1">
        <v>61</v>
      </c>
      <c r="H1617" s="11"/>
      <c r="I1617" s="11"/>
      <c r="J1617" s="11"/>
      <c r="K1617" s="1"/>
      <c r="L1617" s="2"/>
      <c r="M1617" s="2"/>
      <c r="N1617" s="2"/>
      <c r="O1617" s="2"/>
    </row>
    <row r="1618" spans="1:15" x14ac:dyDescent="0.2">
      <c r="A1618" s="17" t="s">
        <v>4974</v>
      </c>
      <c r="B1618" s="17" t="s">
        <v>4975</v>
      </c>
      <c r="C1618" s="17">
        <v>6</v>
      </c>
      <c r="D1618" s="11"/>
      <c r="E1618" s="1">
        <v>2150</v>
      </c>
      <c r="F1618" s="1">
        <v>2440</v>
      </c>
      <c r="G1618" s="1">
        <v>23</v>
      </c>
      <c r="H1618" s="11"/>
      <c r="I1618" s="11"/>
      <c r="J1618" s="11"/>
      <c r="K1618" s="1"/>
      <c r="L1618" s="2"/>
      <c r="M1618" s="2"/>
      <c r="N1618" s="2"/>
      <c r="O1618" s="2"/>
    </row>
    <row r="1619" spans="1:15" x14ac:dyDescent="0.2">
      <c r="A1619" s="17" t="s">
        <v>4976</v>
      </c>
      <c r="B1619" s="17" t="s">
        <v>4977</v>
      </c>
      <c r="C1619" s="17">
        <v>18</v>
      </c>
      <c r="D1619" s="11"/>
      <c r="E1619" s="1">
        <v>2150</v>
      </c>
      <c r="F1619" s="1">
        <v>2440</v>
      </c>
      <c r="G1619" s="1">
        <v>61</v>
      </c>
      <c r="H1619" s="11"/>
      <c r="I1619" s="11"/>
      <c r="J1619" s="11"/>
      <c r="K1619" s="1"/>
      <c r="L1619" s="2"/>
      <c r="M1619" s="2"/>
      <c r="N1619" s="2"/>
      <c r="O1619" s="2"/>
    </row>
    <row r="1620" spans="1:15" x14ac:dyDescent="0.2">
      <c r="A1620" s="17" t="s">
        <v>4978</v>
      </c>
      <c r="B1620" s="17" t="s">
        <v>4979</v>
      </c>
      <c r="C1620" s="17">
        <v>36</v>
      </c>
      <c r="D1620" s="11"/>
      <c r="E1620" s="1">
        <v>2150</v>
      </c>
      <c r="F1620" s="1">
        <v>2440</v>
      </c>
      <c r="G1620" s="1">
        <v>117</v>
      </c>
      <c r="H1620" s="11"/>
      <c r="I1620" s="11"/>
      <c r="J1620" s="11"/>
      <c r="K1620" s="1"/>
      <c r="L1620" s="2"/>
      <c r="M1620" s="2"/>
      <c r="N1620" s="2"/>
      <c r="O1620" s="2"/>
    </row>
    <row r="1621" spans="1:15" x14ac:dyDescent="0.2">
      <c r="A1621" s="17" t="s">
        <v>4980</v>
      </c>
      <c r="B1621" s="17" t="s">
        <v>4981</v>
      </c>
      <c r="C1621" s="17">
        <v>36</v>
      </c>
      <c r="D1621" s="11"/>
      <c r="E1621" s="1">
        <v>2150</v>
      </c>
      <c r="F1621" s="1">
        <v>2440</v>
      </c>
      <c r="G1621" s="1">
        <v>117</v>
      </c>
      <c r="H1621" s="11"/>
      <c r="I1621" s="11"/>
      <c r="J1621" s="11"/>
      <c r="K1621" s="1"/>
      <c r="L1621" s="2"/>
      <c r="M1621" s="2"/>
      <c r="N1621" s="2"/>
      <c r="O1621" s="2"/>
    </row>
    <row r="1622" spans="1:15" x14ac:dyDescent="0.2">
      <c r="A1622" s="17" t="s">
        <v>4982</v>
      </c>
      <c r="B1622" s="17" t="s">
        <v>4983</v>
      </c>
      <c r="C1622" s="17">
        <v>18</v>
      </c>
      <c r="D1622" s="11"/>
      <c r="E1622" s="1">
        <v>2150</v>
      </c>
      <c r="F1622" s="1">
        <v>2440</v>
      </c>
      <c r="G1622" s="1">
        <v>61</v>
      </c>
      <c r="H1622" s="11"/>
      <c r="I1622" s="11"/>
      <c r="J1622" s="11"/>
      <c r="K1622" s="1"/>
      <c r="L1622" s="2"/>
      <c r="M1622" s="2"/>
      <c r="N1622" s="2"/>
      <c r="O1622" s="2"/>
    </row>
    <row r="1623" spans="1:15" x14ac:dyDescent="0.2">
      <c r="A1623" s="17" t="s">
        <v>4984</v>
      </c>
      <c r="B1623" s="17" t="s">
        <v>4985</v>
      </c>
      <c r="C1623" s="17">
        <v>36</v>
      </c>
      <c r="D1623" s="11"/>
      <c r="E1623" s="1">
        <v>2150</v>
      </c>
      <c r="F1623" s="1">
        <v>2440</v>
      </c>
      <c r="G1623" s="1">
        <v>117</v>
      </c>
      <c r="H1623" s="11"/>
      <c r="I1623" s="11"/>
      <c r="J1623" s="11"/>
      <c r="K1623" s="1"/>
      <c r="L1623" s="2"/>
      <c r="M1623" s="2"/>
      <c r="N1623" s="2"/>
      <c r="O1623" s="2"/>
    </row>
    <row r="1624" spans="1:15" x14ac:dyDescent="0.2">
      <c r="A1624" s="17" t="s">
        <v>4986</v>
      </c>
      <c r="B1624" s="17" t="s">
        <v>4987</v>
      </c>
      <c r="C1624" s="17">
        <v>6</v>
      </c>
      <c r="D1624" s="11"/>
      <c r="E1624" s="1">
        <v>2150</v>
      </c>
      <c r="F1624" s="1">
        <v>2440</v>
      </c>
      <c r="G1624" s="1">
        <v>23</v>
      </c>
      <c r="H1624" s="11"/>
      <c r="I1624" s="11"/>
      <c r="J1624" s="11"/>
      <c r="K1624" s="1"/>
      <c r="L1624" s="2"/>
      <c r="M1624" s="2"/>
      <c r="N1624" s="2"/>
      <c r="O1624" s="2"/>
    </row>
    <row r="1625" spans="1:15" x14ac:dyDescent="0.2">
      <c r="A1625" s="17" t="s">
        <v>4988</v>
      </c>
      <c r="B1625" s="17" t="s">
        <v>4989</v>
      </c>
      <c r="C1625" s="17">
        <v>18</v>
      </c>
      <c r="D1625" s="11"/>
      <c r="E1625" s="1">
        <v>2150</v>
      </c>
      <c r="F1625" s="1">
        <v>2440</v>
      </c>
      <c r="G1625" s="1">
        <v>61</v>
      </c>
      <c r="H1625" s="11"/>
      <c r="I1625" s="11"/>
      <c r="J1625" s="11"/>
      <c r="K1625" s="1"/>
      <c r="L1625" s="2"/>
      <c r="M1625" s="2"/>
      <c r="N1625" s="2"/>
      <c r="O1625" s="2"/>
    </row>
    <row r="1626" spans="1:15" x14ac:dyDescent="0.2">
      <c r="A1626" s="17" t="s">
        <v>4990</v>
      </c>
      <c r="B1626" s="17" t="s">
        <v>4991</v>
      </c>
      <c r="C1626" s="17">
        <v>36</v>
      </c>
      <c r="D1626" s="11"/>
      <c r="E1626" s="1">
        <v>2150</v>
      </c>
      <c r="F1626" s="1">
        <v>2440</v>
      </c>
      <c r="G1626" s="1">
        <v>117</v>
      </c>
      <c r="H1626" s="11"/>
      <c r="I1626" s="11"/>
      <c r="J1626" s="11"/>
      <c r="K1626" s="1"/>
      <c r="L1626" s="2"/>
      <c r="M1626" s="2"/>
      <c r="N1626" s="2"/>
      <c r="O1626" s="2"/>
    </row>
    <row r="1627" spans="1:15" x14ac:dyDescent="0.2">
      <c r="A1627" s="17" t="s">
        <v>4992</v>
      </c>
      <c r="B1627" s="17" t="s">
        <v>4993</v>
      </c>
      <c r="C1627" s="17">
        <v>15</v>
      </c>
      <c r="D1627" s="11"/>
      <c r="E1627" s="1">
        <v>2150</v>
      </c>
      <c r="F1627" s="1">
        <v>2440</v>
      </c>
      <c r="G1627" s="1">
        <v>53</v>
      </c>
      <c r="H1627" s="11"/>
      <c r="I1627" s="11"/>
      <c r="J1627" s="11"/>
      <c r="K1627" s="1"/>
      <c r="L1627" s="2"/>
      <c r="M1627" s="2"/>
      <c r="N1627" s="2"/>
      <c r="O1627" s="2"/>
    </row>
    <row r="1628" spans="1:15" x14ac:dyDescent="0.2">
      <c r="A1628" s="17" t="s">
        <v>4994</v>
      </c>
      <c r="B1628" s="17" t="s">
        <v>4995</v>
      </c>
      <c r="C1628" s="17">
        <v>18</v>
      </c>
      <c r="D1628" s="11"/>
      <c r="E1628" s="1">
        <v>2150</v>
      </c>
      <c r="F1628" s="1">
        <v>2440</v>
      </c>
      <c r="G1628" s="1">
        <v>61</v>
      </c>
      <c r="H1628" s="11"/>
      <c r="I1628" s="11"/>
      <c r="J1628" s="11"/>
      <c r="K1628" s="1"/>
      <c r="L1628" s="2"/>
      <c r="M1628" s="2"/>
      <c r="N1628" s="2"/>
      <c r="O1628" s="2"/>
    </row>
    <row r="1629" spans="1:15" x14ac:dyDescent="0.2">
      <c r="A1629" s="17" t="s">
        <v>4996</v>
      </c>
      <c r="B1629" s="17" t="s">
        <v>4997</v>
      </c>
      <c r="C1629" s="17">
        <v>36</v>
      </c>
      <c r="D1629" s="11"/>
      <c r="E1629" s="1">
        <v>2150</v>
      </c>
      <c r="F1629" s="1">
        <v>2440</v>
      </c>
      <c r="G1629" s="1">
        <v>117</v>
      </c>
      <c r="H1629" s="11"/>
      <c r="I1629" s="11"/>
      <c r="J1629" s="11"/>
      <c r="K1629" s="1"/>
      <c r="L1629" s="2"/>
      <c r="M1629" s="2"/>
      <c r="N1629" s="2"/>
      <c r="O1629" s="2"/>
    </row>
    <row r="1630" spans="1:15" x14ac:dyDescent="0.2">
      <c r="A1630" s="17" t="s">
        <v>4998</v>
      </c>
      <c r="B1630" s="17" t="s">
        <v>4999</v>
      </c>
      <c r="C1630" s="17">
        <v>36</v>
      </c>
      <c r="D1630" s="11"/>
      <c r="E1630" s="1">
        <v>2150</v>
      </c>
      <c r="F1630" s="1">
        <v>2440</v>
      </c>
      <c r="G1630" s="1">
        <v>117</v>
      </c>
      <c r="H1630" s="11"/>
      <c r="I1630" s="11"/>
      <c r="J1630" s="11"/>
      <c r="K1630" s="1"/>
      <c r="L1630" s="2"/>
      <c r="M1630" s="2"/>
      <c r="N1630" s="2"/>
      <c r="O1630" s="2"/>
    </row>
    <row r="1631" spans="1:15" x14ac:dyDescent="0.2">
      <c r="A1631" s="17" t="s">
        <v>5000</v>
      </c>
      <c r="B1631" s="17" t="s">
        <v>5001</v>
      </c>
      <c r="C1631" s="17">
        <v>18</v>
      </c>
      <c r="D1631" s="11"/>
      <c r="E1631" s="1">
        <v>2150</v>
      </c>
      <c r="F1631" s="1">
        <v>2440</v>
      </c>
      <c r="G1631" s="1">
        <v>61</v>
      </c>
      <c r="H1631" s="11"/>
      <c r="I1631" s="11"/>
      <c r="J1631" s="11"/>
      <c r="K1631" s="1"/>
      <c r="L1631" s="2"/>
      <c r="M1631" s="2"/>
      <c r="N1631" s="2"/>
      <c r="O1631" s="2"/>
    </row>
    <row r="1632" spans="1:15" x14ac:dyDescent="0.2">
      <c r="A1632" s="17" t="s">
        <v>5002</v>
      </c>
      <c r="B1632" s="17" t="s">
        <v>5003</v>
      </c>
      <c r="C1632" s="17">
        <v>36</v>
      </c>
      <c r="D1632" s="11"/>
      <c r="E1632" s="1">
        <v>2150</v>
      </c>
      <c r="F1632" s="1">
        <v>2440</v>
      </c>
      <c r="G1632" s="1">
        <v>117</v>
      </c>
      <c r="H1632" s="11"/>
      <c r="I1632" s="11"/>
      <c r="J1632" s="11"/>
      <c r="K1632" s="1"/>
      <c r="L1632" s="2"/>
      <c r="M1632" s="2"/>
      <c r="N1632" s="2"/>
      <c r="O1632" s="2"/>
    </row>
    <row r="1633" spans="1:15" x14ac:dyDescent="0.2">
      <c r="A1633" s="17" t="s">
        <v>5004</v>
      </c>
      <c r="B1633" s="17" t="s">
        <v>5005</v>
      </c>
      <c r="C1633" s="17">
        <v>15</v>
      </c>
      <c r="D1633" s="11"/>
      <c r="E1633" s="1">
        <v>2150</v>
      </c>
      <c r="F1633" s="1">
        <v>2440</v>
      </c>
      <c r="G1633" s="1">
        <v>53</v>
      </c>
      <c r="H1633" s="11"/>
      <c r="I1633" s="11"/>
      <c r="J1633" s="11"/>
      <c r="K1633" s="1"/>
      <c r="L1633" s="2"/>
      <c r="M1633" s="2"/>
      <c r="N1633" s="2"/>
      <c r="O1633" s="2"/>
    </row>
    <row r="1634" spans="1:15" x14ac:dyDescent="0.2">
      <c r="A1634" s="17" t="s">
        <v>5006</v>
      </c>
      <c r="B1634" s="17" t="s">
        <v>5007</v>
      </c>
      <c r="C1634" s="17">
        <v>18</v>
      </c>
      <c r="D1634" s="11"/>
      <c r="E1634" s="1">
        <v>2150</v>
      </c>
      <c r="F1634" s="1">
        <v>2440</v>
      </c>
      <c r="G1634" s="1">
        <v>61</v>
      </c>
      <c r="H1634" s="11"/>
      <c r="I1634" s="11"/>
      <c r="J1634" s="11"/>
      <c r="K1634" s="1"/>
      <c r="L1634" s="2"/>
      <c r="M1634" s="2"/>
      <c r="N1634" s="2"/>
      <c r="O1634" s="2"/>
    </row>
    <row r="1635" spans="1:15" x14ac:dyDescent="0.2">
      <c r="A1635" s="17" t="s">
        <v>5008</v>
      </c>
      <c r="B1635" s="17" t="s">
        <v>5009</v>
      </c>
      <c r="C1635" s="17">
        <v>6</v>
      </c>
      <c r="D1635" s="11"/>
      <c r="E1635" s="1">
        <v>2150</v>
      </c>
      <c r="F1635" s="1">
        <v>2440</v>
      </c>
      <c r="G1635" s="1">
        <v>23</v>
      </c>
      <c r="H1635" s="11"/>
      <c r="I1635" s="11"/>
      <c r="J1635" s="11"/>
      <c r="K1635" s="1"/>
      <c r="L1635" s="2"/>
      <c r="M1635" s="2"/>
      <c r="N1635" s="2"/>
      <c r="O1635" s="2"/>
    </row>
    <row r="1636" spans="1:15" x14ac:dyDescent="0.2">
      <c r="A1636" s="17" t="s">
        <v>5010</v>
      </c>
      <c r="B1636" s="17" t="s">
        <v>5011</v>
      </c>
      <c r="C1636" s="17">
        <v>36</v>
      </c>
      <c r="D1636" s="11"/>
      <c r="E1636" s="1">
        <v>2150</v>
      </c>
      <c r="F1636" s="1">
        <v>2440</v>
      </c>
      <c r="G1636" s="1">
        <v>117</v>
      </c>
      <c r="H1636" s="11"/>
      <c r="I1636" s="11"/>
      <c r="J1636" s="11"/>
      <c r="K1636" s="1"/>
      <c r="L1636" s="2"/>
      <c r="M1636" s="2"/>
      <c r="N1636" s="2"/>
      <c r="O1636" s="2"/>
    </row>
    <row r="1637" spans="1:15" x14ac:dyDescent="0.2">
      <c r="A1637" s="17" t="s">
        <v>5012</v>
      </c>
      <c r="B1637" s="17" t="s">
        <v>5013</v>
      </c>
      <c r="C1637" s="17">
        <v>36</v>
      </c>
      <c r="D1637" s="11"/>
      <c r="E1637" s="1">
        <v>2150</v>
      </c>
      <c r="F1637" s="1">
        <v>2440</v>
      </c>
      <c r="G1637" s="1">
        <v>117</v>
      </c>
      <c r="H1637" s="11"/>
      <c r="I1637" s="11"/>
      <c r="J1637" s="11"/>
      <c r="K1637" s="1"/>
      <c r="L1637" s="2"/>
      <c r="M1637" s="2"/>
      <c r="N1637" s="2"/>
      <c r="O1637" s="2"/>
    </row>
    <row r="1638" spans="1:15" x14ac:dyDescent="0.2">
      <c r="A1638" s="17" t="s">
        <v>5014</v>
      </c>
      <c r="B1638" s="17" t="s">
        <v>5015</v>
      </c>
      <c r="C1638" s="17">
        <v>15</v>
      </c>
      <c r="D1638" s="11"/>
      <c r="E1638" s="1">
        <v>2150</v>
      </c>
      <c r="F1638" s="1">
        <v>2440</v>
      </c>
      <c r="G1638" s="1">
        <v>53</v>
      </c>
      <c r="H1638" s="11"/>
      <c r="I1638" s="11"/>
      <c r="J1638" s="11"/>
      <c r="K1638" s="1"/>
      <c r="L1638" s="2"/>
      <c r="M1638" s="2"/>
      <c r="N1638" s="2"/>
      <c r="O1638" s="2"/>
    </row>
    <row r="1639" spans="1:15" x14ac:dyDescent="0.2">
      <c r="A1639" s="17" t="s">
        <v>5016</v>
      </c>
      <c r="B1639" s="17" t="s">
        <v>5017</v>
      </c>
      <c r="C1639" s="17">
        <v>18</v>
      </c>
      <c r="D1639" s="11"/>
      <c r="E1639" s="1">
        <v>2150</v>
      </c>
      <c r="F1639" s="1">
        <v>2440</v>
      </c>
      <c r="G1639" s="1">
        <v>61</v>
      </c>
      <c r="H1639" s="11"/>
      <c r="I1639" s="11"/>
      <c r="J1639" s="11"/>
      <c r="K1639" s="1"/>
      <c r="L1639" s="2"/>
      <c r="M1639" s="2"/>
      <c r="N1639" s="2"/>
      <c r="O1639" s="2"/>
    </row>
    <row r="1640" spans="1:15" x14ac:dyDescent="0.2">
      <c r="A1640" s="17" t="s">
        <v>5018</v>
      </c>
      <c r="B1640" s="17" t="s">
        <v>5019</v>
      </c>
      <c r="C1640" s="17">
        <v>18</v>
      </c>
      <c r="D1640" s="11"/>
      <c r="E1640" s="1">
        <v>2150</v>
      </c>
      <c r="F1640" s="1">
        <v>2440</v>
      </c>
      <c r="G1640" s="1">
        <v>61</v>
      </c>
      <c r="H1640" s="11"/>
      <c r="I1640" s="11"/>
      <c r="J1640" s="11"/>
      <c r="K1640" s="1"/>
      <c r="L1640" s="2"/>
      <c r="M1640" s="2"/>
      <c r="N1640" s="2"/>
      <c r="O1640" s="2"/>
    </row>
    <row r="1641" spans="1:15" x14ac:dyDescent="0.2">
      <c r="A1641" s="17" t="s">
        <v>5020</v>
      </c>
      <c r="B1641" s="17" t="s">
        <v>5021</v>
      </c>
      <c r="C1641" s="17">
        <v>36</v>
      </c>
      <c r="D1641" s="11"/>
      <c r="E1641" s="1">
        <v>2150</v>
      </c>
      <c r="F1641" s="1">
        <v>2440</v>
      </c>
      <c r="G1641" s="1">
        <v>117</v>
      </c>
      <c r="H1641" s="11"/>
      <c r="I1641" s="11"/>
      <c r="J1641" s="11"/>
      <c r="K1641" s="1"/>
      <c r="L1641" s="2"/>
      <c r="M1641" s="2"/>
      <c r="N1641" s="2"/>
      <c r="O1641" s="2"/>
    </row>
    <row r="1642" spans="1:15" x14ac:dyDescent="0.2">
      <c r="A1642" s="17" t="s">
        <v>5022</v>
      </c>
      <c r="B1642" s="17" t="s">
        <v>5023</v>
      </c>
      <c r="C1642" s="17">
        <v>9</v>
      </c>
      <c r="D1642" s="11"/>
      <c r="E1642" s="1">
        <v>2150</v>
      </c>
      <c r="F1642" s="1">
        <v>2440</v>
      </c>
      <c r="G1642" s="1"/>
      <c r="H1642" s="11"/>
      <c r="I1642" s="11"/>
      <c r="J1642" s="11"/>
      <c r="K1642" s="1"/>
      <c r="L1642" s="2"/>
      <c r="M1642" s="2"/>
      <c r="N1642" s="2"/>
      <c r="O1642" s="2"/>
    </row>
    <row r="1643" spans="1:15" x14ac:dyDescent="0.2">
      <c r="A1643" s="17" t="s">
        <v>5024</v>
      </c>
      <c r="B1643" s="17" t="s">
        <v>5025</v>
      </c>
      <c r="C1643" s="17">
        <v>36</v>
      </c>
      <c r="D1643" s="11"/>
      <c r="E1643" s="1">
        <v>2150</v>
      </c>
      <c r="F1643" s="1">
        <v>2440</v>
      </c>
      <c r="G1643" s="1">
        <v>117</v>
      </c>
      <c r="H1643" s="11"/>
      <c r="I1643" s="11"/>
      <c r="J1643" s="11"/>
      <c r="K1643" s="1"/>
      <c r="L1643" s="2"/>
      <c r="M1643" s="2"/>
      <c r="N1643" s="2"/>
      <c r="O1643" s="2"/>
    </row>
    <row r="1644" spans="1:15" x14ac:dyDescent="0.2">
      <c r="A1644" s="17" t="s">
        <v>5026</v>
      </c>
      <c r="B1644" s="17" t="s">
        <v>5027</v>
      </c>
      <c r="C1644" s="17">
        <v>6</v>
      </c>
      <c r="D1644" s="11"/>
      <c r="E1644" s="1">
        <v>2150</v>
      </c>
      <c r="F1644" s="1">
        <v>2440</v>
      </c>
      <c r="G1644" s="1">
        <v>23</v>
      </c>
      <c r="H1644" s="11"/>
      <c r="I1644" s="11"/>
      <c r="J1644" s="11"/>
      <c r="K1644" s="1"/>
      <c r="L1644" s="2"/>
      <c r="M1644" s="2"/>
      <c r="N1644" s="2"/>
      <c r="O1644" s="2"/>
    </row>
    <row r="1645" spans="1:15" x14ac:dyDescent="0.2">
      <c r="A1645" s="17" t="s">
        <v>5028</v>
      </c>
      <c r="B1645" s="17" t="s">
        <v>5029</v>
      </c>
      <c r="C1645" s="17">
        <v>36</v>
      </c>
      <c r="D1645" s="11"/>
      <c r="E1645" s="1">
        <v>2150</v>
      </c>
      <c r="F1645" s="1">
        <v>2440</v>
      </c>
      <c r="G1645" s="1">
        <v>117</v>
      </c>
      <c r="H1645" s="11"/>
      <c r="I1645" s="11"/>
      <c r="J1645" s="11"/>
      <c r="K1645" s="1"/>
      <c r="L1645" s="2"/>
      <c r="M1645" s="2"/>
      <c r="N1645" s="2"/>
      <c r="O1645" s="2"/>
    </row>
    <row r="1646" spans="1:15" x14ac:dyDescent="0.2">
      <c r="A1646" s="17" t="s">
        <v>5030</v>
      </c>
      <c r="B1646" s="17" t="s">
        <v>5031</v>
      </c>
      <c r="C1646" s="17">
        <v>36</v>
      </c>
      <c r="D1646" s="11"/>
      <c r="E1646" s="1">
        <v>2150</v>
      </c>
      <c r="F1646" s="1">
        <v>2440</v>
      </c>
      <c r="G1646" s="1">
        <v>117</v>
      </c>
      <c r="H1646" s="11"/>
      <c r="I1646" s="11"/>
      <c r="J1646" s="11"/>
      <c r="K1646" s="1"/>
      <c r="L1646" s="2"/>
      <c r="M1646" s="2"/>
      <c r="N1646" s="2"/>
      <c r="O1646" s="2"/>
    </row>
    <row r="1647" spans="1:15" x14ac:dyDescent="0.2">
      <c r="A1647" s="17" t="s">
        <v>5032</v>
      </c>
      <c r="B1647" s="17" t="s">
        <v>5033</v>
      </c>
      <c r="C1647" s="17">
        <v>9</v>
      </c>
      <c r="D1647" s="11"/>
      <c r="E1647" s="1">
        <v>2150</v>
      </c>
      <c r="F1647" s="1">
        <v>2440</v>
      </c>
      <c r="G1647" s="1"/>
      <c r="H1647" s="11"/>
      <c r="I1647" s="11"/>
      <c r="J1647" s="11"/>
      <c r="K1647" s="1"/>
      <c r="L1647" s="2"/>
      <c r="M1647" s="2"/>
      <c r="N1647" s="2"/>
      <c r="O1647" s="2"/>
    </row>
    <row r="1648" spans="1:15" x14ac:dyDescent="0.2">
      <c r="A1648" s="17" t="s">
        <v>5034</v>
      </c>
      <c r="B1648" s="17" t="s">
        <v>5035</v>
      </c>
      <c r="C1648" s="17">
        <v>18</v>
      </c>
      <c r="D1648" s="11"/>
      <c r="E1648" s="1">
        <v>2150</v>
      </c>
      <c r="F1648" s="1">
        <v>2440</v>
      </c>
      <c r="G1648" s="1">
        <v>61</v>
      </c>
      <c r="H1648" s="11"/>
      <c r="I1648" s="11"/>
      <c r="J1648" s="11"/>
      <c r="K1648" s="1"/>
      <c r="L1648" s="2"/>
      <c r="M1648" s="2"/>
      <c r="N1648" s="2"/>
      <c r="O1648" s="2"/>
    </row>
    <row r="1649" spans="1:15" x14ac:dyDescent="0.2">
      <c r="A1649" s="17" t="s">
        <v>5036</v>
      </c>
      <c r="B1649" s="17" t="s">
        <v>5037</v>
      </c>
      <c r="C1649" s="17">
        <v>15</v>
      </c>
      <c r="D1649" s="11"/>
      <c r="E1649" s="1">
        <v>2150</v>
      </c>
      <c r="F1649" s="1">
        <v>2440</v>
      </c>
      <c r="G1649" s="1">
        <v>53</v>
      </c>
      <c r="H1649" s="11"/>
      <c r="I1649" s="11"/>
      <c r="J1649" s="11"/>
      <c r="K1649" s="1"/>
      <c r="L1649" s="2"/>
      <c r="M1649" s="2"/>
      <c r="N1649" s="2"/>
      <c r="O1649" s="2"/>
    </row>
    <row r="1650" spans="1:15" x14ac:dyDescent="0.2">
      <c r="A1650" s="17" t="s">
        <v>5038</v>
      </c>
      <c r="B1650" s="17" t="s">
        <v>5039</v>
      </c>
      <c r="C1650" s="17">
        <v>6</v>
      </c>
      <c r="D1650" s="11"/>
      <c r="E1650" s="1">
        <v>2150</v>
      </c>
      <c r="F1650" s="1">
        <v>2440</v>
      </c>
      <c r="G1650" s="1">
        <v>23</v>
      </c>
      <c r="H1650" s="11"/>
      <c r="I1650" s="11"/>
      <c r="J1650" s="11"/>
      <c r="K1650" s="1"/>
      <c r="L1650" s="2"/>
      <c r="M1650" s="2"/>
      <c r="N1650" s="2"/>
      <c r="O1650" s="2"/>
    </row>
    <row r="1651" spans="1:15" x14ac:dyDescent="0.2">
      <c r="A1651" s="17" t="s">
        <v>5040</v>
      </c>
      <c r="B1651" s="17" t="s">
        <v>5041</v>
      </c>
      <c r="C1651" s="17">
        <v>36</v>
      </c>
      <c r="D1651" s="11"/>
      <c r="E1651" s="1">
        <v>2150</v>
      </c>
      <c r="F1651" s="1">
        <v>2440</v>
      </c>
      <c r="G1651" s="1">
        <v>117</v>
      </c>
      <c r="H1651" s="11"/>
      <c r="I1651" s="11"/>
      <c r="J1651" s="11"/>
      <c r="K1651" s="1"/>
      <c r="L1651" s="2"/>
      <c r="M1651" s="2"/>
      <c r="N1651" s="2"/>
      <c r="O1651" s="2"/>
    </row>
    <row r="1652" spans="1:15" x14ac:dyDescent="0.2">
      <c r="A1652" s="17" t="s">
        <v>5042</v>
      </c>
      <c r="B1652" s="17" t="s">
        <v>5043</v>
      </c>
      <c r="C1652" s="17">
        <v>36</v>
      </c>
      <c r="D1652" s="11"/>
      <c r="E1652" s="1">
        <v>2150</v>
      </c>
      <c r="F1652" s="1">
        <v>2440</v>
      </c>
      <c r="G1652" s="1">
        <v>117</v>
      </c>
      <c r="H1652" s="11"/>
      <c r="I1652" s="11"/>
      <c r="J1652" s="11"/>
      <c r="K1652" s="1"/>
      <c r="L1652" s="2"/>
      <c r="M1652" s="2"/>
      <c r="N1652" s="2"/>
      <c r="O1652" s="2"/>
    </row>
    <row r="1653" spans="1:15" x14ac:dyDescent="0.2">
      <c r="A1653" s="17" t="s">
        <v>5044</v>
      </c>
      <c r="B1653" s="17" t="s">
        <v>5045</v>
      </c>
      <c r="C1653" s="17">
        <v>36</v>
      </c>
      <c r="D1653" s="11"/>
      <c r="E1653" s="1">
        <v>2150</v>
      </c>
      <c r="F1653" s="1">
        <v>2440</v>
      </c>
      <c r="G1653" s="1">
        <v>117</v>
      </c>
      <c r="H1653" s="11"/>
      <c r="I1653" s="11"/>
      <c r="J1653" s="11"/>
      <c r="K1653" s="1"/>
      <c r="L1653" s="2"/>
      <c r="M1653" s="2"/>
      <c r="N1653" s="2"/>
      <c r="O1653" s="2"/>
    </row>
    <row r="1654" spans="1:15" x14ac:dyDescent="0.2">
      <c r="A1654" s="17" t="s">
        <v>5046</v>
      </c>
      <c r="B1654" s="17" t="s">
        <v>5047</v>
      </c>
      <c r="C1654" s="17">
        <v>6</v>
      </c>
      <c r="D1654" s="11"/>
      <c r="E1654" s="1">
        <v>2150</v>
      </c>
      <c r="F1654" s="1">
        <v>2440</v>
      </c>
      <c r="G1654" s="1">
        <v>23</v>
      </c>
      <c r="H1654" s="11"/>
      <c r="I1654" s="11"/>
      <c r="J1654" s="11"/>
      <c r="K1654" s="1"/>
      <c r="L1654" s="2"/>
      <c r="M1654" s="2"/>
      <c r="N1654" s="2"/>
      <c r="O1654" s="2"/>
    </row>
    <row r="1655" spans="1:15" x14ac:dyDescent="0.2">
      <c r="A1655" s="17" t="s">
        <v>5048</v>
      </c>
      <c r="B1655" s="17" t="s">
        <v>5049</v>
      </c>
      <c r="C1655" s="17">
        <v>9</v>
      </c>
      <c r="D1655" s="11"/>
      <c r="E1655" s="1">
        <v>2150</v>
      </c>
      <c r="F1655" s="1">
        <v>2440</v>
      </c>
      <c r="G1655" s="1"/>
      <c r="H1655" s="11"/>
      <c r="I1655" s="11"/>
      <c r="J1655" s="11"/>
      <c r="K1655" s="1"/>
      <c r="L1655" s="2"/>
      <c r="M1655" s="2"/>
      <c r="N1655" s="2"/>
      <c r="O1655" s="2"/>
    </row>
    <row r="1656" spans="1:15" x14ac:dyDescent="0.2">
      <c r="A1656" s="17" t="s">
        <v>5050</v>
      </c>
      <c r="B1656" s="17" t="s">
        <v>5051</v>
      </c>
      <c r="C1656" s="17">
        <v>15</v>
      </c>
      <c r="D1656" s="11"/>
      <c r="E1656" s="1">
        <v>2150</v>
      </c>
      <c r="F1656" s="1">
        <v>2440</v>
      </c>
      <c r="G1656" s="1">
        <v>53</v>
      </c>
      <c r="H1656" s="11"/>
      <c r="I1656" s="11"/>
      <c r="J1656" s="11"/>
      <c r="K1656" s="1"/>
      <c r="L1656" s="2"/>
      <c r="M1656" s="2"/>
      <c r="N1656" s="2"/>
      <c r="O1656" s="2"/>
    </row>
    <row r="1657" spans="1:15" x14ac:dyDescent="0.2">
      <c r="A1657" s="17" t="s">
        <v>5052</v>
      </c>
      <c r="B1657" s="17" t="s">
        <v>5053</v>
      </c>
      <c r="C1657" s="17">
        <v>18</v>
      </c>
      <c r="D1657" s="11"/>
      <c r="E1657" s="1">
        <v>2150</v>
      </c>
      <c r="F1657" s="1">
        <v>2440</v>
      </c>
      <c r="G1657" s="1">
        <v>61</v>
      </c>
      <c r="H1657" s="11"/>
      <c r="I1657" s="11"/>
      <c r="J1657" s="11"/>
      <c r="K1657" s="1"/>
      <c r="L1657" s="2"/>
      <c r="M1657" s="2"/>
      <c r="N1657" s="2"/>
      <c r="O1657" s="2"/>
    </row>
    <row r="1658" spans="1:15" x14ac:dyDescent="0.2">
      <c r="A1658" s="17" t="s">
        <v>5054</v>
      </c>
      <c r="B1658" s="17" t="s">
        <v>5055</v>
      </c>
      <c r="C1658" s="17">
        <v>36</v>
      </c>
      <c r="D1658" s="11"/>
      <c r="E1658" s="1">
        <v>2150</v>
      </c>
      <c r="F1658" s="1">
        <v>2440</v>
      </c>
      <c r="G1658" s="1">
        <v>117</v>
      </c>
      <c r="H1658" s="11"/>
      <c r="I1658" s="11"/>
      <c r="J1658" s="11"/>
      <c r="K1658" s="1"/>
      <c r="L1658" s="2"/>
      <c r="M1658" s="2"/>
      <c r="N1658" s="2"/>
      <c r="O1658" s="2"/>
    </row>
    <row r="1659" spans="1:15" x14ac:dyDescent="0.2">
      <c r="A1659" s="17" t="s">
        <v>5056</v>
      </c>
      <c r="B1659" s="17" t="s">
        <v>5057</v>
      </c>
      <c r="C1659" s="17">
        <v>6</v>
      </c>
      <c r="D1659" s="11"/>
      <c r="E1659" s="1">
        <v>2150</v>
      </c>
      <c r="F1659" s="1">
        <v>2440</v>
      </c>
      <c r="G1659" s="1">
        <v>23</v>
      </c>
      <c r="H1659" s="11"/>
      <c r="I1659" s="11"/>
      <c r="J1659" s="11"/>
      <c r="K1659" s="1"/>
      <c r="L1659" s="2"/>
      <c r="M1659" s="2"/>
      <c r="N1659" s="2"/>
      <c r="O1659" s="2"/>
    </row>
    <row r="1660" spans="1:15" x14ac:dyDescent="0.2">
      <c r="A1660" s="17" t="s">
        <v>5058</v>
      </c>
      <c r="B1660" s="17" t="s">
        <v>5059</v>
      </c>
      <c r="C1660" s="17">
        <v>15</v>
      </c>
      <c r="D1660" s="11"/>
      <c r="E1660" s="1">
        <v>2150</v>
      </c>
      <c r="F1660" s="1">
        <v>2440</v>
      </c>
      <c r="G1660" s="1">
        <v>53</v>
      </c>
      <c r="H1660" s="11"/>
      <c r="I1660" s="11"/>
      <c r="J1660" s="11"/>
      <c r="K1660" s="1"/>
      <c r="L1660" s="2"/>
      <c r="M1660" s="2"/>
      <c r="N1660" s="2"/>
      <c r="O1660" s="2"/>
    </row>
    <row r="1661" spans="1:15" x14ac:dyDescent="0.2">
      <c r="A1661" s="17" t="s">
        <v>5060</v>
      </c>
      <c r="B1661" s="17" t="s">
        <v>5061</v>
      </c>
      <c r="C1661" s="17">
        <v>18</v>
      </c>
      <c r="D1661" s="11"/>
      <c r="E1661" s="1">
        <v>2150</v>
      </c>
      <c r="F1661" s="1">
        <v>2440</v>
      </c>
      <c r="G1661" s="1">
        <v>61</v>
      </c>
      <c r="H1661" s="11"/>
      <c r="I1661" s="11"/>
      <c r="J1661" s="11"/>
      <c r="K1661" s="1"/>
      <c r="L1661" s="2"/>
      <c r="M1661" s="2"/>
      <c r="N1661" s="2"/>
      <c r="O1661" s="2"/>
    </row>
    <row r="1662" spans="1:15" x14ac:dyDescent="0.2">
      <c r="A1662" s="17" t="s">
        <v>5062</v>
      </c>
      <c r="B1662" s="17" t="s">
        <v>5063</v>
      </c>
      <c r="C1662" s="17">
        <v>9</v>
      </c>
      <c r="D1662" s="11"/>
      <c r="E1662" s="1">
        <v>2150</v>
      </c>
      <c r="F1662" s="1">
        <v>2440</v>
      </c>
      <c r="G1662" s="1"/>
      <c r="H1662" s="11"/>
      <c r="I1662" s="11"/>
      <c r="J1662" s="11"/>
      <c r="K1662" s="1"/>
      <c r="L1662" s="2"/>
      <c r="M1662" s="2"/>
      <c r="N1662" s="2"/>
      <c r="O1662" s="2"/>
    </row>
    <row r="1663" spans="1:15" x14ac:dyDescent="0.2">
      <c r="A1663" s="17" t="s">
        <v>5064</v>
      </c>
      <c r="B1663" s="17" t="s">
        <v>5065</v>
      </c>
      <c r="C1663" s="17">
        <v>9</v>
      </c>
      <c r="D1663" s="11"/>
      <c r="E1663" s="1">
        <v>2150</v>
      </c>
      <c r="F1663" s="1">
        <v>2440</v>
      </c>
      <c r="G1663" s="1"/>
      <c r="H1663" s="11"/>
      <c r="I1663" s="11"/>
      <c r="J1663" s="11"/>
      <c r="K1663" s="1"/>
      <c r="L1663" s="2"/>
      <c r="M1663" s="2"/>
      <c r="N1663" s="2"/>
      <c r="O1663" s="2"/>
    </row>
    <row r="1664" spans="1:15" x14ac:dyDescent="0.2">
      <c r="A1664" s="17" t="s">
        <v>5066</v>
      </c>
      <c r="B1664" s="17" t="s">
        <v>5067</v>
      </c>
      <c r="C1664" s="17">
        <v>15</v>
      </c>
      <c r="D1664" s="11"/>
      <c r="E1664" s="1">
        <v>2150</v>
      </c>
      <c r="F1664" s="1">
        <v>2440</v>
      </c>
      <c r="G1664" s="1">
        <v>53</v>
      </c>
      <c r="H1664" s="11"/>
      <c r="I1664" s="11"/>
      <c r="J1664" s="11"/>
      <c r="K1664" s="1"/>
      <c r="L1664" s="2"/>
      <c r="M1664" s="2"/>
      <c r="N1664" s="2"/>
      <c r="O1664" s="2"/>
    </row>
    <row r="1665" spans="1:15" x14ac:dyDescent="0.2">
      <c r="A1665" s="17" t="s">
        <v>5068</v>
      </c>
      <c r="B1665" s="17" t="s">
        <v>5069</v>
      </c>
      <c r="C1665" s="17">
        <v>18</v>
      </c>
      <c r="D1665" s="11"/>
      <c r="E1665" s="1">
        <v>2150</v>
      </c>
      <c r="F1665" s="1">
        <v>2440</v>
      </c>
      <c r="G1665" s="1">
        <v>61</v>
      </c>
      <c r="H1665" s="11"/>
      <c r="I1665" s="11"/>
      <c r="J1665" s="11"/>
      <c r="K1665" s="1"/>
      <c r="L1665" s="2"/>
      <c r="M1665" s="2"/>
      <c r="N1665" s="2"/>
      <c r="O1665" s="2"/>
    </row>
    <row r="1666" spans="1:15" x14ac:dyDescent="0.2">
      <c r="A1666" s="17" t="s">
        <v>5070</v>
      </c>
      <c r="B1666" s="17" t="s">
        <v>5071</v>
      </c>
      <c r="C1666" s="17">
        <v>15</v>
      </c>
      <c r="D1666" s="11"/>
      <c r="E1666" s="1">
        <v>2150</v>
      </c>
      <c r="F1666" s="1">
        <v>2440</v>
      </c>
      <c r="G1666" s="1">
        <v>53</v>
      </c>
      <c r="H1666" s="11"/>
      <c r="I1666" s="11"/>
      <c r="J1666" s="11"/>
      <c r="K1666" s="1"/>
      <c r="L1666" s="2"/>
      <c r="M1666" s="2"/>
      <c r="N1666" s="2"/>
      <c r="O1666" s="2"/>
    </row>
    <row r="1667" spans="1:15" x14ac:dyDescent="0.2">
      <c r="A1667" s="17" t="s">
        <v>5072</v>
      </c>
      <c r="B1667" s="17" t="s">
        <v>5073</v>
      </c>
      <c r="C1667" s="17">
        <v>15</v>
      </c>
      <c r="D1667" s="11"/>
      <c r="E1667" s="1">
        <v>2150</v>
      </c>
      <c r="F1667" s="1">
        <v>2440</v>
      </c>
      <c r="G1667" s="1">
        <v>53</v>
      </c>
      <c r="H1667" s="11"/>
      <c r="I1667" s="11"/>
      <c r="J1667" s="11"/>
      <c r="K1667" s="1"/>
      <c r="L1667" s="2"/>
      <c r="M1667" s="2"/>
      <c r="N1667" s="2"/>
      <c r="O1667" s="2"/>
    </row>
    <row r="1668" spans="1:15" x14ac:dyDescent="0.2">
      <c r="A1668" s="17" t="s">
        <v>5074</v>
      </c>
      <c r="B1668" s="17" t="s">
        <v>5075</v>
      </c>
      <c r="C1668" s="17">
        <v>6</v>
      </c>
      <c r="D1668" s="11"/>
      <c r="E1668" s="1">
        <v>2150</v>
      </c>
      <c r="F1668" s="1">
        <v>2440</v>
      </c>
      <c r="G1668" s="1">
        <v>23</v>
      </c>
      <c r="H1668" s="11"/>
      <c r="I1668" s="11"/>
      <c r="J1668" s="11"/>
      <c r="K1668" s="1"/>
      <c r="L1668" s="2"/>
      <c r="M1668" s="2"/>
      <c r="N1668" s="2"/>
      <c r="O1668" s="2"/>
    </row>
    <row r="1669" spans="1:15" x14ac:dyDescent="0.2">
      <c r="A1669" s="17" t="s">
        <v>5076</v>
      </c>
      <c r="B1669" s="17" t="s">
        <v>5077</v>
      </c>
      <c r="C1669" s="17">
        <v>18</v>
      </c>
      <c r="D1669" s="11"/>
      <c r="E1669" s="1">
        <v>2150</v>
      </c>
      <c r="F1669" s="1">
        <v>2440</v>
      </c>
      <c r="G1669" s="1">
        <v>61</v>
      </c>
      <c r="H1669" s="11"/>
      <c r="I1669" s="11"/>
      <c r="J1669" s="11"/>
      <c r="K1669" s="1"/>
      <c r="L1669" s="2"/>
      <c r="M1669" s="2"/>
      <c r="N1669" s="2"/>
      <c r="O1669" s="2"/>
    </row>
    <row r="1670" spans="1:15" x14ac:dyDescent="0.2">
      <c r="A1670" s="17" t="s">
        <v>5078</v>
      </c>
      <c r="B1670" s="17" t="s">
        <v>5079</v>
      </c>
      <c r="C1670" s="17">
        <v>36</v>
      </c>
      <c r="D1670" s="11"/>
      <c r="E1670" s="1">
        <v>2150</v>
      </c>
      <c r="F1670" s="1">
        <v>2440</v>
      </c>
      <c r="G1670" s="1">
        <v>117</v>
      </c>
      <c r="H1670" s="11"/>
      <c r="I1670" s="11"/>
      <c r="J1670" s="11"/>
      <c r="K1670" s="1"/>
      <c r="L1670" s="2"/>
      <c r="M1670" s="2"/>
      <c r="N1670" s="2"/>
      <c r="O1670" s="2"/>
    </row>
    <row r="1671" spans="1:15" x14ac:dyDescent="0.2">
      <c r="A1671" s="17" t="s">
        <v>5080</v>
      </c>
      <c r="B1671" s="17" t="s">
        <v>5081</v>
      </c>
      <c r="C1671" s="17">
        <v>18</v>
      </c>
      <c r="D1671" s="11"/>
      <c r="E1671" s="1">
        <v>2150</v>
      </c>
      <c r="F1671" s="1">
        <v>2440</v>
      </c>
      <c r="G1671" s="1">
        <v>61</v>
      </c>
      <c r="H1671" s="11"/>
      <c r="I1671" s="11"/>
      <c r="J1671" s="11"/>
      <c r="K1671" s="1"/>
      <c r="L1671" s="2"/>
      <c r="M1671" s="2"/>
      <c r="N1671" s="2"/>
      <c r="O1671" s="2"/>
    </row>
    <row r="1672" spans="1:15" x14ac:dyDescent="0.2">
      <c r="A1672" s="17" t="s">
        <v>5082</v>
      </c>
      <c r="B1672" s="17" t="s">
        <v>5083</v>
      </c>
      <c r="C1672" s="17">
        <v>15</v>
      </c>
      <c r="D1672" s="11"/>
      <c r="E1672" s="1">
        <v>2150</v>
      </c>
      <c r="F1672" s="1">
        <v>2440</v>
      </c>
      <c r="G1672" s="1">
        <v>53</v>
      </c>
      <c r="H1672" s="11"/>
      <c r="I1672" s="11"/>
      <c r="J1672" s="11"/>
      <c r="K1672" s="1"/>
      <c r="L1672" s="2"/>
      <c r="M1672" s="2"/>
      <c r="N1672" s="2"/>
      <c r="O1672" s="2"/>
    </row>
    <row r="1673" spans="1:15" x14ac:dyDescent="0.2">
      <c r="A1673" s="17" t="s">
        <v>5084</v>
      </c>
      <c r="B1673" s="17" t="s">
        <v>5085</v>
      </c>
      <c r="C1673" s="17">
        <v>6</v>
      </c>
      <c r="D1673" s="11"/>
      <c r="E1673" s="1">
        <v>2150</v>
      </c>
      <c r="F1673" s="1">
        <v>2440</v>
      </c>
      <c r="G1673" s="1">
        <v>23</v>
      </c>
      <c r="H1673" s="11"/>
      <c r="I1673" s="11"/>
      <c r="J1673" s="11"/>
      <c r="K1673" s="1"/>
      <c r="L1673" s="2"/>
      <c r="M1673" s="2"/>
      <c r="N1673" s="2"/>
      <c r="O1673" s="2"/>
    </row>
    <row r="1674" spans="1:15" x14ac:dyDescent="0.2">
      <c r="A1674" s="17" t="s">
        <v>5086</v>
      </c>
      <c r="B1674" s="17" t="s">
        <v>5087</v>
      </c>
      <c r="C1674" s="17">
        <v>36</v>
      </c>
      <c r="D1674" s="11"/>
      <c r="E1674" s="1">
        <v>2150</v>
      </c>
      <c r="F1674" s="1">
        <v>2440</v>
      </c>
      <c r="G1674" s="1">
        <v>117</v>
      </c>
      <c r="H1674" s="11"/>
      <c r="I1674" s="11"/>
      <c r="J1674" s="11"/>
      <c r="K1674" s="1"/>
      <c r="L1674" s="2"/>
      <c r="M1674" s="2"/>
      <c r="N1674" s="2"/>
      <c r="O1674" s="2"/>
    </row>
    <row r="1675" spans="1:15" x14ac:dyDescent="0.2">
      <c r="A1675" s="17" t="s">
        <v>5088</v>
      </c>
      <c r="B1675" s="17" t="s">
        <v>5089</v>
      </c>
      <c r="C1675" s="17">
        <v>5</v>
      </c>
      <c r="D1675" s="11"/>
      <c r="E1675" s="1">
        <v>1050</v>
      </c>
      <c r="F1675" s="1">
        <v>2440</v>
      </c>
      <c r="G1675" s="1"/>
      <c r="H1675" s="11"/>
      <c r="I1675" s="11"/>
      <c r="J1675" s="11"/>
      <c r="K1675" s="1"/>
      <c r="L1675" s="2"/>
      <c r="M1675" s="2"/>
      <c r="N1675" s="2"/>
      <c r="O1675" s="2"/>
    </row>
    <row r="1676" spans="1:15" x14ac:dyDescent="0.2">
      <c r="A1676" s="17" t="s">
        <v>5090</v>
      </c>
      <c r="B1676" s="17" t="s">
        <v>5091</v>
      </c>
      <c r="C1676" s="17">
        <v>5</v>
      </c>
      <c r="D1676" s="11"/>
      <c r="E1676" s="1">
        <v>1050</v>
      </c>
      <c r="F1676" s="1">
        <v>2440</v>
      </c>
      <c r="G1676" s="1"/>
      <c r="H1676" s="11"/>
      <c r="I1676" s="11"/>
      <c r="J1676" s="11"/>
      <c r="K1676" s="1"/>
      <c r="L1676" s="2"/>
      <c r="M1676" s="2"/>
      <c r="N1676" s="2"/>
      <c r="O1676" s="2"/>
    </row>
    <row r="1677" spans="1:15" x14ac:dyDescent="0.2">
      <c r="A1677" s="17" t="s">
        <v>5092</v>
      </c>
      <c r="B1677" s="17" t="s">
        <v>5093</v>
      </c>
      <c r="C1677" s="17">
        <v>9</v>
      </c>
      <c r="D1677" s="11"/>
      <c r="E1677" s="1">
        <v>1220</v>
      </c>
      <c r="F1677" s="1">
        <v>2440</v>
      </c>
      <c r="G1677" s="1"/>
      <c r="H1677" s="11"/>
      <c r="I1677" s="11"/>
      <c r="J1677" s="11"/>
      <c r="K1677" s="1"/>
      <c r="L1677" s="2"/>
      <c r="M1677" s="2"/>
      <c r="N1677" s="2"/>
      <c r="O1677" s="2"/>
    </row>
    <row r="1678" spans="1:15" x14ac:dyDescent="0.2">
      <c r="A1678" s="17" t="s">
        <v>5094</v>
      </c>
      <c r="B1678" s="17" t="s">
        <v>5095</v>
      </c>
      <c r="C1678" s="17">
        <v>9</v>
      </c>
      <c r="D1678" s="11"/>
      <c r="E1678" s="1">
        <v>1220</v>
      </c>
      <c r="F1678" s="1">
        <v>2440</v>
      </c>
      <c r="G1678" s="1"/>
      <c r="H1678" s="11"/>
      <c r="I1678" s="11"/>
      <c r="J1678" s="11"/>
      <c r="K1678" s="1"/>
      <c r="L1678" s="2"/>
      <c r="M1678" s="2"/>
      <c r="N1678" s="2"/>
      <c r="O1678" s="2"/>
    </row>
    <row r="1679" spans="1:15" x14ac:dyDescent="0.2">
      <c r="A1679" s="17" t="s">
        <v>5096</v>
      </c>
      <c r="B1679" s="17" t="s">
        <v>5097</v>
      </c>
      <c r="C1679" s="17">
        <v>15</v>
      </c>
      <c r="D1679" s="11"/>
      <c r="E1679" s="1">
        <v>2150</v>
      </c>
      <c r="F1679" s="1">
        <v>2440</v>
      </c>
      <c r="G1679" s="1">
        <v>53</v>
      </c>
      <c r="H1679" s="11"/>
      <c r="I1679" s="11"/>
      <c r="J1679" s="11"/>
      <c r="K1679" s="1"/>
      <c r="L1679" s="2"/>
      <c r="M1679" s="2"/>
      <c r="N1679" s="2"/>
      <c r="O1679" s="2"/>
    </row>
    <row r="1680" spans="1:15" x14ac:dyDescent="0.2">
      <c r="A1680" s="17" t="s">
        <v>5098</v>
      </c>
      <c r="B1680" s="17" t="s">
        <v>5099</v>
      </c>
      <c r="C1680" s="17">
        <v>9</v>
      </c>
      <c r="D1680" s="11"/>
      <c r="E1680" s="1">
        <v>1220</v>
      </c>
      <c r="F1680" s="1">
        <v>2440</v>
      </c>
      <c r="G1680" s="1"/>
      <c r="H1680" s="11"/>
      <c r="I1680" s="11"/>
      <c r="J1680" s="11"/>
      <c r="K1680" s="1"/>
      <c r="L1680" s="2"/>
      <c r="M1680" s="2"/>
      <c r="N1680" s="2"/>
      <c r="O1680" s="2"/>
    </row>
    <row r="1681" spans="1:15" x14ac:dyDescent="0.2">
      <c r="A1681" s="17" t="s">
        <v>5100</v>
      </c>
      <c r="B1681" s="17" t="s">
        <v>5101</v>
      </c>
      <c r="C1681" s="17">
        <v>9</v>
      </c>
      <c r="D1681" s="11"/>
      <c r="E1681" s="1">
        <v>1220</v>
      </c>
      <c r="F1681" s="1">
        <v>2440</v>
      </c>
      <c r="G1681" s="1"/>
      <c r="H1681" s="11"/>
      <c r="I1681" s="11"/>
      <c r="J1681" s="11"/>
      <c r="K1681" s="1"/>
      <c r="L1681" s="2"/>
      <c r="M1681" s="2"/>
      <c r="N1681" s="2"/>
      <c r="O1681" s="2"/>
    </row>
    <row r="1682" spans="1:15" x14ac:dyDescent="0.2">
      <c r="A1682" s="17" t="s">
        <v>5102</v>
      </c>
      <c r="B1682" s="17" t="s">
        <v>5103</v>
      </c>
      <c r="C1682" s="17">
        <v>15</v>
      </c>
      <c r="D1682" s="11"/>
      <c r="E1682" s="1">
        <v>1830</v>
      </c>
      <c r="F1682" s="1">
        <v>2440</v>
      </c>
      <c r="G1682" s="1">
        <v>41</v>
      </c>
      <c r="H1682" s="11"/>
      <c r="I1682" s="11"/>
      <c r="J1682" s="11"/>
      <c r="K1682" s="1"/>
      <c r="L1682" s="2"/>
      <c r="M1682" s="2"/>
      <c r="N1682" s="2"/>
      <c r="O1682" s="2"/>
    </row>
    <row r="1683" spans="1:15" x14ac:dyDescent="0.2">
      <c r="A1683" s="17" t="s">
        <v>5104</v>
      </c>
      <c r="B1683" s="17" t="s">
        <v>5105</v>
      </c>
      <c r="C1683" s="17">
        <v>15</v>
      </c>
      <c r="D1683" s="11"/>
      <c r="E1683" s="1">
        <v>2150</v>
      </c>
      <c r="F1683" s="1">
        <v>2440</v>
      </c>
      <c r="G1683" s="1">
        <v>53</v>
      </c>
      <c r="H1683" s="11"/>
      <c r="I1683" s="11"/>
      <c r="J1683" s="11"/>
      <c r="K1683" s="1"/>
      <c r="L1683" s="2"/>
      <c r="M1683" s="2"/>
      <c r="N1683" s="2"/>
      <c r="O1683" s="2"/>
    </row>
    <row r="1684" spans="1:15" x14ac:dyDescent="0.2">
      <c r="A1684" s="17" t="s">
        <v>5106</v>
      </c>
      <c r="B1684" s="17" t="s">
        <v>3504</v>
      </c>
      <c r="C1684" s="17">
        <v>15</v>
      </c>
      <c r="D1684" s="11"/>
      <c r="E1684" s="1">
        <v>2150</v>
      </c>
      <c r="F1684" s="1">
        <v>2440</v>
      </c>
      <c r="G1684" s="1">
        <v>53</v>
      </c>
      <c r="H1684" s="11"/>
      <c r="I1684" s="11"/>
      <c r="J1684" s="11"/>
      <c r="K1684" s="1"/>
      <c r="L1684" s="2"/>
      <c r="M1684" s="2"/>
      <c r="N1684" s="2"/>
      <c r="O1684" s="2"/>
    </row>
    <row r="1685" spans="1:15" x14ac:dyDescent="0.2">
      <c r="A1685" s="17" t="s">
        <v>5107</v>
      </c>
      <c r="B1685" s="17" t="s">
        <v>5108</v>
      </c>
      <c r="C1685" s="17">
        <v>15</v>
      </c>
      <c r="D1685" s="11"/>
      <c r="E1685" s="1">
        <v>2150</v>
      </c>
      <c r="F1685" s="1">
        <v>2440</v>
      </c>
      <c r="G1685" s="1">
        <v>53</v>
      </c>
      <c r="H1685" s="11"/>
      <c r="I1685" s="11"/>
      <c r="J1685" s="11"/>
      <c r="K1685" s="1"/>
      <c r="L1685" s="2"/>
      <c r="M1685" s="2"/>
      <c r="N1685" s="2"/>
      <c r="O1685" s="2"/>
    </row>
    <row r="1686" spans="1:15" x14ac:dyDescent="0.2">
      <c r="A1686" s="17" t="s">
        <v>5109</v>
      </c>
      <c r="B1686" s="17" t="s">
        <v>5110</v>
      </c>
      <c r="C1686" s="17">
        <v>15</v>
      </c>
      <c r="D1686" s="11"/>
      <c r="E1686" s="1">
        <v>2150</v>
      </c>
      <c r="F1686" s="1">
        <v>2440</v>
      </c>
      <c r="G1686" s="1">
        <v>53</v>
      </c>
      <c r="H1686" s="11"/>
      <c r="I1686" s="11"/>
      <c r="J1686" s="11"/>
      <c r="K1686" s="1"/>
      <c r="L1686" s="2"/>
      <c r="M1686" s="2"/>
      <c r="N1686" s="2"/>
      <c r="O1686" s="2"/>
    </row>
    <row r="1687" spans="1:15" x14ac:dyDescent="0.2">
      <c r="A1687" s="17" t="s">
        <v>5111</v>
      </c>
      <c r="B1687" s="17" t="s">
        <v>5112</v>
      </c>
      <c r="C1687" s="17">
        <v>15</v>
      </c>
      <c r="D1687" s="11"/>
      <c r="E1687" s="1">
        <v>2150</v>
      </c>
      <c r="F1687" s="1">
        <v>2440</v>
      </c>
      <c r="G1687" s="1">
        <v>53</v>
      </c>
      <c r="H1687" s="11"/>
      <c r="I1687" s="11"/>
      <c r="J1687" s="11"/>
      <c r="K1687" s="1"/>
      <c r="L1687" s="2"/>
      <c r="M1687" s="2"/>
      <c r="N1687" s="2"/>
      <c r="O1687" s="2"/>
    </row>
    <row r="1688" spans="1:15" x14ac:dyDescent="0.2">
      <c r="A1688" s="17" t="s">
        <v>5113</v>
      </c>
      <c r="B1688" s="17" t="s">
        <v>5114</v>
      </c>
      <c r="C1688" s="17">
        <v>18</v>
      </c>
      <c r="D1688" s="11"/>
      <c r="E1688" s="1">
        <v>2150</v>
      </c>
      <c r="F1688" s="1">
        <v>2440</v>
      </c>
      <c r="G1688" s="1">
        <v>52</v>
      </c>
      <c r="H1688" s="11"/>
      <c r="I1688" s="11"/>
      <c r="J1688" s="11"/>
      <c r="K1688" s="1"/>
      <c r="L1688" s="2"/>
      <c r="M1688" s="2"/>
      <c r="N1688" s="2"/>
      <c r="O1688" s="2"/>
    </row>
    <row r="1689" spans="1:15" x14ac:dyDescent="0.2">
      <c r="A1689" s="17" t="s">
        <v>5115</v>
      </c>
      <c r="B1689" s="17" t="s">
        <v>5116</v>
      </c>
      <c r="C1689" s="17">
        <v>15</v>
      </c>
      <c r="D1689" s="11"/>
      <c r="E1689" s="1">
        <v>2150</v>
      </c>
      <c r="F1689" s="1">
        <v>2440</v>
      </c>
      <c r="G1689" s="1">
        <v>53</v>
      </c>
      <c r="H1689" s="11"/>
      <c r="I1689" s="11"/>
      <c r="J1689" s="11"/>
      <c r="K1689" s="1"/>
      <c r="L1689" s="2"/>
      <c r="M1689" s="2"/>
      <c r="N1689" s="2"/>
      <c r="O1689" s="2"/>
    </row>
    <row r="1690" spans="1:15" x14ac:dyDescent="0.2">
      <c r="A1690" s="17" t="s">
        <v>5117</v>
      </c>
      <c r="B1690" s="17" t="s">
        <v>5118</v>
      </c>
      <c r="C1690" s="17">
        <v>18</v>
      </c>
      <c r="D1690" s="11"/>
      <c r="E1690" s="1">
        <v>2150</v>
      </c>
      <c r="F1690" s="1">
        <v>2440</v>
      </c>
      <c r="G1690" s="1">
        <v>52</v>
      </c>
      <c r="H1690" s="11"/>
      <c r="I1690" s="11"/>
      <c r="J1690" s="11"/>
      <c r="K1690" s="1"/>
      <c r="L1690" s="2"/>
      <c r="M1690" s="2"/>
      <c r="N1690" s="2"/>
      <c r="O1690" s="2"/>
    </row>
    <row r="1691" spans="1:15" x14ac:dyDescent="0.2">
      <c r="A1691" s="17" t="s">
        <v>5119</v>
      </c>
      <c r="B1691" s="17" t="s">
        <v>5120</v>
      </c>
      <c r="C1691" s="17">
        <v>15</v>
      </c>
      <c r="D1691" s="11"/>
      <c r="E1691" s="1">
        <v>2600</v>
      </c>
      <c r="F1691" s="1">
        <v>2070</v>
      </c>
      <c r="G1691" s="1">
        <v>41</v>
      </c>
      <c r="H1691" s="11"/>
      <c r="I1691" s="11"/>
      <c r="J1691" s="11"/>
      <c r="K1691" s="1"/>
      <c r="L1691" s="2"/>
      <c r="M1691" s="2"/>
      <c r="N1691" s="2"/>
      <c r="O1691" s="2"/>
    </row>
    <row r="1692" spans="1:15" x14ac:dyDescent="0.2">
      <c r="A1692" s="17" t="s">
        <v>5121</v>
      </c>
      <c r="B1692" s="17" t="s">
        <v>5122</v>
      </c>
      <c r="C1692" s="17">
        <v>18</v>
      </c>
      <c r="D1692" s="11"/>
      <c r="E1692" s="1">
        <v>2100</v>
      </c>
      <c r="F1692" s="1">
        <v>2080</v>
      </c>
      <c r="G1692" s="1">
        <v>52</v>
      </c>
      <c r="H1692" s="11"/>
      <c r="I1692" s="11"/>
      <c r="J1692" s="11"/>
      <c r="K1692" s="1"/>
      <c r="L1692" s="2"/>
      <c r="M1692" s="2"/>
      <c r="N1692" s="2"/>
      <c r="O1692" s="2"/>
    </row>
    <row r="1693" spans="1:15" x14ac:dyDescent="0.2">
      <c r="A1693" s="17" t="s">
        <v>5123</v>
      </c>
      <c r="B1693" s="17" t="s">
        <v>5124</v>
      </c>
      <c r="C1693" s="17">
        <v>15</v>
      </c>
      <c r="D1693" s="11"/>
      <c r="E1693" s="1">
        <v>1830</v>
      </c>
      <c r="F1693" s="1">
        <v>2440</v>
      </c>
      <c r="G1693" s="1">
        <v>41</v>
      </c>
      <c r="H1693" s="11"/>
      <c r="I1693" s="11"/>
      <c r="J1693" s="11"/>
      <c r="K1693" s="1"/>
      <c r="L1693" s="2"/>
      <c r="M1693" s="2"/>
      <c r="N1693" s="2"/>
      <c r="O1693" s="2"/>
    </row>
    <row r="1694" spans="1:15" x14ac:dyDescent="0.2">
      <c r="A1694" s="17" t="s">
        <v>5125</v>
      </c>
      <c r="B1694" s="17" t="s">
        <v>5126</v>
      </c>
      <c r="C1694" s="17">
        <v>15</v>
      </c>
      <c r="D1694" s="11"/>
      <c r="E1694" s="1">
        <v>1830</v>
      </c>
      <c r="F1694" s="1">
        <v>2440</v>
      </c>
      <c r="G1694" s="1">
        <v>41</v>
      </c>
      <c r="H1694" s="11"/>
      <c r="I1694" s="11"/>
      <c r="J1694" s="11"/>
      <c r="K1694" s="1"/>
      <c r="L1694" s="2"/>
      <c r="M1694" s="2"/>
      <c r="N1694" s="2"/>
      <c r="O1694" s="2"/>
    </row>
    <row r="1695" spans="1:15" x14ac:dyDescent="0.2">
      <c r="A1695" s="17" t="s">
        <v>5127</v>
      </c>
      <c r="B1695" s="17" t="s">
        <v>5128</v>
      </c>
      <c r="C1695" s="17">
        <v>18</v>
      </c>
      <c r="D1695" s="11"/>
      <c r="E1695" s="1">
        <v>1220</v>
      </c>
      <c r="F1695" s="1">
        <v>2440</v>
      </c>
      <c r="G1695" s="1"/>
      <c r="H1695" s="11"/>
      <c r="I1695" s="11"/>
      <c r="J1695" s="11"/>
      <c r="K1695" s="1"/>
      <c r="L1695" s="2"/>
      <c r="M1695" s="2"/>
      <c r="N1695" s="2"/>
      <c r="O1695" s="2"/>
    </row>
    <row r="1696" spans="1:15" x14ac:dyDescent="0.2">
      <c r="A1696" s="17" t="s">
        <v>5129</v>
      </c>
      <c r="B1696" s="17" t="s">
        <v>5130</v>
      </c>
      <c r="C1696" s="17">
        <v>18</v>
      </c>
      <c r="D1696" s="11"/>
      <c r="E1696" s="1">
        <v>1220</v>
      </c>
      <c r="F1696" s="1">
        <v>2440</v>
      </c>
      <c r="G1696" s="1"/>
      <c r="H1696" s="11"/>
      <c r="I1696" s="11"/>
      <c r="J1696" s="11"/>
      <c r="K1696" s="1"/>
      <c r="L1696" s="2"/>
      <c r="M1696" s="2"/>
      <c r="N1696" s="2"/>
      <c r="O1696" s="2"/>
    </row>
    <row r="1697" spans="1:15" x14ac:dyDescent="0.2">
      <c r="A1697" s="17" t="s">
        <v>5131</v>
      </c>
      <c r="B1697" s="17" t="s">
        <v>5132</v>
      </c>
      <c r="C1697" s="17">
        <v>15</v>
      </c>
      <c r="D1697" s="11"/>
      <c r="E1697" s="1">
        <v>1220</v>
      </c>
      <c r="F1697" s="1">
        <v>2440</v>
      </c>
      <c r="G1697" s="1"/>
      <c r="H1697" s="11"/>
      <c r="I1697" s="11"/>
      <c r="J1697" s="11"/>
      <c r="K1697" s="1"/>
      <c r="L1697" s="2"/>
      <c r="M1697" s="2"/>
      <c r="N1697" s="2"/>
      <c r="O1697" s="2"/>
    </row>
    <row r="1698" spans="1:15" x14ac:dyDescent="0.2">
      <c r="A1698" s="17" t="s">
        <v>5133</v>
      </c>
      <c r="B1698" s="17" t="s">
        <v>5134</v>
      </c>
      <c r="C1698" s="17">
        <v>18</v>
      </c>
      <c r="D1698" s="11"/>
      <c r="E1698" s="1">
        <v>1220</v>
      </c>
      <c r="F1698" s="1">
        <v>2440</v>
      </c>
      <c r="G1698" s="1"/>
      <c r="H1698" s="11"/>
      <c r="I1698" s="11"/>
      <c r="J1698" s="11"/>
      <c r="K1698" s="1"/>
      <c r="L1698" s="2"/>
      <c r="M1698" s="2"/>
      <c r="N1698" s="2"/>
      <c r="O1698" s="2"/>
    </row>
    <row r="1699" spans="1:15" x14ac:dyDescent="0.2">
      <c r="A1699" s="17" t="s">
        <v>5135</v>
      </c>
      <c r="B1699" s="17" t="s">
        <v>5136</v>
      </c>
      <c r="C1699" s="17">
        <v>18</v>
      </c>
      <c r="D1699" s="11"/>
      <c r="E1699" s="1">
        <v>1220</v>
      </c>
      <c r="F1699" s="1">
        <v>2440</v>
      </c>
      <c r="G1699" s="1"/>
      <c r="H1699" s="11"/>
      <c r="I1699" s="11"/>
      <c r="J1699" s="11"/>
      <c r="K1699" s="1"/>
      <c r="L1699" s="2"/>
      <c r="M1699" s="2"/>
      <c r="N1699" s="2"/>
      <c r="O1699" s="2"/>
    </row>
    <row r="1700" spans="1:15" x14ac:dyDescent="0.2">
      <c r="A1700" s="17" t="s">
        <v>5137</v>
      </c>
      <c r="B1700" s="17" t="s">
        <v>5138</v>
      </c>
      <c r="C1700" s="17">
        <v>18</v>
      </c>
      <c r="D1700" s="11"/>
      <c r="E1700" s="1">
        <v>1220</v>
      </c>
      <c r="F1700" s="1">
        <v>2440</v>
      </c>
      <c r="G1700" s="1"/>
      <c r="H1700" s="11"/>
      <c r="I1700" s="11"/>
      <c r="J1700" s="11"/>
      <c r="K1700" s="1"/>
      <c r="L1700" s="2"/>
      <c r="M1700" s="2"/>
      <c r="N1700" s="2"/>
      <c r="O1700" s="2"/>
    </row>
    <row r="1701" spans="1:15" x14ac:dyDescent="0.2">
      <c r="A1701" s="17" t="s">
        <v>5139</v>
      </c>
      <c r="B1701" s="17" t="s">
        <v>5140</v>
      </c>
      <c r="C1701" s="17">
        <v>18</v>
      </c>
      <c r="D1701" s="11"/>
      <c r="E1701" s="1">
        <v>1220</v>
      </c>
      <c r="F1701" s="1">
        <v>2440</v>
      </c>
      <c r="G1701" s="1"/>
      <c r="H1701" s="11"/>
      <c r="I1701" s="11"/>
      <c r="J1701" s="11"/>
      <c r="K1701" s="1"/>
      <c r="L1701" s="2"/>
      <c r="M1701" s="2"/>
      <c r="N1701" s="2"/>
      <c r="O1701" s="2"/>
    </row>
    <row r="1702" spans="1:15" x14ac:dyDescent="0.2">
      <c r="A1702" s="17" t="s">
        <v>5141</v>
      </c>
      <c r="B1702" s="17"/>
      <c r="C1702" s="17">
        <v>15</v>
      </c>
      <c r="D1702" s="11"/>
      <c r="E1702" s="1"/>
      <c r="F1702" s="1"/>
      <c r="G1702" s="1"/>
      <c r="H1702" s="11"/>
      <c r="I1702" s="11"/>
      <c r="J1702" s="11"/>
      <c r="K1702" s="1"/>
      <c r="L1702" s="2"/>
      <c r="M1702" s="2"/>
      <c r="N1702" s="2"/>
      <c r="O1702" s="2"/>
    </row>
    <row r="1703" spans="1:15" x14ac:dyDescent="0.2">
      <c r="A1703" s="17" t="s">
        <v>5142</v>
      </c>
      <c r="B1703" s="17"/>
      <c r="C1703" s="17">
        <v>18</v>
      </c>
      <c r="D1703" s="11"/>
      <c r="E1703" s="1"/>
      <c r="F1703" s="1"/>
      <c r="G1703" s="1"/>
      <c r="H1703" s="11"/>
      <c r="I1703" s="11"/>
      <c r="J1703" s="11"/>
      <c r="K1703" s="1"/>
      <c r="L1703" s="2"/>
      <c r="M1703" s="2"/>
      <c r="N1703" s="2"/>
      <c r="O1703" s="2"/>
    </row>
    <row r="1704" spans="1:15" x14ac:dyDescent="0.2">
      <c r="A1704" s="17" t="s">
        <v>5143</v>
      </c>
      <c r="B1704" s="17"/>
      <c r="C1704" s="17">
        <v>18</v>
      </c>
      <c r="D1704" s="11"/>
      <c r="E1704" s="1"/>
      <c r="F1704" s="1"/>
      <c r="G1704" s="1"/>
      <c r="H1704" s="11"/>
      <c r="I1704" s="11"/>
      <c r="J1704" s="11"/>
      <c r="K1704" s="1"/>
      <c r="L1704" s="2"/>
      <c r="M1704" s="2"/>
      <c r="N1704" s="2"/>
      <c r="O1704" s="2"/>
    </row>
  </sheetData>
  <mergeCells count="2">
    <mergeCell ref="A1:C1"/>
    <mergeCell ref="L1: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 filterMode="1"/>
  <dimension ref="A1:X620"/>
  <sheetViews>
    <sheetView showGridLines="0" zoomScale="80" zoomScaleNormal="80" workbookViewId="0">
      <pane xSplit="1" ySplit="2" topLeftCell="D137" activePane="bottomRight" state="frozen"/>
      <selection pane="topRight" activeCell="B1" sqref="B1"/>
      <selection pane="bottomLeft" activeCell="A3" sqref="A3"/>
      <selection pane="bottomRight" activeCell="T614" sqref="T614:T617"/>
    </sheetView>
  </sheetViews>
  <sheetFormatPr baseColWidth="10" defaultRowHeight="15" x14ac:dyDescent="0.25"/>
  <cols>
    <col min="1" max="1" width="10.7109375" bestFit="1" customWidth="1"/>
    <col min="2" max="2" width="14.5703125" customWidth="1"/>
    <col min="3" max="3" width="22.85546875" bestFit="1" customWidth="1"/>
    <col min="4" max="4" width="13.5703125" bestFit="1" customWidth="1"/>
    <col min="5" max="5" width="10.28515625" bestFit="1" customWidth="1"/>
    <col min="6" max="6" width="10.7109375" bestFit="1" customWidth="1"/>
    <col min="7" max="7" width="8.85546875" bestFit="1" customWidth="1"/>
    <col min="8" max="8" width="8.7109375" bestFit="1" customWidth="1"/>
    <col min="9" max="10" width="6" bestFit="1" customWidth="1"/>
    <col min="11" max="12" width="6.42578125" bestFit="1" customWidth="1"/>
    <col min="13" max="13" width="17.7109375" bestFit="1" customWidth="1"/>
    <col min="14" max="14" width="15.140625" bestFit="1" customWidth="1"/>
    <col min="15" max="15" width="14.85546875" bestFit="1" customWidth="1"/>
    <col min="16" max="16" width="13" bestFit="1" customWidth="1"/>
    <col min="17" max="17" width="11.42578125" bestFit="1" customWidth="1"/>
    <col min="18" max="18" width="15.140625" bestFit="1" customWidth="1"/>
    <col min="19" max="19" width="24.140625" bestFit="1" customWidth="1"/>
    <col min="20" max="20" width="23.5703125" bestFit="1" customWidth="1"/>
    <col min="21" max="21" width="19.42578125" bestFit="1" customWidth="1"/>
    <col min="22" max="22" width="62.42578125" customWidth="1"/>
    <col min="24" max="24" width="17" bestFit="1" customWidth="1"/>
  </cols>
  <sheetData>
    <row r="1" spans="1:24" ht="147" customHeight="1" x14ac:dyDescent="0.25"/>
    <row r="2" spans="1:24" x14ac:dyDescent="0.25">
      <c r="A2" s="75"/>
      <c r="B2" s="75" t="s">
        <v>5282</v>
      </c>
      <c r="C2" s="75" t="s">
        <v>5283</v>
      </c>
      <c r="D2" s="36" t="s">
        <v>0</v>
      </c>
      <c r="E2" s="36" t="s">
        <v>1</v>
      </c>
      <c r="F2" s="36" t="s">
        <v>2</v>
      </c>
      <c r="G2" s="36" t="s">
        <v>3</v>
      </c>
      <c r="H2" s="36" t="s">
        <v>6</v>
      </c>
      <c r="I2" s="36" t="s">
        <v>4</v>
      </c>
      <c r="J2" s="36" t="s">
        <v>5</v>
      </c>
      <c r="K2" s="36" t="s">
        <v>7</v>
      </c>
      <c r="L2" s="36" t="s">
        <v>8</v>
      </c>
      <c r="M2" s="91" t="s">
        <v>5168</v>
      </c>
      <c r="N2" s="36" t="s">
        <v>9</v>
      </c>
      <c r="O2" s="75" t="s">
        <v>10</v>
      </c>
      <c r="P2" s="75" t="s">
        <v>11</v>
      </c>
      <c r="Q2" s="75" t="s">
        <v>12</v>
      </c>
      <c r="R2" s="37" t="s">
        <v>5145</v>
      </c>
      <c r="S2" s="37" t="s">
        <v>5146</v>
      </c>
      <c r="T2" s="37" t="s">
        <v>5147</v>
      </c>
      <c r="U2" s="37" t="s">
        <v>5148</v>
      </c>
      <c r="V2" s="37" t="s">
        <v>5149</v>
      </c>
      <c r="X2" t="s">
        <v>5338</v>
      </c>
    </row>
    <row r="3" spans="1:24" x14ac:dyDescent="0.25">
      <c r="B3">
        <f t="shared" ref="B3:B34" si="0">+D3</f>
        <v>6</v>
      </c>
      <c r="C3">
        <v>1</v>
      </c>
      <c r="D3">
        <v>6</v>
      </c>
      <c r="E3">
        <v>2420</v>
      </c>
      <c r="F3">
        <v>500</v>
      </c>
      <c r="I3">
        <v>1</v>
      </c>
      <c r="M3" t="s">
        <v>7249</v>
      </c>
      <c r="N3" t="s">
        <v>4571</v>
      </c>
      <c r="O3" s="35">
        <f t="shared" ref="O3:O34" si="1">IF(N3="","",IF(IFERROR((((F3*Q3))*0.0000007)*E3,"")&gt;=25,24.99,IFERROR((((F3*Q3))*0.0000007)*E3,"")))</f>
        <v>12.704999999999998</v>
      </c>
      <c r="P3" s="35">
        <f t="shared" ref="P3:P34" si="2">+O3*D3</f>
        <v>76.22999999999999</v>
      </c>
      <c r="Q3">
        <f>+VLOOKUP(N3,REF!A:C,3,0)</f>
        <v>15</v>
      </c>
      <c r="U3">
        <v>2420</v>
      </c>
      <c r="V3" t="s">
        <v>8737</v>
      </c>
      <c r="X3" t="s">
        <v>5339</v>
      </c>
    </row>
    <row r="4" spans="1:24" x14ac:dyDescent="0.25">
      <c r="B4">
        <f t="shared" si="0"/>
        <v>2</v>
      </c>
      <c r="C4">
        <v>1</v>
      </c>
      <c r="D4">
        <v>2</v>
      </c>
      <c r="E4">
        <v>2420</v>
      </c>
      <c r="F4">
        <v>500</v>
      </c>
      <c r="I4">
        <v>1</v>
      </c>
      <c r="M4" t="s">
        <v>7249</v>
      </c>
      <c r="N4" t="s">
        <v>4571</v>
      </c>
      <c r="O4" s="35">
        <f t="shared" si="1"/>
        <v>12.704999999999998</v>
      </c>
      <c r="P4" s="35">
        <f t="shared" si="2"/>
        <v>25.409999999999997</v>
      </c>
      <c r="Q4">
        <f>+VLOOKUP(N4,REF!A:C,3,0)</f>
        <v>15</v>
      </c>
      <c r="U4">
        <v>2420</v>
      </c>
      <c r="V4" t="s">
        <v>8738</v>
      </c>
      <c r="X4" t="s">
        <v>5339</v>
      </c>
    </row>
    <row r="5" spans="1:24" x14ac:dyDescent="0.25">
      <c r="B5">
        <f t="shared" si="0"/>
        <v>25</v>
      </c>
      <c r="C5">
        <v>1</v>
      </c>
      <c r="D5">
        <v>25</v>
      </c>
      <c r="E5">
        <v>2420</v>
      </c>
      <c r="F5">
        <v>50</v>
      </c>
      <c r="G5" t="s">
        <v>8717</v>
      </c>
      <c r="M5" t="s">
        <v>7249</v>
      </c>
      <c r="N5" t="s">
        <v>4571</v>
      </c>
      <c r="O5" s="35">
        <f t="shared" si="1"/>
        <v>1.2705</v>
      </c>
      <c r="P5" s="35">
        <f t="shared" si="2"/>
        <v>31.762499999999999</v>
      </c>
      <c r="Q5">
        <f>+VLOOKUP(N5,REF!A:C,3,0)</f>
        <v>15</v>
      </c>
      <c r="U5">
        <v>2420</v>
      </c>
      <c r="V5" t="s">
        <v>8739</v>
      </c>
      <c r="X5" t="s">
        <v>5339</v>
      </c>
    </row>
    <row r="6" spans="1:24" x14ac:dyDescent="0.25">
      <c r="B6">
        <f t="shared" si="0"/>
        <v>30</v>
      </c>
      <c r="C6">
        <v>1</v>
      </c>
      <c r="D6">
        <v>30</v>
      </c>
      <c r="E6">
        <v>2420</v>
      </c>
      <c r="F6">
        <v>50</v>
      </c>
      <c r="G6" t="s">
        <v>8717</v>
      </c>
      <c r="M6" t="s">
        <v>7249</v>
      </c>
      <c r="N6" t="s">
        <v>4571</v>
      </c>
      <c r="O6" s="35">
        <f t="shared" si="1"/>
        <v>1.2705</v>
      </c>
      <c r="P6" s="35">
        <f t="shared" si="2"/>
        <v>38.115000000000002</v>
      </c>
      <c r="Q6">
        <f>+VLOOKUP(N6,REF!A:C,3,0)</f>
        <v>15</v>
      </c>
      <c r="U6">
        <v>2420</v>
      </c>
      <c r="V6" t="s">
        <v>8740</v>
      </c>
      <c r="X6" t="s">
        <v>5339</v>
      </c>
    </row>
    <row r="7" spans="1:24" x14ac:dyDescent="0.25">
      <c r="B7">
        <f t="shared" si="0"/>
        <v>4</v>
      </c>
      <c r="C7">
        <v>1</v>
      </c>
      <c r="D7">
        <v>4</v>
      </c>
      <c r="E7">
        <v>2420</v>
      </c>
      <c r="F7">
        <v>120</v>
      </c>
      <c r="I7">
        <v>1</v>
      </c>
      <c r="J7">
        <v>1</v>
      </c>
      <c r="M7" t="s">
        <v>7249</v>
      </c>
      <c r="N7" t="s">
        <v>4571</v>
      </c>
      <c r="O7" s="35">
        <f t="shared" si="1"/>
        <v>3.0491999999999995</v>
      </c>
      <c r="P7" s="35">
        <f t="shared" si="2"/>
        <v>12.196799999999998</v>
      </c>
      <c r="Q7">
        <f>+VLOOKUP(N7,REF!A:C,3,0)</f>
        <v>15</v>
      </c>
      <c r="R7">
        <v>13</v>
      </c>
      <c r="S7">
        <v>18.55</v>
      </c>
      <c r="T7">
        <v>9</v>
      </c>
      <c r="U7">
        <v>2420</v>
      </c>
    </row>
    <row r="8" spans="1:24" x14ac:dyDescent="0.25">
      <c r="B8">
        <f t="shared" si="0"/>
        <v>5</v>
      </c>
      <c r="C8">
        <v>1</v>
      </c>
      <c r="D8">
        <v>5</v>
      </c>
      <c r="E8">
        <v>2420</v>
      </c>
      <c r="F8">
        <v>50</v>
      </c>
      <c r="G8" t="s">
        <v>8717</v>
      </c>
      <c r="M8" t="s">
        <v>7249</v>
      </c>
      <c r="N8" t="s">
        <v>4571</v>
      </c>
      <c r="O8" s="35">
        <f t="shared" si="1"/>
        <v>1.2705</v>
      </c>
      <c r="P8" s="35">
        <f t="shared" si="2"/>
        <v>6.3525</v>
      </c>
      <c r="Q8">
        <f>+VLOOKUP(N8,REF!A:C,3,0)</f>
        <v>15</v>
      </c>
      <c r="R8">
        <v>13</v>
      </c>
      <c r="S8">
        <v>18.55</v>
      </c>
      <c r="T8">
        <v>9</v>
      </c>
      <c r="U8">
        <v>2420</v>
      </c>
    </row>
    <row r="9" spans="1:24" x14ac:dyDescent="0.25">
      <c r="B9">
        <f t="shared" si="0"/>
        <v>2</v>
      </c>
      <c r="C9">
        <v>1</v>
      </c>
      <c r="D9">
        <v>2</v>
      </c>
      <c r="E9">
        <v>2410</v>
      </c>
      <c r="F9">
        <v>600</v>
      </c>
      <c r="I9">
        <v>1</v>
      </c>
      <c r="M9" t="s">
        <v>7249</v>
      </c>
      <c r="N9" t="s">
        <v>4571</v>
      </c>
      <c r="O9" s="35">
        <f t="shared" si="1"/>
        <v>15.183</v>
      </c>
      <c r="P9" s="35">
        <f t="shared" si="2"/>
        <v>30.366</v>
      </c>
      <c r="Q9">
        <f>+VLOOKUP(N9,REF!A:C,3,0)</f>
        <v>15</v>
      </c>
      <c r="U9">
        <v>2410</v>
      </c>
      <c r="V9" t="s">
        <v>8741</v>
      </c>
      <c r="X9" t="s">
        <v>5339</v>
      </c>
    </row>
    <row r="10" spans="1:24" x14ac:dyDescent="0.25">
      <c r="B10">
        <f t="shared" si="0"/>
        <v>1</v>
      </c>
      <c r="C10">
        <v>1</v>
      </c>
      <c r="D10">
        <v>1</v>
      </c>
      <c r="E10">
        <v>2000</v>
      </c>
      <c r="F10">
        <v>120</v>
      </c>
      <c r="I10">
        <v>1</v>
      </c>
      <c r="J10">
        <v>1</v>
      </c>
      <c r="K10">
        <v>1</v>
      </c>
      <c r="M10" t="s">
        <v>7249</v>
      </c>
      <c r="N10" t="s">
        <v>4571</v>
      </c>
      <c r="O10" s="35">
        <f t="shared" si="1"/>
        <v>2.5199999999999996</v>
      </c>
      <c r="P10" s="35">
        <f t="shared" si="2"/>
        <v>2.5199999999999996</v>
      </c>
      <c r="Q10">
        <f>+VLOOKUP(N10,REF!A:C,3,0)</f>
        <v>15</v>
      </c>
      <c r="R10">
        <v>16</v>
      </c>
      <c r="S10">
        <v>13.17</v>
      </c>
      <c r="T10">
        <v>2</v>
      </c>
      <c r="U10">
        <v>2000</v>
      </c>
    </row>
    <row r="11" spans="1:24" x14ac:dyDescent="0.25">
      <c r="B11">
        <f t="shared" si="0"/>
        <v>1</v>
      </c>
      <c r="C11">
        <v>1</v>
      </c>
      <c r="D11">
        <v>1</v>
      </c>
      <c r="E11">
        <v>1950</v>
      </c>
      <c r="F11">
        <v>520</v>
      </c>
      <c r="I11">
        <v>1</v>
      </c>
      <c r="M11" t="s">
        <v>7249</v>
      </c>
      <c r="N11" t="s">
        <v>4571</v>
      </c>
      <c r="O11" s="35">
        <f t="shared" si="1"/>
        <v>10.646999999999998</v>
      </c>
      <c r="P11" s="35">
        <f t="shared" si="2"/>
        <v>10.646999999999998</v>
      </c>
      <c r="Q11">
        <f>+VLOOKUP(N11,REF!A:C,3,0)</f>
        <v>15</v>
      </c>
      <c r="R11">
        <v>16</v>
      </c>
      <c r="S11">
        <v>13.17</v>
      </c>
      <c r="T11">
        <v>2</v>
      </c>
      <c r="U11">
        <v>1950</v>
      </c>
    </row>
    <row r="12" spans="1:24" x14ac:dyDescent="0.25">
      <c r="B12">
        <f t="shared" si="0"/>
        <v>2</v>
      </c>
      <c r="C12">
        <v>1</v>
      </c>
      <c r="D12">
        <v>2</v>
      </c>
      <c r="E12">
        <v>1905</v>
      </c>
      <c r="F12">
        <v>920</v>
      </c>
      <c r="I12">
        <v>2</v>
      </c>
      <c r="J12">
        <v>2</v>
      </c>
      <c r="K12">
        <v>2</v>
      </c>
      <c r="L12">
        <v>2</v>
      </c>
      <c r="M12" t="s">
        <v>7249</v>
      </c>
      <c r="N12" t="s">
        <v>4571</v>
      </c>
      <c r="O12" s="35">
        <f t="shared" si="1"/>
        <v>18.4023</v>
      </c>
      <c r="P12" s="35">
        <f t="shared" si="2"/>
        <v>36.804600000000001</v>
      </c>
      <c r="Q12">
        <f>+VLOOKUP(N12,REF!A:C,3,0)</f>
        <v>15</v>
      </c>
      <c r="U12">
        <v>1905</v>
      </c>
      <c r="V12" t="s">
        <v>8742</v>
      </c>
      <c r="X12" t="s">
        <v>5339</v>
      </c>
    </row>
    <row r="13" spans="1:24" x14ac:dyDescent="0.25">
      <c r="B13">
        <f t="shared" si="0"/>
        <v>2</v>
      </c>
      <c r="C13">
        <v>1</v>
      </c>
      <c r="D13">
        <v>2</v>
      </c>
      <c r="E13">
        <v>1840</v>
      </c>
      <c r="F13">
        <v>525</v>
      </c>
      <c r="G13" t="s">
        <v>8723</v>
      </c>
      <c r="I13">
        <v>2</v>
      </c>
      <c r="J13">
        <v>2</v>
      </c>
      <c r="K13">
        <v>2</v>
      </c>
      <c r="L13">
        <v>2</v>
      </c>
      <c r="M13" t="s">
        <v>7249</v>
      </c>
      <c r="N13" t="s">
        <v>4571</v>
      </c>
      <c r="O13" s="35">
        <f t="shared" si="1"/>
        <v>10.143000000000001</v>
      </c>
      <c r="P13" s="35">
        <f t="shared" si="2"/>
        <v>20.286000000000001</v>
      </c>
      <c r="Q13">
        <f>+VLOOKUP(N13,REF!A:C,3,0)</f>
        <v>15</v>
      </c>
      <c r="R13">
        <v>19</v>
      </c>
      <c r="S13">
        <v>20.29</v>
      </c>
      <c r="T13">
        <v>2</v>
      </c>
      <c r="U13">
        <v>1840</v>
      </c>
    </row>
    <row r="14" spans="1:24" x14ac:dyDescent="0.25">
      <c r="B14">
        <f t="shared" si="0"/>
        <v>4</v>
      </c>
      <c r="C14">
        <v>1</v>
      </c>
      <c r="D14">
        <v>4</v>
      </c>
      <c r="E14">
        <v>1810</v>
      </c>
      <c r="F14">
        <v>550</v>
      </c>
      <c r="I14">
        <v>1</v>
      </c>
      <c r="M14" t="s">
        <v>7249</v>
      </c>
      <c r="N14" t="s">
        <v>4571</v>
      </c>
      <c r="O14" s="35">
        <f t="shared" si="1"/>
        <v>10.45275</v>
      </c>
      <c r="P14" s="35">
        <f t="shared" si="2"/>
        <v>41.811</v>
      </c>
      <c r="Q14">
        <f>+VLOOKUP(N14,REF!A:C,3,0)</f>
        <v>15</v>
      </c>
      <c r="U14">
        <v>1810</v>
      </c>
      <c r="V14" t="s">
        <v>8743</v>
      </c>
      <c r="X14" t="s">
        <v>5339</v>
      </c>
    </row>
    <row r="15" spans="1:24" x14ac:dyDescent="0.25">
      <c r="B15">
        <f t="shared" si="0"/>
        <v>5</v>
      </c>
      <c r="C15">
        <v>1</v>
      </c>
      <c r="D15">
        <v>5</v>
      </c>
      <c r="E15">
        <v>1800</v>
      </c>
      <c r="F15">
        <v>80</v>
      </c>
      <c r="I15">
        <v>1</v>
      </c>
      <c r="J15">
        <v>1</v>
      </c>
      <c r="M15" t="s">
        <v>7249</v>
      </c>
      <c r="N15" t="s">
        <v>4571</v>
      </c>
      <c r="O15" s="35">
        <f t="shared" si="1"/>
        <v>1.5119999999999998</v>
      </c>
      <c r="P15" s="35">
        <f t="shared" si="2"/>
        <v>7.5599999999999987</v>
      </c>
      <c r="Q15">
        <f>+VLOOKUP(N15,REF!A:C,3,0)</f>
        <v>15</v>
      </c>
      <c r="R15">
        <v>22</v>
      </c>
      <c r="S15">
        <v>7.56</v>
      </c>
      <c r="T15">
        <v>5</v>
      </c>
      <c r="U15">
        <v>1800</v>
      </c>
    </row>
    <row r="16" spans="1:24" x14ac:dyDescent="0.25">
      <c r="B16">
        <f t="shared" si="0"/>
        <v>4</v>
      </c>
      <c r="C16">
        <v>1</v>
      </c>
      <c r="D16">
        <v>4</v>
      </c>
      <c r="E16">
        <v>1770</v>
      </c>
      <c r="F16">
        <v>550</v>
      </c>
      <c r="I16">
        <v>1</v>
      </c>
      <c r="M16" t="s">
        <v>7249</v>
      </c>
      <c r="N16" t="s">
        <v>4571</v>
      </c>
      <c r="O16" s="35">
        <f t="shared" si="1"/>
        <v>10.22175</v>
      </c>
      <c r="P16" s="35">
        <f t="shared" si="2"/>
        <v>40.887</v>
      </c>
      <c r="Q16">
        <f>+VLOOKUP(N16,REF!A:C,3,0)</f>
        <v>15</v>
      </c>
      <c r="U16">
        <v>1770</v>
      </c>
      <c r="V16" t="s">
        <v>8744</v>
      </c>
      <c r="X16" t="s">
        <v>5339</v>
      </c>
    </row>
    <row r="17" spans="2:21" x14ac:dyDescent="0.25">
      <c r="B17">
        <f t="shared" si="0"/>
        <v>2</v>
      </c>
      <c r="C17">
        <v>1</v>
      </c>
      <c r="D17">
        <v>2</v>
      </c>
      <c r="E17">
        <v>1390</v>
      </c>
      <c r="F17">
        <v>550</v>
      </c>
      <c r="I17">
        <v>1</v>
      </c>
      <c r="M17" t="s">
        <v>7249</v>
      </c>
      <c r="N17" t="s">
        <v>4571</v>
      </c>
      <c r="O17" s="35">
        <f t="shared" si="1"/>
        <v>8.0272500000000004</v>
      </c>
      <c r="P17" s="35">
        <f t="shared" si="2"/>
        <v>16.054500000000001</v>
      </c>
      <c r="Q17">
        <f>+VLOOKUP(N17,REF!A:C,3,0)</f>
        <v>15</v>
      </c>
      <c r="R17">
        <v>25</v>
      </c>
      <c r="S17">
        <v>16.05</v>
      </c>
      <c r="T17">
        <v>2</v>
      </c>
      <c r="U17">
        <v>1390</v>
      </c>
    </row>
    <row r="18" spans="2:21" x14ac:dyDescent="0.25">
      <c r="B18">
        <f t="shared" si="0"/>
        <v>2</v>
      </c>
      <c r="C18">
        <v>1</v>
      </c>
      <c r="D18">
        <v>2</v>
      </c>
      <c r="E18">
        <v>1260</v>
      </c>
      <c r="F18">
        <v>480</v>
      </c>
      <c r="G18" t="s">
        <v>8715</v>
      </c>
      <c r="I18">
        <v>1</v>
      </c>
      <c r="M18" t="s">
        <v>7249</v>
      </c>
      <c r="N18" t="s">
        <v>4571</v>
      </c>
      <c r="O18" s="35">
        <f t="shared" si="1"/>
        <v>6.3503999999999996</v>
      </c>
      <c r="P18" s="35">
        <f t="shared" si="2"/>
        <v>12.700799999999999</v>
      </c>
      <c r="Q18">
        <f>+VLOOKUP(N18,REF!A:C,3,0)</f>
        <v>15</v>
      </c>
      <c r="R18">
        <v>26</v>
      </c>
      <c r="S18">
        <v>23.64</v>
      </c>
      <c r="T18">
        <v>4</v>
      </c>
      <c r="U18">
        <v>1260</v>
      </c>
    </row>
    <row r="19" spans="2:21" x14ac:dyDescent="0.25">
      <c r="B19">
        <f t="shared" si="0"/>
        <v>2</v>
      </c>
      <c r="C19">
        <v>1</v>
      </c>
      <c r="D19">
        <v>2</v>
      </c>
      <c r="E19">
        <v>1085</v>
      </c>
      <c r="F19">
        <v>480</v>
      </c>
      <c r="I19">
        <v>1</v>
      </c>
      <c r="M19" t="s">
        <v>7249</v>
      </c>
      <c r="N19" t="s">
        <v>4571</v>
      </c>
      <c r="O19" s="35">
        <f t="shared" si="1"/>
        <v>5.468399999999999</v>
      </c>
      <c r="P19" s="35">
        <f t="shared" si="2"/>
        <v>10.936799999999998</v>
      </c>
      <c r="Q19">
        <f>+VLOOKUP(N19,REF!A:C,3,0)</f>
        <v>15</v>
      </c>
      <c r="R19">
        <v>26</v>
      </c>
      <c r="S19">
        <v>23.64</v>
      </c>
      <c r="T19">
        <v>4</v>
      </c>
      <c r="U19">
        <v>1085</v>
      </c>
    </row>
    <row r="20" spans="2:21" x14ac:dyDescent="0.25">
      <c r="B20">
        <f t="shared" si="0"/>
        <v>1</v>
      </c>
      <c r="C20">
        <v>1</v>
      </c>
      <c r="D20">
        <v>1</v>
      </c>
      <c r="E20">
        <v>1085</v>
      </c>
      <c r="F20">
        <v>450</v>
      </c>
      <c r="I20">
        <v>1</v>
      </c>
      <c r="M20" t="s">
        <v>7249</v>
      </c>
      <c r="N20" t="s">
        <v>4571</v>
      </c>
      <c r="O20" s="35">
        <f t="shared" si="1"/>
        <v>5.1266249999999998</v>
      </c>
      <c r="P20" s="35">
        <f t="shared" si="2"/>
        <v>5.1266249999999998</v>
      </c>
      <c r="Q20">
        <f>+VLOOKUP(N20,REF!A:C,3,0)</f>
        <v>15</v>
      </c>
      <c r="R20">
        <v>27</v>
      </c>
      <c r="S20">
        <v>5.13</v>
      </c>
      <c r="T20">
        <v>1</v>
      </c>
      <c r="U20">
        <v>1085</v>
      </c>
    </row>
    <row r="21" spans="2:21" x14ac:dyDescent="0.25">
      <c r="B21">
        <f t="shared" si="0"/>
        <v>4</v>
      </c>
      <c r="C21">
        <v>1</v>
      </c>
      <c r="D21">
        <v>4</v>
      </c>
      <c r="E21">
        <v>1075</v>
      </c>
      <c r="F21">
        <v>550</v>
      </c>
      <c r="I21">
        <v>1</v>
      </c>
      <c r="M21" t="s">
        <v>7249</v>
      </c>
      <c r="N21" t="s">
        <v>4571</v>
      </c>
      <c r="O21" s="35">
        <f t="shared" si="1"/>
        <v>6.2081249999999999</v>
      </c>
      <c r="P21" s="35">
        <f t="shared" si="2"/>
        <v>24.8325</v>
      </c>
      <c r="Q21">
        <f>+VLOOKUP(N21,REF!A:C,3,0)</f>
        <v>15</v>
      </c>
      <c r="R21">
        <v>28</v>
      </c>
      <c r="S21">
        <v>24.83</v>
      </c>
      <c r="T21">
        <v>4</v>
      </c>
      <c r="U21">
        <v>1075</v>
      </c>
    </row>
    <row r="22" spans="2:21" x14ac:dyDescent="0.25">
      <c r="B22">
        <f t="shared" si="0"/>
        <v>5</v>
      </c>
      <c r="C22">
        <v>1</v>
      </c>
      <c r="D22">
        <v>5</v>
      </c>
      <c r="E22">
        <v>1055</v>
      </c>
      <c r="F22">
        <v>50</v>
      </c>
      <c r="G22" t="s">
        <v>8710</v>
      </c>
      <c r="M22" t="s">
        <v>7249</v>
      </c>
      <c r="N22" t="s">
        <v>4571</v>
      </c>
      <c r="O22" s="35">
        <f t="shared" si="1"/>
        <v>0.55387500000000001</v>
      </c>
      <c r="P22" s="35">
        <f t="shared" si="2"/>
        <v>2.7693750000000001</v>
      </c>
      <c r="Q22">
        <f>+VLOOKUP(N22,REF!A:C,3,0)</f>
        <v>15</v>
      </c>
      <c r="R22">
        <v>29</v>
      </c>
      <c r="S22">
        <v>24.15</v>
      </c>
      <c r="T22">
        <v>34</v>
      </c>
      <c r="U22">
        <v>1055</v>
      </c>
    </row>
    <row r="23" spans="2:21" x14ac:dyDescent="0.25">
      <c r="B23">
        <f t="shared" si="0"/>
        <v>1</v>
      </c>
      <c r="C23">
        <v>1</v>
      </c>
      <c r="D23">
        <v>1</v>
      </c>
      <c r="E23">
        <v>1055</v>
      </c>
      <c r="F23">
        <v>60</v>
      </c>
      <c r="M23" t="s">
        <v>7249</v>
      </c>
      <c r="N23" t="s">
        <v>4571</v>
      </c>
      <c r="O23" s="35">
        <f t="shared" si="1"/>
        <v>0.66464999999999996</v>
      </c>
      <c r="P23" s="35">
        <f t="shared" si="2"/>
        <v>0.66464999999999996</v>
      </c>
      <c r="Q23">
        <f>+VLOOKUP(N23,REF!A:C,3,0)</f>
        <v>15</v>
      </c>
      <c r="R23">
        <v>29</v>
      </c>
      <c r="S23">
        <v>24.15</v>
      </c>
      <c r="T23">
        <v>34</v>
      </c>
      <c r="U23">
        <v>1055</v>
      </c>
    </row>
    <row r="24" spans="2:21" x14ac:dyDescent="0.25">
      <c r="B24">
        <f t="shared" si="0"/>
        <v>18</v>
      </c>
      <c r="C24">
        <v>1</v>
      </c>
      <c r="D24">
        <v>18</v>
      </c>
      <c r="E24">
        <v>1000</v>
      </c>
      <c r="F24">
        <v>50</v>
      </c>
      <c r="G24" t="s">
        <v>8728</v>
      </c>
      <c r="M24" t="s">
        <v>7249</v>
      </c>
      <c r="N24" t="s">
        <v>4571</v>
      </c>
      <c r="O24" s="35">
        <f t="shared" si="1"/>
        <v>0.52500000000000002</v>
      </c>
      <c r="P24" s="35">
        <f t="shared" si="2"/>
        <v>9.4500000000000011</v>
      </c>
      <c r="Q24">
        <f>+VLOOKUP(N24,REF!A:C,3,0)</f>
        <v>15</v>
      </c>
      <c r="R24">
        <v>29</v>
      </c>
      <c r="S24">
        <v>24.15</v>
      </c>
      <c r="T24">
        <v>34</v>
      </c>
      <c r="U24">
        <v>1000</v>
      </c>
    </row>
    <row r="25" spans="2:21" x14ac:dyDescent="0.25">
      <c r="B25">
        <f t="shared" si="0"/>
        <v>2</v>
      </c>
      <c r="C25">
        <v>1</v>
      </c>
      <c r="D25">
        <v>2</v>
      </c>
      <c r="E25">
        <v>930</v>
      </c>
      <c r="F25">
        <v>75</v>
      </c>
      <c r="I25">
        <v>1</v>
      </c>
      <c r="M25" t="s">
        <v>7249</v>
      </c>
      <c r="N25" t="s">
        <v>4571</v>
      </c>
      <c r="O25" s="35">
        <f t="shared" si="1"/>
        <v>0.732375</v>
      </c>
      <c r="P25" s="35">
        <f t="shared" si="2"/>
        <v>1.46475</v>
      </c>
      <c r="Q25">
        <f>+VLOOKUP(N25,REF!A:C,3,0)</f>
        <v>15</v>
      </c>
      <c r="R25">
        <v>29</v>
      </c>
      <c r="S25">
        <v>24.15</v>
      </c>
      <c r="T25">
        <v>34</v>
      </c>
      <c r="U25">
        <v>930</v>
      </c>
    </row>
    <row r="26" spans="2:21" x14ac:dyDescent="0.25">
      <c r="B26">
        <f t="shared" si="0"/>
        <v>2</v>
      </c>
      <c r="C26">
        <v>1</v>
      </c>
      <c r="D26">
        <v>2</v>
      </c>
      <c r="E26">
        <v>930</v>
      </c>
      <c r="F26">
        <v>50</v>
      </c>
      <c r="G26" t="s">
        <v>8719</v>
      </c>
      <c r="M26" t="s">
        <v>7249</v>
      </c>
      <c r="N26" t="s">
        <v>4571</v>
      </c>
      <c r="O26" s="35">
        <f t="shared" si="1"/>
        <v>0.48824999999999996</v>
      </c>
      <c r="P26" s="35">
        <f t="shared" si="2"/>
        <v>0.97649999999999992</v>
      </c>
      <c r="Q26">
        <f>+VLOOKUP(N26,REF!A:C,3,0)</f>
        <v>15</v>
      </c>
      <c r="R26">
        <v>29</v>
      </c>
      <c r="S26">
        <v>24.15</v>
      </c>
      <c r="T26">
        <v>34</v>
      </c>
      <c r="U26">
        <v>930</v>
      </c>
    </row>
    <row r="27" spans="2:21" x14ac:dyDescent="0.25">
      <c r="B27">
        <f t="shared" si="0"/>
        <v>2</v>
      </c>
      <c r="C27">
        <v>1</v>
      </c>
      <c r="D27">
        <v>2</v>
      </c>
      <c r="E27">
        <v>190</v>
      </c>
      <c r="F27">
        <v>925</v>
      </c>
      <c r="I27">
        <v>2</v>
      </c>
      <c r="J27">
        <v>2</v>
      </c>
      <c r="K27">
        <v>2</v>
      </c>
      <c r="L27">
        <v>2</v>
      </c>
      <c r="M27" t="s">
        <v>7249</v>
      </c>
      <c r="N27" t="s">
        <v>4571</v>
      </c>
      <c r="O27" s="35">
        <f t="shared" si="1"/>
        <v>1.8453749999999998</v>
      </c>
      <c r="P27" s="35">
        <f t="shared" si="2"/>
        <v>3.6907499999999995</v>
      </c>
      <c r="Q27">
        <f>+VLOOKUP(N27,REF!A:C,3,0)</f>
        <v>15</v>
      </c>
      <c r="R27">
        <v>29</v>
      </c>
      <c r="S27">
        <v>24.15</v>
      </c>
      <c r="T27">
        <v>34</v>
      </c>
      <c r="U27">
        <v>925</v>
      </c>
    </row>
    <row r="28" spans="2:21" x14ac:dyDescent="0.25">
      <c r="B28">
        <f t="shared" si="0"/>
        <v>4</v>
      </c>
      <c r="C28">
        <v>1</v>
      </c>
      <c r="D28">
        <v>4</v>
      </c>
      <c r="E28">
        <v>873</v>
      </c>
      <c r="F28">
        <v>140</v>
      </c>
      <c r="G28" t="s">
        <v>8722</v>
      </c>
      <c r="I28">
        <v>1</v>
      </c>
      <c r="J28">
        <v>1</v>
      </c>
      <c r="M28" t="s">
        <v>7249</v>
      </c>
      <c r="N28" t="s">
        <v>4571</v>
      </c>
      <c r="O28" s="35">
        <f t="shared" si="1"/>
        <v>1.28331</v>
      </c>
      <c r="P28" s="35">
        <f t="shared" si="2"/>
        <v>5.1332399999999998</v>
      </c>
      <c r="Q28">
        <f>+VLOOKUP(N28,REF!A:C,3,0)</f>
        <v>15</v>
      </c>
      <c r="R28">
        <v>29</v>
      </c>
      <c r="S28">
        <v>24.15</v>
      </c>
      <c r="T28">
        <v>34</v>
      </c>
      <c r="U28">
        <v>873</v>
      </c>
    </row>
    <row r="29" spans="2:21" x14ac:dyDescent="0.25">
      <c r="B29">
        <f t="shared" si="0"/>
        <v>1</v>
      </c>
      <c r="C29">
        <v>1</v>
      </c>
      <c r="D29">
        <v>1</v>
      </c>
      <c r="E29">
        <v>815</v>
      </c>
      <c r="F29">
        <v>520</v>
      </c>
      <c r="I29">
        <v>1</v>
      </c>
      <c r="M29" t="s">
        <v>7249</v>
      </c>
      <c r="N29" t="s">
        <v>4571</v>
      </c>
      <c r="O29" s="35">
        <f t="shared" si="1"/>
        <v>4.4498999999999995</v>
      </c>
      <c r="P29" s="35">
        <f t="shared" si="2"/>
        <v>4.4498999999999995</v>
      </c>
      <c r="Q29">
        <f>+VLOOKUP(N29,REF!A:C,3,0)</f>
        <v>15</v>
      </c>
      <c r="R29">
        <v>30</v>
      </c>
      <c r="S29">
        <v>20.329999999999998</v>
      </c>
      <c r="T29">
        <v>5</v>
      </c>
      <c r="U29">
        <v>815</v>
      </c>
    </row>
    <row r="30" spans="2:21" x14ac:dyDescent="0.25">
      <c r="B30">
        <f t="shared" si="0"/>
        <v>3</v>
      </c>
      <c r="C30">
        <v>1</v>
      </c>
      <c r="D30">
        <v>3</v>
      </c>
      <c r="E30">
        <v>800</v>
      </c>
      <c r="F30">
        <v>480</v>
      </c>
      <c r="I30">
        <v>1</v>
      </c>
      <c r="M30" t="s">
        <v>7249</v>
      </c>
      <c r="N30" t="s">
        <v>4571</v>
      </c>
      <c r="O30" s="35">
        <f t="shared" si="1"/>
        <v>4.0319999999999991</v>
      </c>
      <c r="P30" s="35">
        <f t="shared" si="2"/>
        <v>12.095999999999997</v>
      </c>
      <c r="Q30">
        <f>+VLOOKUP(N30,REF!A:C,3,0)</f>
        <v>15</v>
      </c>
      <c r="R30">
        <v>30</v>
      </c>
      <c r="S30">
        <v>20.329999999999998</v>
      </c>
      <c r="T30">
        <v>5</v>
      </c>
      <c r="U30">
        <v>800</v>
      </c>
    </row>
    <row r="31" spans="2:21" x14ac:dyDescent="0.25">
      <c r="B31">
        <f t="shared" si="0"/>
        <v>1</v>
      </c>
      <c r="C31">
        <v>1</v>
      </c>
      <c r="D31">
        <v>1</v>
      </c>
      <c r="E31">
        <v>800</v>
      </c>
      <c r="F31">
        <v>450</v>
      </c>
      <c r="I31">
        <v>1</v>
      </c>
      <c r="J31">
        <v>1</v>
      </c>
      <c r="K31">
        <v>1</v>
      </c>
      <c r="L31">
        <v>1</v>
      </c>
      <c r="M31" t="s">
        <v>7249</v>
      </c>
      <c r="N31" t="s">
        <v>4571</v>
      </c>
      <c r="O31" s="35">
        <f t="shared" si="1"/>
        <v>3.7800000000000002</v>
      </c>
      <c r="P31" s="35">
        <f t="shared" si="2"/>
        <v>3.7800000000000002</v>
      </c>
      <c r="Q31">
        <f>+VLOOKUP(N31,REF!A:C,3,0)</f>
        <v>15</v>
      </c>
      <c r="R31">
        <v>30</v>
      </c>
      <c r="S31">
        <v>20.329999999999998</v>
      </c>
      <c r="T31">
        <v>5</v>
      </c>
      <c r="U31">
        <v>800</v>
      </c>
    </row>
    <row r="32" spans="2:21" x14ac:dyDescent="0.25">
      <c r="B32">
        <f t="shared" si="0"/>
        <v>2</v>
      </c>
      <c r="C32">
        <v>1</v>
      </c>
      <c r="D32">
        <v>2</v>
      </c>
      <c r="E32">
        <v>795</v>
      </c>
      <c r="F32">
        <v>535</v>
      </c>
      <c r="I32">
        <v>1</v>
      </c>
      <c r="M32" t="s">
        <v>7249</v>
      </c>
      <c r="N32" t="s">
        <v>4571</v>
      </c>
      <c r="O32" s="35">
        <f t="shared" si="1"/>
        <v>4.4659125</v>
      </c>
      <c r="P32" s="35">
        <f t="shared" si="2"/>
        <v>8.9318249999999999</v>
      </c>
      <c r="Q32">
        <f>+VLOOKUP(N32,REF!A:C,3,0)</f>
        <v>15</v>
      </c>
      <c r="R32">
        <v>31</v>
      </c>
      <c r="S32">
        <v>22.73</v>
      </c>
      <c r="T32">
        <v>19</v>
      </c>
      <c r="U32">
        <v>795</v>
      </c>
    </row>
    <row r="33" spans="2:21" x14ac:dyDescent="0.25">
      <c r="B33">
        <f t="shared" si="0"/>
        <v>4</v>
      </c>
      <c r="C33">
        <v>1</v>
      </c>
      <c r="D33">
        <v>4</v>
      </c>
      <c r="E33">
        <v>795</v>
      </c>
      <c r="F33">
        <v>50</v>
      </c>
      <c r="G33" t="s">
        <v>8718</v>
      </c>
      <c r="M33" t="s">
        <v>7249</v>
      </c>
      <c r="N33" t="s">
        <v>4571</v>
      </c>
      <c r="O33" s="35">
        <f t="shared" si="1"/>
        <v>0.417375</v>
      </c>
      <c r="P33" s="35">
        <f t="shared" si="2"/>
        <v>1.6695</v>
      </c>
      <c r="Q33">
        <f>+VLOOKUP(N33,REF!A:C,3,0)</f>
        <v>15</v>
      </c>
      <c r="R33">
        <v>31</v>
      </c>
      <c r="S33">
        <v>22.73</v>
      </c>
      <c r="T33">
        <v>19</v>
      </c>
      <c r="U33">
        <v>795</v>
      </c>
    </row>
    <row r="34" spans="2:21" x14ac:dyDescent="0.25">
      <c r="B34">
        <f t="shared" si="0"/>
        <v>4</v>
      </c>
      <c r="C34">
        <v>1</v>
      </c>
      <c r="D34">
        <v>4</v>
      </c>
      <c r="E34">
        <v>770</v>
      </c>
      <c r="F34">
        <v>50</v>
      </c>
      <c r="G34" t="s">
        <v>8713</v>
      </c>
      <c r="M34" t="s">
        <v>7249</v>
      </c>
      <c r="N34" t="s">
        <v>4571</v>
      </c>
      <c r="O34" s="35">
        <f t="shared" si="1"/>
        <v>0.40425</v>
      </c>
      <c r="P34" s="35">
        <f t="shared" si="2"/>
        <v>1.617</v>
      </c>
      <c r="Q34">
        <f>+VLOOKUP(N34,REF!A:C,3,0)</f>
        <v>15</v>
      </c>
      <c r="R34">
        <v>31</v>
      </c>
      <c r="S34">
        <v>22.73</v>
      </c>
      <c r="T34">
        <v>19</v>
      </c>
      <c r="U34">
        <v>770</v>
      </c>
    </row>
    <row r="35" spans="2:21" x14ac:dyDescent="0.25">
      <c r="B35">
        <f t="shared" ref="B35:B66" si="3">+D35</f>
        <v>2</v>
      </c>
      <c r="C35">
        <v>1</v>
      </c>
      <c r="D35">
        <v>2</v>
      </c>
      <c r="E35">
        <v>770</v>
      </c>
      <c r="F35">
        <v>60</v>
      </c>
      <c r="M35" t="s">
        <v>7249</v>
      </c>
      <c r="N35" t="s">
        <v>4571</v>
      </c>
      <c r="O35" s="35">
        <f t="shared" ref="O35:O66" si="4">IF(N35="","",IF(IFERROR((((F35*Q35))*0.0000007)*E35,"")&gt;=25,24.99,IFERROR((((F35*Q35))*0.0000007)*E35,"")))</f>
        <v>0.48509999999999992</v>
      </c>
      <c r="P35" s="35">
        <f t="shared" ref="P35:P66" si="5">+O35*D35</f>
        <v>0.97019999999999984</v>
      </c>
      <c r="Q35">
        <f>+VLOOKUP(N35,REF!A:C,3,0)</f>
        <v>15</v>
      </c>
      <c r="R35">
        <v>31</v>
      </c>
      <c r="S35">
        <v>22.73</v>
      </c>
      <c r="T35">
        <v>19</v>
      </c>
      <c r="U35">
        <v>770</v>
      </c>
    </row>
    <row r="36" spans="2:21" x14ac:dyDescent="0.25">
      <c r="B36">
        <f t="shared" si="3"/>
        <v>1</v>
      </c>
      <c r="C36">
        <v>1</v>
      </c>
      <c r="D36">
        <v>1</v>
      </c>
      <c r="E36">
        <v>770</v>
      </c>
      <c r="F36">
        <v>400</v>
      </c>
      <c r="I36">
        <v>1</v>
      </c>
      <c r="J36">
        <v>1</v>
      </c>
      <c r="M36" t="s">
        <v>7249</v>
      </c>
      <c r="N36" t="s">
        <v>4571</v>
      </c>
      <c r="O36" s="35">
        <f t="shared" si="4"/>
        <v>3.234</v>
      </c>
      <c r="P36" s="35">
        <f t="shared" si="5"/>
        <v>3.234</v>
      </c>
      <c r="Q36">
        <f>+VLOOKUP(N36,REF!A:C,3,0)</f>
        <v>15</v>
      </c>
      <c r="R36">
        <v>31</v>
      </c>
      <c r="S36">
        <v>22.73</v>
      </c>
      <c r="T36">
        <v>19</v>
      </c>
      <c r="U36">
        <v>770</v>
      </c>
    </row>
    <row r="37" spans="2:21" x14ac:dyDescent="0.25">
      <c r="B37">
        <f t="shared" si="3"/>
        <v>2</v>
      </c>
      <c r="C37">
        <v>1</v>
      </c>
      <c r="D37">
        <v>2</v>
      </c>
      <c r="E37">
        <v>770</v>
      </c>
      <c r="F37">
        <v>80</v>
      </c>
      <c r="I37">
        <v>1</v>
      </c>
      <c r="M37" t="s">
        <v>7249</v>
      </c>
      <c r="N37" t="s">
        <v>4571</v>
      </c>
      <c r="O37" s="35">
        <f t="shared" si="4"/>
        <v>0.64679999999999993</v>
      </c>
      <c r="P37" s="35">
        <f t="shared" si="5"/>
        <v>1.2935999999999999</v>
      </c>
      <c r="Q37">
        <f>+VLOOKUP(N37,REF!A:C,3,0)</f>
        <v>15</v>
      </c>
      <c r="R37">
        <v>31</v>
      </c>
      <c r="S37">
        <v>22.73</v>
      </c>
      <c r="T37">
        <v>19</v>
      </c>
      <c r="U37">
        <v>770</v>
      </c>
    </row>
    <row r="38" spans="2:21" x14ac:dyDescent="0.25">
      <c r="B38">
        <f t="shared" si="3"/>
        <v>1</v>
      </c>
      <c r="C38">
        <v>1</v>
      </c>
      <c r="D38">
        <v>1</v>
      </c>
      <c r="E38">
        <v>770</v>
      </c>
      <c r="F38">
        <v>50</v>
      </c>
      <c r="G38" t="s">
        <v>8713</v>
      </c>
      <c r="M38" t="s">
        <v>7249</v>
      </c>
      <c r="N38" t="s">
        <v>4571</v>
      </c>
      <c r="O38" s="35">
        <f t="shared" si="4"/>
        <v>0.40425</v>
      </c>
      <c r="P38" s="35">
        <f t="shared" si="5"/>
        <v>0.40425</v>
      </c>
      <c r="Q38">
        <f>+VLOOKUP(N38,REF!A:C,3,0)</f>
        <v>15</v>
      </c>
      <c r="R38">
        <v>31</v>
      </c>
      <c r="S38">
        <v>22.73</v>
      </c>
      <c r="T38">
        <v>19</v>
      </c>
      <c r="U38">
        <v>770</v>
      </c>
    </row>
    <row r="39" spans="2:21" x14ac:dyDescent="0.25">
      <c r="B39">
        <f t="shared" si="3"/>
        <v>3</v>
      </c>
      <c r="C39">
        <v>1</v>
      </c>
      <c r="D39">
        <v>3</v>
      </c>
      <c r="E39">
        <v>190</v>
      </c>
      <c r="F39">
        <v>770</v>
      </c>
      <c r="I39">
        <v>2</v>
      </c>
      <c r="J39">
        <v>2</v>
      </c>
      <c r="K39">
        <v>2</v>
      </c>
      <c r="L39">
        <v>2</v>
      </c>
      <c r="M39" t="s">
        <v>7249</v>
      </c>
      <c r="N39" t="s">
        <v>4571</v>
      </c>
      <c r="O39" s="35">
        <f t="shared" si="4"/>
        <v>1.5361500000000001</v>
      </c>
      <c r="P39" s="35">
        <f t="shared" si="5"/>
        <v>4.6084500000000004</v>
      </c>
      <c r="Q39">
        <f>+VLOOKUP(N39,REF!A:C,3,0)</f>
        <v>15</v>
      </c>
      <c r="R39">
        <v>31</v>
      </c>
      <c r="S39">
        <v>22.73</v>
      </c>
      <c r="T39">
        <v>19</v>
      </c>
      <c r="U39">
        <v>770</v>
      </c>
    </row>
    <row r="40" spans="2:21" x14ac:dyDescent="0.25">
      <c r="B40">
        <f t="shared" si="3"/>
        <v>1</v>
      </c>
      <c r="C40">
        <v>1</v>
      </c>
      <c r="D40">
        <v>1</v>
      </c>
      <c r="E40">
        <v>755</v>
      </c>
      <c r="F40">
        <v>520</v>
      </c>
      <c r="I40">
        <v>1</v>
      </c>
      <c r="M40" t="s">
        <v>7249</v>
      </c>
      <c r="N40" t="s">
        <v>4571</v>
      </c>
      <c r="O40" s="35">
        <f t="shared" si="4"/>
        <v>4.1223000000000001</v>
      </c>
      <c r="P40" s="35">
        <f t="shared" si="5"/>
        <v>4.1223000000000001</v>
      </c>
      <c r="Q40">
        <f>+VLOOKUP(N40,REF!A:C,3,0)</f>
        <v>15</v>
      </c>
      <c r="R40">
        <v>32</v>
      </c>
      <c r="S40">
        <v>23.87</v>
      </c>
      <c r="T40">
        <v>24</v>
      </c>
      <c r="U40">
        <v>755</v>
      </c>
    </row>
    <row r="41" spans="2:21" x14ac:dyDescent="0.25">
      <c r="B41">
        <f t="shared" si="3"/>
        <v>5</v>
      </c>
      <c r="C41">
        <v>1</v>
      </c>
      <c r="D41">
        <v>5</v>
      </c>
      <c r="E41">
        <v>750</v>
      </c>
      <c r="F41">
        <v>50</v>
      </c>
      <c r="M41" t="s">
        <v>7249</v>
      </c>
      <c r="N41" t="s">
        <v>4571</v>
      </c>
      <c r="O41" s="35">
        <f t="shared" si="4"/>
        <v>0.39374999999999999</v>
      </c>
      <c r="P41" s="35">
        <f t="shared" si="5"/>
        <v>1.96875</v>
      </c>
      <c r="Q41">
        <f>+VLOOKUP(N41,REF!A:C,3,0)</f>
        <v>15</v>
      </c>
      <c r="R41">
        <v>32</v>
      </c>
      <c r="S41">
        <v>23.87</v>
      </c>
      <c r="T41">
        <v>24</v>
      </c>
      <c r="U41">
        <v>750</v>
      </c>
    </row>
    <row r="42" spans="2:21" x14ac:dyDescent="0.25">
      <c r="B42">
        <f t="shared" si="3"/>
        <v>5</v>
      </c>
      <c r="C42">
        <v>1</v>
      </c>
      <c r="D42">
        <v>5</v>
      </c>
      <c r="E42">
        <v>750</v>
      </c>
      <c r="F42">
        <v>50</v>
      </c>
      <c r="G42" t="s">
        <v>8726</v>
      </c>
      <c r="M42" t="s">
        <v>7249</v>
      </c>
      <c r="N42" t="s">
        <v>4571</v>
      </c>
      <c r="O42" s="35">
        <f t="shared" si="4"/>
        <v>0.39374999999999999</v>
      </c>
      <c r="P42" s="35">
        <f t="shared" si="5"/>
        <v>1.96875</v>
      </c>
      <c r="Q42">
        <f>+VLOOKUP(N42,REF!A:C,3,0)</f>
        <v>15</v>
      </c>
      <c r="R42">
        <v>32</v>
      </c>
      <c r="S42">
        <v>23.87</v>
      </c>
      <c r="T42">
        <v>24</v>
      </c>
      <c r="U42">
        <v>750</v>
      </c>
    </row>
    <row r="43" spans="2:21" x14ac:dyDescent="0.25">
      <c r="B43">
        <f t="shared" si="3"/>
        <v>2</v>
      </c>
      <c r="C43">
        <v>1</v>
      </c>
      <c r="D43">
        <v>2</v>
      </c>
      <c r="E43">
        <v>713</v>
      </c>
      <c r="F43">
        <v>140</v>
      </c>
      <c r="G43" t="s">
        <v>8714</v>
      </c>
      <c r="I43">
        <v>1</v>
      </c>
      <c r="J43">
        <v>1</v>
      </c>
      <c r="M43" t="s">
        <v>7249</v>
      </c>
      <c r="N43" t="s">
        <v>4571</v>
      </c>
      <c r="O43" s="35">
        <f t="shared" si="4"/>
        <v>1.0481099999999999</v>
      </c>
      <c r="P43" s="35">
        <f t="shared" si="5"/>
        <v>2.0962199999999998</v>
      </c>
      <c r="Q43">
        <f>+VLOOKUP(N43,REF!A:C,3,0)</f>
        <v>15</v>
      </c>
      <c r="R43">
        <v>32</v>
      </c>
      <c r="S43">
        <v>23.87</v>
      </c>
      <c r="T43">
        <v>24</v>
      </c>
      <c r="U43">
        <v>713</v>
      </c>
    </row>
    <row r="44" spans="2:21" x14ac:dyDescent="0.25">
      <c r="B44">
        <f t="shared" si="3"/>
        <v>1</v>
      </c>
      <c r="C44">
        <v>1</v>
      </c>
      <c r="D44">
        <v>1</v>
      </c>
      <c r="E44">
        <v>700</v>
      </c>
      <c r="F44">
        <v>450</v>
      </c>
      <c r="I44">
        <v>1</v>
      </c>
      <c r="J44">
        <v>1</v>
      </c>
      <c r="K44">
        <v>1</v>
      </c>
      <c r="L44">
        <v>1</v>
      </c>
      <c r="M44" t="s">
        <v>7249</v>
      </c>
      <c r="N44" t="s">
        <v>4571</v>
      </c>
      <c r="O44" s="35">
        <f t="shared" si="4"/>
        <v>3.3075000000000001</v>
      </c>
      <c r="P44" s="35">
        <f t="shared" si="5"/>
        <v>3.3075000000000001</v>
      </c>
      <c r="Q44">
        <f>+VLOOKUP(N44,REF!A:C,3,0)</f>
        <v>15</v>
      </c>
      <c r="R44">
        <v>32</v>
      </c>
      <c r="S44">
        <v>23.87</v>
      </c>
      <c r="T44">
        <v>24</v>
      </c>
      <c r="U44">
        <v>700</v>
      </c>
    </row>
    <row r="45" spans="2:21" x14ac:dyDescent="0.25">
      <c r="B45">
        <f t="shared" si="3"/>
        <v>6</v>
      </c>
      <c r="C45">
        <v>1</v>
      </c>
      <c r="D45">
        <v>6</v>
      </c>
      <c r="E45">
        <v>693</v>
      </c>
      <c r="F45">
        <v>140</v>
      </c>
      <c r="G45" t="s">
        <v>8727</v>
      </c>
      <c r="I45">
        <v>1</v>
      </c>
      <c r="J45">
        <v>1</v>
      </c>
      <c r="M45" t="s">
        <v>7249</v>
      </c>
      <c r="N45" t="s">
        <v>4571</v>
      </c>
      <c r="O45" s="35">
        <f t="shared" si="4"/>
        <v>1.01871</v>
      </c>
      <c r="P45" s="35">
        <f t="shared" si="5"/>
        <v>6.11226</v>
      </c>
      <c r="Q45">
        <f>+VLOOKUP(N45,REF!A:C,3,0)</f>
        <v>15</v>
      </c>
      <c r="R45">
        <v>32</v>
      </c>
      <c r="S45">
        <v>23.87</v>
      </c>
      <c r="T45">
        <v>24</v>
      </c>
      <c r="U45">
        <v>693</v>
      </c>
    </row>
    <row r="46" spans="2:21" x14ac:dyDescent="0.25">
      <c r="B46">
        <f t="shared" si="3"/>
        <v>1</v>
      </c>
      <c r="C46">
        <v>1</v>
      </c>
      <c r="D46">
        <v>1</v>
      </c>
      <c r="E46">
        <v>670</v>
      </c>
      <c r="F46">
        <v>400</v>
      </c>
      <c r="I46">
        <v>1</v>
      </c>
      <c r="J46">
        <v>1</v>
      </c>
      <c r="M46" t="s">
        <v>7249</v>
      </c>
      <c r="N46" t="s">
        <v>4571</v>
      </c>
      <c r="O46" s="35">
        <f t="shared" si="4"/>
        <v>2.8139999999999996</v>
      </c>
      <c r="P46" s="35">
        <f t="shared" si="5"/>
        <v>2.8139999999999996</v>
      </c>
      <c r="Q46">
        <f>+VLOOKUP(N46,REF!A:C,3,0)</f>
        <v>15</v>
      </c>
      <c r="R46">
        <v>32</v>
      </c>
      <c r="S46">
        <v>23.87</v>
      </c>
      <c r="T46">
        <v>24</v>
      </c>
      <c r="U46">
        <v>670</v>
      </c>
    </row>
    <row r="47" spans="2:21" x14ac:dyDescent="0.25">
      <c r="B47">
        <f t="shared" si="3"/>
        <v>2</v>
      </c>
      <c r="C47">
        <v>1</v>
      </c>
      <c r="D47">
        <v>2</v>
      </c>
      <c r="E47">
        <v>670</v>
      </c>
      <c r="F47">
        <v>80</v>
      </c>
      <c r="I47">
        <v>1</v>
      </c>
      <c r="M47" t="s">
        <v>7249</v>
      </c>
      <c r="N47" t="s">
        <v>4571</v>
      </c>
      <c r="O47" s="35">
        <f t="shared" si="4"/>
        <v>0.56279999999999997</v>
      </c>
      <c r="P47" s="35">
        <f t="shared" si="5"/>
        <v>1.1255999999999999</v>
      </c>
      <c r="Q47">
        <f>+VLOOKUP(N47,REF!A:C,3,0)</f>
        <v>15</v>
      </c>
      <c r="R47">
        <v>32</v>
      </c>
      <c r="S47">
        <v>23.87</v>
      </c>
      <c r="T47">
        <v>24</v>
      </c>
      <c r="U47">
        <v>670</v>
      </c>
    </row>
    <row r="48" spans="2:21" x14ac:dyDescent="0.25">
      <c r="B48">
        <f t="shared" si="3"/>
        <v>1</v>
      </c>
      <c r="C48">
        <v>1</v>
      </c>
      <c r="D48">
        <v>1</v>
      </c>
      <c r="E48">
        <v>670</v>
      </c>
      <c r="F48">
        <v>50</v>
      </c>
      <c r="G48" t="s">
        <v>8729</v>
      </c>
      <c r="M48" t="s">
        <v>7249</v>
      </c>
      <c r="N48" t="s">
        <v>4571</v>
      </c>
      <c r="O48" s="35">
        <f t="shared" si="4"/>
        <v>0.35174999999999995</v>
      </c>
      <c r="P48" s="35">
        <f t="shared" si="5"/>
        <v>0.35174999999999995</v>
      </c>
      <c r="Q48">
        <f>+VLOOKUP(N48,REF!A:C,3,0)</f>
        <v>15</v>
      </c>
      <c r="R48">
        <v>32</v>
      </c>
      <c r="S48">
        <v>23.87</v>
      </c>
      <c r="T48">
        <v>24</v>
      </c>
      <c r="U48">
        <v>670</v>
      </c>
    </row>
    <row r="49" spans="2:21" x14ac:dyDescent="0.25">
      <c r="B49">
        <f t="shared" si="3"/>
        <v>2</v>
      </c>
      <c r="C49">
        <v>1</v>
      </c>
      <c r="D49">
        <v>2</v>
      </c>
      <c r="E49">
        <v>650</v>
      </c>
      <c r="F49">
        <v>550</v>
      </c>
      <c r="I49">
        <v>1</v>
      </c>
      <c r="M49" t="s">
        <v>7249</v>
      </c>
      <c r="N49" t="s">
        <v>4571</v>
      </c>
      <c r="O49" s="35">
        <f t="shared" si="4"/>
        <v>3.7537499999999997</v>
      </c>
      <c r="P49" s="35">
        <f t="shared" si="5"/>
        <v>7.5074999999999994</v>
      </c>
      <c r="Q49">
        <f>+VLOOKUP(N49,REF!A:C,3,0)</f>
        <v>15</v>
      </c>
      <c r="R49">
        <v>33</v>
      </c>
      <c r="S49">
        <v>23.26</v>
      </c>
      <c r="T49">
        <v>7</v>
      </c>
      <c r="U49">
        <v>650</v>
      </c>
    </row>
    <row r="50" spans="2:21" x14ac:dyDescent="0.25">
      <c r="B50">
        <f t="shared" si="3"/>
        <v>5</v>
      </c>
      <c r="C50">
        <v>1</v>
      </c>
      <c r="D50">
        <v>5</v>
      </c>
      <c r="E50">
        <v>600</v>
      </c>
      <c r="F50">
        <v>500</v>
      </c>
      <c r="I50">
        <v>1</v>
      </c>
      <c r="M50" t="s">
        <v>7249</v>
      </c>
      <c r="N50" t="s">
        <v>4571</v>
      </c>
      <c r="O50" s="35">
        <f t="shared" si="4"/>
        <v>3.1499999999999995</v>
      </c>
      <c r="P50" s="35">
        <f t="shared" si="5"/>
        <v>15.749999999999996</v>
      </c>
      <c r="Q50">
        <f>+VLOOKUP(N50,REF!A:C,3,0)</f>
        <v>15</v>
      </c>
      <c r="R50">
        <v>33</v>
      </c>
      <c r="S50">
        <v>23.26</v>
      </c>
      <c r="T50">
        <v>7</v>
      </c>
      <c r="U50">
        <v>600</v>
      </c>
    </row>
    <row r="51" spans="2:21" x14ac:dyDescent="0.25">
      <c r="B51">
        <f t="shared" si="3"/>
        <v>6</v>
      </c>
      <c r="C51">
        <v>1</v>
      </c>
      <c r="D51">
        <v>6</v>
      </c>
      <c r="E51">
        <v>600</v>
      </c>
      <c r="F51">
        <v>60</v>
      </c>
      <c r="G51" t="s">
        <v>8707</v>
      </c>
      <c r="M51" t="s">
        <v>7249</v>
      </c>
      <c r="N51" t="s">
        <v>4571</v>
      </c>
      <c r="O51" s="35">
        <f t="shared" si="4"/>
        <v>0.37799999999999995</v>
      </c>
      <c r="P51" s="35">
        <f t="shared" si="5"/>
        <v>2.2679999999999998</v>
      </c>
      <c r="Q51">
        <f>+VLOOKUP(N51,REF!A:C,3,0)</f>
        <v>15</v>
      </c>
      <c r="R51">
        <v>34</v>
      </c>
      <c r="S51">
        <v>23.69</v>
      </c>
      <c r="T51">
        <v>18</v>
      </c>
      <c r="U51">
        <v>600</v>
      </c>
    </row>
    <row r="52" spans="2:21" x14ac:dyDescent="0.25">
      <c r="B52">
        <f t="shared" si="3"/>
        <v>5</v>
      </c>
      <c r="C52">
        <v>1</v>
      </c>
      <c r="D52">
        <v>5</v>
      </c>
      <c r="E52">
        <v>600</v>
      </c>
      <c r="F52">
        <v>50</v>
      </c>
      <c r="G52" t="s">
        <v>8707</v>
      </c>
      <c r="M52" t="s">
        <v>7249</v>
      </c>
      <c r="N52" t="s">
        <v>4571</v>
      </c>
      <c r="O52" s="35">
        <f t="shared" si="4"/>
        <v>0.315</v>
      </c>
      <c r="P52" s="35">
        <f t="shared" si="5"/>
        <v>1.575</v>
      </c>
      <c r="Q52">
        <f>+VLOOKUP(N52,REF!A:C,3,0)</f>
        <v>15</v>
      </c>
      <c r="R52">
        <v>34</v>
      </c>
      <c r="S52">
        <v>23.69</v>
      </c>
      <c r="T52">
        <v>18</v>
      </c>
      <c r="U52">
        <v>600</v>
      </c>
    </row>
    <row r="53" spans="2:21" x14ac:dyDescent="0.25">
      <c r="B53">
        <f t="shared" si="3"/>
        <v>2</v>
      </c>
      <c r="C53">
        <v>1</v>
      </c>
      <c r="D53">
        <v>2</v>
      </c>
      <c r="E53">
        <v>600</v>
      </c>
      <c r="F53">
        <v>450</v>
      </c>
      <c r="I53">
        <v>1</v>
      </c>
      <c r="J53">
        <v>1</v>
      </c>
      <c r="M53" t="s">
        <v>7249</v>
      </c>
      <c r="N53" t="s">
        <v>4571</v>
      </c>
      <c r="O53" s="35">
        <f t="shared" si="4"/>
        <v>2.835</v>
      </c>
      <c r="P53" s="35">
        <f t="shared" si="5"/>
        <v>5.67</v>
      </c>
      <c r="Q53">
        <f>+VLOOKUP(N53,REF!A:C,3,0)</f>
        <v>15</v>
      </c>
      <c r="R53">
        <v>34</v>
      </c>
      <c r="S53">
        <v>23.69</v>
      </c>
      <c r="T53">
        <v>18</v>
      </c>
      <c r="U53">
        <v>600</v>
      </c>
    </row>
    <row r="54" spans="2:21" x14ac:dyDescent="0.25">
      <c r="B54">
        <f t="shared" si="3"/>
        <v>1</v>
      </c>
      <c r="C54">
        <v>1</v>
      </c>
      <c r="D54">
        <v>1</v>
      </c>
      <c r="E54">
        <v>600</v>
      </c>
      <c r="F54">
        <v>450</v>
      </c>
      <c r="I54">
        <v>1</v>
      </c>
      <c r="J54">
        <v>1</v>
      </c>
      <c r="K54">
        <v>1</v>
      </c>
      <c r="L54">
        <v>1</v>
      </c>
      <c r="M54" t="s">
        <v>7249</v>
      </c>
      <c r="N54" t="s">
        <v>4571</v>
      </c>
      <c r="O54" s="35">
        <f t="shared" si="4"/>
        <v>2.835</v>
      </c>
      <c r="P54" s="35">
        <f t="shared" si="5"/>
        <v>2.835</v>
      </c>
      <c r="Q54">
        <f>+VLOOKUP(N54,REF!A:C,3,0)</f>
        <v>15</v>
      </c>
      <c r="R54">
        <v>34</v>
      </c>
      <c r="S54">
        <v>23.69</v>
      </c>
      <c r="T54">
        <v>18</v>
      </c>
      <c r="U54">
        <v>600</v>
      </c>
    </row>
    <row r="55" spans="2:21" x14ac:dyDescent="0.25">
      <c r="B55">
        <f t="shared" si="3"/>
        <v>2</v>
      </c>
      <c r="C55">
        <v>1</v>
      </c>
      <c r="D55">
        <v>2</v>
      </c>
      <c r="E55">
        <v>600</v>
      </c>
      <c r="F55">
        <v>450</v>
      </c>
      <c r="I55">
        <v>1</v>
      </c>
      <c r="J55">
        <v>1</v>
      </c>
      <c r="M55" t="s">
        <v>7249</v>
      </c>
      <c r="N55" t="s">
        <v>4571</v>
      </c>
      <c r="O55" s="35">
        <f t="shared" si="4"/>
        <v>2.835</v>
      </c>
      <c r="P55" s="35">
        <f t="shared" si="5"/>
        <v>5.67</v>
      </c>
      <c r="Q55">
        <f>+VLOOKUP(N55,REF!A:C,3,0)</f>
        <v>15</v>
      </c>
      <c r="R55">
        <v>34</v>
      </c>
      <c r="S55">
        <v>23.69</v>
      </c>
      <c r="T55">
        <v>18</v>
      </c>
      <c r="U55">
        <v>600</v>
      </c>
    </row>
    <row r="56" spans="2:21" x14ac:dyDescent="0.25">
      <c r="B56">
        <f t="shared" si="3"/>
        <v>2</v>
      </c>
      <c r="C56">
        <v>1</v>
      </c>
      <c r="D56">
        <v>2</v>
      </c>
      <c r="E56">
        <v>600</v>
      </c>
      <c r="F56">
        <v>450</v>
      </c>
      <c r="I56">
        <v>1</v>
      </c>
      <c r="J56">
        <v>1</v>
      </c>
      <c r="M56" t="s">
        <v>7249</v>
      </c>
      <c r="N56" t="s">
        <v>4571</v>
      </c>
      <c r="O56" s="35">
        <f t="shared" si="4"/>
        <v>2.835</v>
      </c>
      <c r="P56" s="35">
        <f t="shared" si="5"/>
        <v>5.67</v>
      </c>
      <c r="Q56">
        <f>+VLOOKUP(N56,REF!A:C,3,0)</f>
        <v>15</v>
      </c>
      <c r="R56">
        <v>34</v>
      </c>
      <c r="S56">
        <v>23.69</v>
      </c>
      <c r="T56">
        <v>18</v>
      </c>
      <c r="U56">
        <v>600</v>
      </c>
    </row>
    <row r="57" spans="2:21" x14ac:dyDescent="0.25">
      <c r="B57">
        <f t="shared" si="3"/>
        <v>2</v>
      </c>
      <c r="C57">
        <v>1</v>
      </c>
      <c r="D57">
        <v>2</v>
      </c>
      <c r="E57">
        <v>600</v>
      </c>
      <c r="F57">
        <v>450</v>
      </c>
      <c r="I57">
        <v>1</v>
      </c>
      <c r="J57">
        <v>1</v>
      </c>
      <c r="M57" t="s">
        <v>7249</v>
      </c>
      <c r="N57" t="s">
        <v>4571</v>
      </c>
      <c r="O57" s="35">
        <f t="shared" si="4"/>
        <v>2.835</v>
      </c>
      <c r="P57" s="35">
        <f t="shared" si="5"/>
        <v>5.67</v>
      </c>
      <c r="Q57">
        <f>+VLOOKUP(N57,REF!A:C,3,0)</f>
        <v>15</v>
      </c>
      <c r="R57">
        <v>35</v>
      </c>
      <c r="S57">
        <v>18.21</v>
      </c>
      <c r="T57">
        <v>9</v>
      </c>
      <c r="U57">
        <v>600</v>
      </c>
    </row>
    <row r="58" spans="2:21" x14ac:dyDescent="0.25">
      <c r="B58">
        <f t="shared" si="3"/>
        <v>1</v>
      </c>
      <c r="C58">
        <v>1</v>
      </c>
      <c r="D58">
        <v>1</v>
      </c>
      <c r="E58">
        <v>570</v>
      </c>
      <c r="F58">
        <v>400</v>
      </c>
      <c r="I58">
        <v>1</v>
      </c>
      <c r="J58">
        <v>1</v>
      </c>
      <c r="M58" t="s">
        <v>7249</v>
      </c>
      <c r="N58" t="s">
        <v>4571</v>
      </c>
      <c r="O58" s="35">
        <f t="shared" si="4"/>
        <v>2.3939999999999997</v>
      </c>
      <c r="P58" s="35">
        <f t="shared" si="5"/>
        <v>2.3939999999999997</v>
      </c>
      <c r="Q58">
        <f>+VLOOKUP(N58,REF!A:C,3,0)</f>
        <v>15</v>
      </c>
      <c r="R58">
        <v>35</v>
      </c>
      <c r="S58">
        <v>18.21</v>
      </c>
      <c r="T58">
        <v>9</v>
      </c>
      <c r="U58">
        <v>570</v>
      </c>
    </row>
    <row r="59" spans="2:21" x14ac:dyDescent="0.25">
      <c r="B59">
        <f t="shared" si="3"/>
        <v>2</v>
      </c>
      <c r="C59">
        <v>1</v>
      </c>
      <c r="D59">
        <v>2</v>
      </c>
      <c r="E59">
        <v>570</v>
      </c>
      <c r="F59">
        <v>80</v>
      </c>
      <c r="I59">
        <v>1</v>
      </c>
      <c r="M59" t="s">
        <v>7249</v>
      </c>
      <c r="N59" t="s">
        <v>4571</v>
      </c>
      <c r="O59" s="35">
        <f t="shared" si="4"/>
        <v>0.47879999999999995</v>
      </c>
      <c r="P59" s="35">
        <f t="shared" si="5"/>
        <v>0.9575999999999999</v>
      </c>
      <c r="Q59">
        <f>+VLOOKUP(N59,REF!A:C,3,0)</f>
        <v>15</v>
      </c>
      <c r="R59">
        <v>35</v>
      </c>
      <c r="S59">
        <v>18.21</v>
      </c>
      <c r="T59">
        <v>9</v>
      </c>
      <c r="U59">
        <v>570</v>
      </c>
    </row>
    <row r="60" spans="2:21" x14ac:dyDescent="0.25">
      <c r="B60">
        <f t="shared" si="3"/>
        <v>1</v>
      </c>
      <c r="C60">
        <v>1</v>
      </c>
      <c r="D60">
        <v>1</v>
      </c>
      <c r="E60">
        <v>570</v>
      </c>
      <c r="F60">
        <v>50</v>
      </c>
      <c r="G60" t="s">
        <v>8730</v>
      </c>
      <c r="M60" t="s">
        <v>7249</v>
      </c>
      <c r="N60" t="s">
        <v>4571</v>
      </c>
      <c r="O60" s="35">
        <f t="shared" si="4"/>
        <v>0.29924999999999996</v>
      </c>
      <c r="P60" s="35">
        <f t="shared" si="5"/>
        <v>0.29924999999999996</v>
      </c>
      <c r="Q60">
        <f>+VLOOKUP(N60,REF!A:C,3,0)</f>
        <v>15</v>
      </c>
      <c r="R60">
        <v>35</v>
      </c>
      <c r="S60">
        <v>18.21</v>
      </c>
      <c r="T60">
        <v>9</v>
      </c>
      <c r="U60">
        <v>570</v>
      </c>
    </row>
    <row r="61" spans="2:21" x14ac:dyDescent="0.25">
      <c r="B61">
        <f t="shared" si="3"/>
        <v>1</v>
      </c>
      <c r="C61">
        <v>1</v>
      </c>
      <c r="D61">
        <v>1</v>
      </c>
      <c r="E61">
        <v>550</v>
      </c>
      <c r="F61">
        <v>450</v>
      </c>
      <c r="I61">
        <v>1</v>
      </c>
      <c r="J61">
        <v>1</v>
      </c>
      <c r="K61">
        <v>1</v>
      </c>
      <c r="L61">
        <v>1</v>
      </c>
      <c r="M61" t="s">
        <v>7249</v>
      </c>
      <c r="N61" t="s">
        <v>4571</v>
      </c>
      <c r="O61" s="35">
        <f t="shared" si="4"/>
        <v>2.5987499999999999</v>
      </c>
      <c r="P61" s="35">
        <f t="shared" si="5"/>
        <v>2.5987499999999999</v>
      </c>
      <c r="Q61">
        <f>+VLOOKUP(N61,REF!A:C,3,0)</f>
        <v>15</v>
      </c>
      <c r="R61">
        <v>35</v>
      </c>
      <c r="S61">
        <v>18.21</v>
      </c>
      <c r="T61">
        <v>9</v>
      </c>
      <c r="U61">
        <v>550</v>
      </c>
    </row>
    <row r="62" spans="2:21" x14ac:dyDescent="0.25">
      <c r="B62">
        <f t="shared" si="3"/>
        <v>2</v>
      </c>
      <c r="C62">
        <v>1</v>
      </c>
      <c r="D62">
        <v>2</v>
      </c>
      <c r="E62">
        <v>545</v>
      </c>
      <c r="F62">
        <v>550</v>
      </c>
      <c r="G62" t="s">
        <v>8723</v>
      </c>
      <c r="I62">
        <v>2</v>
      </c>
      <c r="J62">
        <v>2</v>
      </c>
      <c r="K62">
        <v>2</v>
      </c>
      <c r="L62">
        <v>2</v>
      </c>
      <c r="M62" t="s">
        <v>7249</v>
      </c>
      <c r="N62" t="s">
        <v>4571</v>
      </c>
      <c r="O62" s="35">
        <f t="shared" si="4"/>
        <v>3.1473749999999998</v>
      </c>
      <c r="P62" s="35">
        <f t="shared" si="5"/>
        <v>6.2947499999999996</v>
      </c>
      <c r="Q62">
        <f>+VLOOKUP(N62,REF!A:C,3,0)</f>
        <v>15</v>
      </c>
      <c r="R62">
        <v>35</v>
      </c>
      <c r="S62">
        <v>18.21</v>
      </c>
      <c r="T62">
        <v>9</v>
      </c>
      <c r="U62">
        <v>550</v>
      </c>
    </row>
    <row r="63" spans="2:21" x14ac:dyDescent="0.25">
      <c r="B63">
        <f t="shared" si="3"/>
        <v>6</v>
      </c>
      <c r="C63">
        <v>1</v>
      </c>
      <c r="D63">
        <v>6</v>
      </c>
      <c r="E63">
        <v>490</v>
      </c>
      <c r="F63">
        <v>550</v>
      </c>
      <c r="I63">
        <v>1</v>
      </c>
      <c r="M63" t="s">
        <v>7249</v>
      </c>
      <c r="N63" t="s">
        <v>4571</v>
      </c>
      <c r="O63" s="35">
        <f t="shared" si="4"/>
        <v>2.8297499999999998</v>
      </c>
      <c r="P63" s="35">
        <f t="shared" si="5"/>
        <v>16.978499999999997</v>
      </c>
      <c r="Q63">
        <f>+VLOOKUP(N63,REF!A:C,3,0)</f>
        <v>15</v>
      </c>
      <c r="R63">
        <v>36</v>
      </c>
      <c r="S63">
        <v>22.7</v>
      </c>
      <c r="T63">
        <v>8</v>
      </c>
      <c r="U63">
        <v>550</v>
      </c>
    </row>
    <row r="64" spans="2:21" x14ac:dyDescent="0.25">
      <c r="B64">
        <f t="shared" si="3"/>
        <v>2</v>
      </c>
      <c r="C64">
        <v>1</v>
      </c>
      <c r="D64">
        <v>2</v>
      </c>
      <c r="E64">
        <v>545</v>
      </c>
      <c r="F64">
        <v>500</v>
      </c>
      <c r="G64" t="s">
        <v>8723</v>
      </c>
      <c r="I64">
        <v>2</v>
      </c>
      <c r="J64">
        <v>2</v>
      </c>
      <c r="K64">
        <v>2</v>
      </c>
      <c r="L64">
        <v>2</v>
      </c>
      <c r="M64" t="s">
        <v>7249</v>
      </c>
      <c r="N64" t="s">
        <v>4571</v>
      </c>
      <c r="O64" s="35">
        <f t="shared" si="4"/>
        <v>2.8612499999999996</v>
      </c>
      <c r="P64" s="35">
        <f t="shared" si="5"/>
        <v>5.7224999999999993</v>
      </c>
      <c r="Q64">
        <f>+VLOOKUP(N64,REF!A:C,3,0)</f>
        <v>15</v>
      </c>
      <c r="R64">
        <v>36</v>
      </c>
      <c r="S64">
        <v>22.7</v>
      </c>
      <c r="T64">
        <v>8</v>
      </c>
      <c r="U64">
        <v>545</v>
      </c>
    </row>
    <row r="65" spans="2:21" x14ac:dyDescent="0.25">
      <c r="B65">
        <f t="shared" si="3"/>
        <v>2</v>
      </c>
      <c r="C65">
        <v>1</v>
      </c>
      <c r="D65">
        <v>2</v>
      </c>
      <c r="E65">
        <v>545</v>
      </c>
      <c r="F65">
        <v>450</v>
      </c>
      <c r="G65" t="s">
        <v>8723</v>
      </c>
      <c r="I65">
        <v>2</v>
      </c>
      <c r="J65">
        <v>2</v>
      </c>
      <c r="K65">
        <v>2</v>
      </c>
      <c r="L65">
        <v>2</v>
      </c>
      <c r="M65" t="s">
        <v>7249</v>
      </c>
      <c r="N65" t="s">
        <v>4571</v>
      </c>
      <c r="O65" s="35">
        <f t="shared" si="4"/>
        <v>2.5751249999999999</v>
      </c>
      <c r="P65" s="35">
        <f t="shared" si="5"/>
        <v>5.1502499999999998</v>
      </c>
      <c r="Q65">
        <f>+VLOOKUP(N65,REF!A:C,3,0)</f>
        <v>15</v>
      </c>
      <c r="R65">
        <v>37</v>
      </c>
      <c r="S65">
        <v>18.13</v>
      </c>
      <c r="T65">
        <v>14</v>
      </c>
      <c r="U65">
        <v>545</v>
      </c>
    </row>
    <row r="66" spans="2:21" x14ac:dyDescent="0.25">
      <c r="B66">
        <f t="shared" si="3"/>
        <v>2</v>
      </c>
      <c r="C66">
        <v>1</v>
      </c>
      <c r="D66">
        <v>2</v>
      </c>
      <c r="E66">
        <v>545</v>
      </c>
      <c r="F66">
        <v>425</v>
      </c>
      <c r="G66" t="s">
        <v>8723</v>
      </c>
      <c r="I66">
        <v>2</v>
      </c>
      <c r="J66">
        <v>2</v>
      </c>
      <c r="K66">
        <v>2</v>
      </c>
      <c r="L66">
        <v>2</v>
      </c>
      <c r="M66" t="s">
        <v>7249</v>
      </c>
      <c r="N66" t="s">
        <v>4571</v>
      </c>
      <c r="O66" s="35">
        <f t="shared" si="4"/>
        <v>2.4320624999999998</v>
      </c>
      <c r="P66" s="35">
        <f t="shared" si="5"/>
        <v>4.8641249999999996</v>
      </c>
      <c r="Q66">
        <f>+VLOOKUP(N66,REF!A:C,3,0)</f>
        <v>15</v>
      </c>
      <c r="R66">
        <v>37</v>
      </c>
      <c r="S66">
        <v>18.13</v>
      </c>
      <c r="T66">
        <v>14</v>
      </c>
      <c r="U66">
        <v>545</v>
      </c>
    </row>
    <row r="67" spans="2:21" x14ac:dyDescent="0.25">
      <c r="B67">
        <f t="shared" ref="B67:B98" si="6">+D67</f>
        <v>6</v>
      </c>
      <c r="C67">
        <v>1</v>
      </c>
      <c r="D67">
        <v>6</v>
      </c>
      <c r="E67">
        <v>543</v>
      </c>
      <c r="F67">
        <v>140</v>
      </c>
      <c r="G67" t="s">
        <v>8709</v>
      </c>
      <c r="I67">
        <v>1</v>
      </c>
      <c r="J67">
        <v>1</v>
      </c>
      <c r="M67" t="s">
        <v>7249</v>
      </c>
      <c r="N67" t="s">
        <v>4571</v>
      </c>
      <c r="O67" s="35">
        <f t="shared" ref="O67:O98" si="7">IF(N67="","",IF(IFERROR((((F67*Q67))*0.0000007)*E67,"")&gt;=25,24.99,IFERROR((((F67*Q67))*0.0000007)*E67,"")))</f>
        <v>0.79820999999999998</v>
      </c>
      <c r="P67" s="35">
        <f t="shared" ref="P67:P98" si="8">+O67*D67</f>
        <v>4.7892599999999996</v>
      </c>
      <c r="Q67">
        <f>+VLOOKUP(N67,REF!A:C,3,0)</f>
        <v>15</v>
      </c>
      <c r="R67">
        <v>37</v>
      </c>
      <c r="S67">
        <v>18.13</v>
      </c>
      <c r="T67">
        <v>14</v>
      </c>
      <c r="U67">
        <v>543</v>
      </c>
    </row>
    <row r="68" spans="2:21" x14ac:dyDescent="0.25">
      <c r="B68">
        <f t="shared" si="6"/>
        <v>1</v>
      </c>
      <c r="C68">
        <v>1</v>
      </c>
      <c r="D68">
        <v>1</v>
      </c>
      <c r="E68">
        <v>520</v>
      </c>
      <c r="F68">
        <v>400</v>
      </c>
      <c r="I68">
        <v>1</v>
      </c>
      <c r="J68">
        <v>1</v>
      </c>
      <c r="M68" t="s">
        <v>7249</v>
      </c>
      <c r="N68" t="s">
        <v>4571</v>
      </c>
      <c r="O68" s="35">
        <f t="shared" si="7"/>
        <v>2.1839999999999997</v>
      </c>
      <c r="P68" s="35">
        <f t="shared" si="8"/>
        <v>2.1839999999999997</v>
      </c>
      <c r="Q68">
        <f>+VLOOKUP(N68,REF!A:C,3,0)</f>
        <v>15</v>
      </c>
      <c r="R68">
        <v>37</v>
      </c>
      <c r="S68">
        <v>18.13</v>
      </c>
      <c r="T68">
        <v>14</v>
      </c>
      <c r="U68">
        <v>520</v>
      </c>
    </row>
    <row r="69" spans="2:21" x14ac:dyDescent="0.25">
      <c r="B69">
        <f t="shared" si="6"/>
        <v>2</v>
      </c>
      <c r="C69">
        <v>1</v>
      </c>
      <c r="D69">
        <v>2</v>
      </c>
      <c r="E69">
        <v>520</v>
      </c>
      <c r="F69">
        <v>80</v>
      </c>
      <c r="I69">
        <v>1</v>
      </c>
      <c r="M69" t="s">
        <v>7249</v>
      </c>
      <c r="N69" t="s">
        <v>4571</v>
      </c>
      <c r="O69" s="35">
        <f t="shared" si="7"/>
        <v>0.43679999999999997</v>
      </c>
      <c r="P69" s="35">
        <f t="shared" si="8"/>
        <v>0.87359999999999993</v>
      </c>
      <c r="Q69">
        <f>+VLOOKUP(N69,REF!A:C,3,0)</f>
        <v>15</v>
      </c>
      <c r="R69">
        <v>37</v>
      </c>
      <c r="S69">
        <v>18.13</v>
      </c>
      <c r="T69">
        <v>14</v>
      </c>
      <c r="U69">
        <v>520</v>
      </c>
    </row>
    <row r="70" spans="2:21" x14ac:dyDescent="0.25">
      <c r="B70">
        <f t="shared" si="6"/>
        <v>1</v>
      </c>
      <c r="C70">
        <v>1</v>
      </c>
      <c r="D70">
        <v>1</v>
      </c>
      <c r="E70">
        <v>520</v>
      </c>
      <c r="F70">
        <v>50</v>
      </c>
      <c r="G70" t="s">
        <v>8731</v>
      </c>
      <c r="M70" t="s">
        <v>7249</v>
      </c>
      <c r="N70" t="s">
        <v>4571</v>
      </c>
      <c r="O70" s="35">
        <f t="shared" si="7"/>
        <v>0.27299999999999996</v>
      </c>
      <c r="P70" s="35">
        <f t="shared" si="8"/>
        <v>0.27299999999999996</v>
      </c>
      <c r="Q70">
        <f>+VLOOKUP(N70,REF!A:C,3,0)</f>
        <v>15</v>
      </c>
      <c r="R70">
        <v>37</v>
      </c>
      <c r="S70">
        <v>18.13</v>
      </c>
      <c r="T70">
        <v>14</v>
      </c>
      <c r="U70">
        <v>520</v>
      </c>
    </row>
    <row r="71" spans="2:21" x14ac:dyDescent="0.25">
      <c r="B71">
        <f t="shared" si="6"/>
        <v>3</v>
      </c>
      <c r="C71">
        <v>1</v>
      </c>
      <c r="D71">
        <v>3</v>
      </c>
      <c r="E71">
        <v>500</v>
      </c>
      <c r="F71">
        <v>500</v>
      </c>
      <c r="I71">
        <v>1</v>
      </c>
      <c r="M71" t="s">
        <v>7249</v>
      </c>
      <c r="N71" t="s">
        <v>4571</v>
      </c>
      <c r="O71" s="35">
        <f t="shared" si="7"/>
        <v>2.6249999999999996</v>
      </c>
      <c r="P71" s="35">
        <f t="shared" si="8"/>
        <v>7.8749999999999982</v>
      </c>
      <c r="Q71">
        <f>+VLOOKUP(N71,REF!A:C,3,0)</f>
        <v>15</v>
      </c>
      <c r="R71">
        <v>38</v>
      </c>
      <c r="S71">
        <v>24.59</v>
      </c>
      <c r="T71">
        <v>21</v>
      </c>
      <c r="U71">
        <v>500</v>
      </c>
    </row>
    <row r="72" spans="2:21" x14ac:dyDescent="0.25">
      <c r="B72">
        <f t="shared" si="6"/>
        <v>7</v>
      </c>
      <c r="C72">
        <v>1</v>
      </c>
      <c r="D72">
        <v>7</v>
      </c>
      <c r="E72">
        <v>495</v>
      </c>
      <c r="F72">
        <v>60</v>
      </c>
      <c r="G72" t="s">
        <v>8706</v>
      </c>
      <c r="M72" t="s">
        <v>7249</v>
      </c>
      <c r="N72" t="s">
        <v>4571</v>
      </c>
      <c r="O72" s="35">
        <f t="shared" si="7"/>
        <v>0.31184999999999996</v>
      </c>
      <c r="P72" s="35">
        <f t="shared" si="8"/>
        <v>2.1829499999999999</v>
      </c>
      <c r="Q72">
        <f>+VLOOKUP(N72,REF!A:C,3,0)</f>
        <v>15</v>
      </c>
      <c r="R72">
        <v>38</v>
      </c>
      <c r="S72">
        <v>24.59</v>
      </c>
      <c r="T72">
        <v>21</v>
      </c>
      <c r="U72">
        <v>495</v>
      </c>
    </row>
    <row r="73" spans="2:21" x14ac:dyDescent="0.25">
      <c r="B73">
        <f t="shared" si="6"/>
        <v>2</v>
      </c>
      <c r="C73">
        <v>1</v>
      </c>
      <c r="D73">
        <v>2</v>
      </c>
      <c r="E73">
        <v>470</v>
      </c>
      <c r="F73">
        <v>480</v>
      </c>
      <c r="G73" t="s">
        <v>8716</v>
      </c>
      <c r="I73">
        <v>1</v>
      </c>
      <c r="M73" t="s">
        <v>7249</v>
      </c>
      <c r="N73" t="s">
        <v>4571</v>
      </c>
      <c r="O73" s="35">
        <f t="shared" si="7"/>
        <v>2.3687999999999998</v>
      </c>
      <c r="P73" s="35">
        <f t="shared" si="8"/>
        <v>4.7375999999999996</v>
      </c>
      <c r="Q73">
        <f>+VLOOKUP(N73,REF!A:C,3,0)</f>
        <v>15</v>
      </c>
      <c r="R73">
        <v>38</v>
      </c>
      <c r="S73">
        <v>24.59</v>
      </c>
      <c r="T73">
        <v>21</v>
      </c>
      <c r="U73">
        <v>480</v>
      </c>
    </row>
    <row r="74" spans="2:21" x14ac:dyDescent="0.25">
      <c r="B74">
        <f t="shared" si="6"/>
        <v>3</v>
      </c>
      <c r="C74">
        <v>1</v>
      </c>
      <c r="D74">
        <v>3</v>
      </c>
      <c r="E74">
        <v>280</v>
      </c>
      <c r="F74">
        <v>480</v>
      </c>
      <c r="I74">
        <v>1</v>
      </c>
      <c r="M74" t="s">
        <v>7249</v>
      </c>
      <c r="N74" t="s">
        <v>4571</v>
      </c>
      <c r="O74" s="35">
        <f t="shared" si="7"/>
        <v>1.4111999999999998</v>
      </c>
      <c r="P74" s="35">
        <f t="shared" si="8"/>
        <v>4.2335999999999991</v>
      </c>
      <c r="Q74">
        <f>+VLOOKUP(N74,REF!A:C,3,0)</f>
        <v>15</v>
      </c>
      <c r="R74">
        <v>38</v>
      </c>
      <c r="S74">
        <v>24.59</v>
      </c>
      <c r="T74">
        <v>21</v>
      </c>
      <c r="U74">
        <v>480</v>
      </c>
    </row>
    <row r="75" spans="2:21" x14ac:dyDescent="0.25">
      <c r="B75">
        <f t="shared" si="6"/>
        <v>2</v>
      </c>
      <c r="C75">
        <v>1</v>
      </c>
      <c r="D75">
        <v>2</v>
      </c>
      <c r="E75">
        <v>280</v>
      </c>
      <c r="F75">
        <v>480</v>
      </c>
      <c r="I75">
        <v>1</v>
      </c>
      <c r="M75" t="s">
        <v>7249</v>
      </c>
      <c r="N75" t="s">
        <v>4571</v>
      </c>
      <c r="O75" s="35">
        <f t="shared" si="7"/>
        <v>1.4111999999999998</v>
      </c>
      <c r="P75" s="35">
        <f t="shared" si="8"/>
        <v>2.8223999999999996</v>
      </c>
      <c r="Q75">
        <f>+VLOOKUP(N75,REF!A:C,3,0)</f>
        <v>15</v>
      </c>
      <c r="R75">
        <v>38</v>
      </c>
      <c r="S75">
        <v>24.59</v>
      </c>
      <c r="T75">
        <v>21</v>
      </c>
      <c r="U75">
        <v>480</v>
      </c>
    </row>
    <row r="76" spans="2:21" x14ac:dyDescent="0.25">
      <c r="B76">
        <f t="shared" si="6"/>
        <v>4</v>
      </c>
      <c r="C76">
        <v>1</v>
      </c>
      <c r="D76">
        <v>4</v>
      </c>
      <c r="E76">
        <v>465</v>
      </c>
      <c r="F76">
        <v>140</v>
      </c>
      <c r="G76" t="s">
        <v>8712</v>
      </c>
      <c r="I76">
        <v>1</v>
      </c>
      <c r="J76">
        <v>1</v>
      </c>
      <c r="M76" t="s">
        <v>7249</v>
      </c>
      <c r="N76" t="s">
        <v>4571</v>
      </c>
      <c r="O76" s="35">
        <f t="shared" si="7"/>
        <v>0.68354999999999999</v>
      </c>
      <c r="P76" s="35">
        <f t="shared" si="8"/>
        <v>2.7342</v>
      </c>
      <c r="Q76">
        <f>+VLOOKUP(N76,REF!A:C,3,0)</f>
        <v>15</v>
      </c>
      <c r="R76">
        <v>38</v>
      </c>
      <c r="S76">
        <v>24.59</v>
      </c>
      <c r="T76">
        <v>21</v>
      </c>
      <c r="U76">
        <v>465</v>
      </c>
    </row>
    <row r="77" spans="2:21" x14ac:dyDescent="0.25">
      <c r="B77">
        <f t="shared" si="6"/>
        <v>14</v>
      </c>
      <c r="C77">
        <v>1</v>
      </c>
      <c r="D77">
        <v>14</v>
      </c>
      <c r="E77">
        <v>450</v>
      </c>
      <c r="F77">
        <v>100</v>
      </c>
      <c r="I77">
        <v>1</v>
      </c>
      <c r="J77">
        <v>1</v>
      </c>
      <c r="M77" t="s">
        <v>7249</v>
      </c>
      <c r="N77" t="s">
        <v>4571</v>
      </c>
      <c r="O77" s="35">
        <f t="shared" si="7"/>
        <v>0.47249999999999998</v>
      </c>
      <c r="P77" s="35">
        <f t="shared" si="8"/>
        <v>6.6149999999999993</v>
      </c>
      <c r="Q77">
        <f>+VLOOKUP(N77,REF!A:C,3,0)</f>
        <v>15</v>
      </c>
      <c r="R77">
        <v>39</v>
      </c>
      <c r="S77">
        <v>21.17</v>
      </c>
      <c r="T77">
        <v>36</v>
      </c>
      <c r="U77">
        <v>450</v>
      </c>
    </row>
    <row r="78" spans="2:21" x14ac:dyDescent="0.25">
      <c r="B78">
        <f t="shared" si="6"/>
        <v>6</v>
      </c>
      <c r="C78">
        <v>1</v>
      </c>
      <c r="D78">
        <v>6</v>
      </c>
      <c r="E78">
        <v>450</v>
      </c>
      <c r="F78">
        <v>140</v>
      </c>
      <c r="G78" t="s">
        <v>8708</v>
      </c>
      <c r="I78">
        <v>1</v>
      </c>
      <c r="J78">
        <v>1</v>
      </c>
      <c r="M78" t="s">
        <v>7249</v>
      </c>
      <c r="N78" t="s">
        <v>4571</v>
      </c>
      <c r="O78" s="35">
        <f t="shared" si="7"/>
        <v>0.66149999999999998</v>
      </c>
      <c r="P78" s="35">
        <f t="shared" si="8"/>
        <v>3.9689999999999999</v>
      </c>
      <c r="Q78">
        <f>+VLOOKUP(N78,REF!A:C,3,0)</f>
        <v>15</v>
      </c>
      <c r="R78">
        <v>39</v>
      </c>
      <c r="S78">
        <v>21.17</v>
      </c>
      <c r="T78">
        <v>36</v>
      </c>
      <c r="U78">
        <v>450</v>
      </c>
    </row>
    <row r="79" spans="2:21" x14ac:dyDescent="0.25">
      <c r="B79">
        <f t="shared" si="6"/>
        <v>4</v>
      </c>
      <c r="C79">
        <v>1</v>
      </c>
      <c r="D79">
        <v>4</v>
      </c>
      <c r="E79">
        <v>450</v>
      </c>
      <c r="F79">
        <v>140</v>
      </c>
      <c r="G79" t="s">
        <v>8711</v>
      </c>
      <c r="I79">
        <v>1</v>
      </c>
      <c r="J79">
        <v>1</v>
      </c>
      <c r="M79" t="s">
        <v>7249</v>
      </c>
      <c r="N79" t="s">
        <v>4571</v>
      </c>
      <c r="O79" s="35">
        <f t="shared" si="7"/>
        <v>0.66149999999999998</v>
      </c>
      <c r="P79" s="35">
        <f t="shared" si="8"/>
        <v>2.6459999999999999</v>
      </c>
      <c r="Q79">
        <f>+VLOOKUP(N79,REF!A:C,3,0)</f>
        <v>15</v>
      </c>
      <c r="R79">
        <v>39</v>
      </c>
      <c r="S79">
        <v>21.17</v>
      </c>
      <c r="T79">
        <v>36</v>
      </c>
      <c r="U79">
        <v>450</v>
      </c>
    </row>
    <row r="80" spans="2:21" x14ac:dyDescent="0.25">
      <c r="B80">
        <f t="shared" si="6"/>
        <v>2</v>
      </c>
      <c r="C80">
        <v>1</v>
      </c>
      <c r="D80">
        <v>2</v>
      </c>
      <c r="E80">
        <v>450</v>
      </c>
      <c r="F80">
        <v>140</v>
      </c>
      <c r="G80" t="s">
        <v>8711</v>
      </c>
      <c r="I80">
        <v>1</v>
      </c>
      <c r="J80">
        <v>1</v>
      </c>
      <c r="M80" t="s">
        <v>7249</v>
      </c>
      <c r="N80" t="s">
        <v>4571</v>
      </c>
      <c r="O80" s="35">
        <f t="shared" si="7"/>
        <v>0.66149999999999998</v>
      </c>
      <c r="P80" s="35">
        <f t="shared" si="8"/>
        <v>1.323</v>
      </c>
      <c r="Q80">
        <f>+VLOOKUP(N80,REF!A:C,3,0)</f>
        <v>15</v>
      </c>
      <c r="R80">
        <v>39</v>
      </c>
      <c r="S80">
        <v>21.17</v>
      </c>
      <c r="T80">
        <v>36</v>
      </c>
      <c r="U80">
        <v>450</v>
      </c>
    </row>
    <row r="81" spans="2:24" x14ac:dyDescent="0.25">
      <c r="B81">
        <f t="shared" si="6"/>
        <v>4</v>
      </c>
      <c r="C81">
        <v>1</v>
      </c>
      <c r="D81">
        <v>4</v>
      </c>
      <c r="E81">
        <v>450</v>
      </c>
      <c r="F81">
        <v>140</v>
      </c>
      <c r="G81" t="s">
        <v>8708</v>
      </c>
      <c r="I81">
        <v>1</v>
      </c>
      <c r="J81">
        <v>1</v>
      </c>
      <c r="M81" t="s">
        <v>7249</v>
      </c>
      <c r="N81" t="s">
        <v>4571</v>
      </c>
      <c r="O81" s="35">
        <f t="shared" si="7"/>
        <v>0.66149999999999998</v>
      </c>
      <c r="P81" s="35">
        <f t="shared" si="8"/>
        <v>2.6459999999999999</v>
      </c>
      <c r="Q81">
        <f>+VLOOKUP(N81,REF!A:C,3,0)</f>
        <v>15</v>
      </c>
      <c r="R81">
        <v>39</v>
      </c>
      <c r="S81">
        <v>21.17</v>
      </c>
      <c r="T81">
        <v>36</v>
      </c>
      <c r="U81">
        <v>450</v>
      </c>
    </row>
    <row r="82" spans="2:24" x14ac:dyDescent="0.25">
      <c r="B82">
        <f t="shared" si="6"/>
        <v>6</v>
      </c>
      <c r="C82">
        <v>1</v>
      </c>
      <c r="D82">
        <v>6</v>
      </c>
      <c r="E82">
        <v>450</v>
      </c>
      <c r="F82">
        <v>140</v>
      </c>
      <c r="G82" t="s">
        <v>8711</v>
      </c>
      <c r="I82">
        <v>1</v>
      </c>
      <c r="J82">
        <v>1</v>
      </c>
      <c r="M82" t="s">
        <v>7249</v>
      </c>
      <c r="N82" t="s">
        <v>4571</v>
      </c>
      <c r="O82" s="35">
        <f t="shared" si="7"/>
        <v>0.66149999999999998</v>
      </c>
      <c r="P82" s="35">
        <f t="shared" si="8"/>
        <v>3.9689999999999999</v>
      </c>
      <c r="Q82">
        <f>+VLOOKUP(N82,REF!A:C,3,0)</f>
        <v>15</v>
      </c>
      <c r="R82">
        <v>39</v>
      </c>
      <c r="S82">
        <v>21.17</v>
      </c>
      <c r="T82">
        <v>36</v>
      </c>
      <c r="U82">
        <v>450</v>
      </c>
    </row>
    <row r="83" spans="2:24" x14ac:dyDescent="0.25">
      <c r="B83">
        <f t="shared" si="6"/>
        <v>7</v>
      </c>
      <c r="C83">
        <v>1</v>
      </c>
      <c r="D83">
        <v>7</v>
      </c>
      <c r="E83">
        <v>443</v>
      </c>
      <c r="F83">
        <v>450</v>
      </c>
      <c r="M83" t="s">
        <v>7249</v>
      </c>
      <c r="N83" t="s">
        <v>4571</v>
      </c>
      <c r="O83" s="35">
        <f t="shared" si="7"/>
        <v>2.093175</v>
      </c>
      <c r="P83" s="35">
        <f t="shared" si="8"/>
        <v>14.652225</v>
      </c>
      <c r="Q83">
        <f>+VLOOKUP(N83,REF!A:C,3,0)</f>
        <v>15</v>
      </c>
      <c r="R83">
        <v>40</v>
      </c>
      <c r="S83">
        <v>14.65</v>
      </c>
      <c r="T83">
        <v>7</v>
      </c>
      <c r="U83">
        <v>450</v>
      </c>
    </row>
    <row r="84" spans="2:24" hidden="1" x14ac:dyDescent="0.25">
      <c r="B84">
        <f t="shared" si="6"/>
        <v>6</v>
      </c>
      <c r="C84">
        <v>1</v>
      </c>
      <c r="D84">
        <v>6</v>
      </c>
      <c r="E84">
        <v>2420</v>
      </c>
      <c r="F84">
        <v>50</v>
      </c>
      <c r="G84" t="s">
        <v>8717</v>
      </c>
      <c r="M84" t="s">
        <v>7250</v>
      </c>
      <c r="N84" t="s">
        <v>4503</v>
      </c>
      <c r="O84" s="35">
        <f t="shared" si="7"/>
        <v>1.2705</v>
      </c>
      <c r="P84" s="35">
        <f t="shared" si="8"/>
        <v>7.6229999999999993</v>
      </c>
      <c r="Q84">
        <f>+VLOOKUP(N84,REF!A:C,3,0)</f>
        <v>15</v>
      </c>
      <c r="R84">
        <v>1</v>
      </c>
      <c r="S84">
        <v>7.62</v>
      </c>
      <c r="T84">
        <v>6</v>
      </c>
      <c r="U84">
        <v>2420</v>
      </c>
    </row>
    <row r="85" spans="2:24" hidden="1" x14ac:dyDescent="0.25">
      <c r="B85">
        <f t="shared" si="6"/>
        <v>2</v>
      </c>
      <c r="C85">
        <v>1</v>
      </c>
      <c r="D85">
        <v>2</v>
      </c>
      <c r="E85">
        <v>1840</v>
      </c>
      <c r="F85">
        <v>525</v>
      </c>
      <c r="G85" t="s">
        <v>8723</v>
      </c>
      <c r="I85">
        <v>2</v>
      </c>
      <c r="J85">
        <v>2</v>
      </c>
      <c r="K85">
        <v>2</v>
      </c>
      <c r="L85">
        <v>2</v>
      </c>
      <c r="M85" t="s">
        <v>7250</v>
      </c>
      <c r="N85" t="s">
        <v>4503</v>
      </c>
      <c r="O85" s="35">
        <f t="shared" si="7"/>
        <v>10.143000000000001</v>
      </c>
      <c r="P85" s="35">
        <f t="shared" si="8"/>
        <v>20.286000000000001</v>
      </c>
      <c r="Q85">
        <f>+VLOOKUP(N85,REF!A:C,3,0)</f>
        <v>15</v>
      </c>
      <c r="R85">
        <v>2</v>
      </c>
      <c r="S85">
        <v>20.29</v>
      </c>
      <c r="T85">
        <v>2</v>
      </c>
      <c r="U85">
        <v>1840</v>
      </c>
    </row>
    <row r="86" spans="2:24" hidden="1" x14ac:dyDescent="0.25">
      <c r="B86">
        <f t="shared" si="6"/>
        <v>1</v>
      </c>
      <c r="C86">
        <v>1</v>
      </c>
      <c r="D86">
        <v>1</v>
      </c>
      <c r="E86">
        <v>1390</v>
      </c>
      <c r="F86">
        <v>550</v>
      </c>
      <c r="I86">
        <v>1</v>
      </c>
      <c r="M86" t="s">
        <v>7250</v>
      </c>
      <c r="N86" t="s">
        <v>4503</v>
      </c>
      <c r="O86" s="35">
        <f t="shared" si="7"/>
        <v>8.0272500000000004</v>
      </c>
      <c r="P86" s="35">
        <f t="shared" si="8"/>
        <v>8.0272500000000004</v>
      </c>
      <c r="Q86">
        <f>+VLOOKUP(N86,REF!A:C,3,0)</f>
        <v>15</v>
      </c>
      <c r="R86">
        <v>3</v>
      </c>
      <c r="S86">
        <v>20.22</v>
      </c>
      <c r="T86">
        <v>3</v>
      </c>
      <c r="U86">
        <v>1390</v>
      </c>
    </row>
    <row r="87" spans="2:24" hidden="1" x14ac:dyDescent="0.25">
      <c r="B87">
        <f t="shared" si="6"/>
        <v>1</v>
      </c>
      <c r="C87">
        <v>1</v>
      </c>
      <c r="D87">
        <v>1</v>
      </c>
      <c r="E87">
        <v>1390</v>
      </c>
      <c r="F87">
        <v>400</v>
      </c>
      <c r="I87">
        <v>1</v>
      </c>
      <c r="M87" t="s">
        <v>7250</v>
      </c>
      <c r="N87" t="s">
        <v>4503</v>
      </c>
      <c r="O87" s="35">
        <f t="shared" si="7"/>
        <v>5.8380000000000001</v>
      </c>
      <c r="P87" s="35">
        <f t="shared" si="8"/>
        <v>5.8380000000000001</v>
      </c>
      <c r="Q87">
        <f>+VLOOKUP(N87,REF!A:C,3,0)</f>
        <v>15</v>
      </c>
      <c r="R87">
        <v>3</v>
      </c>
      <c r="S87">
        <v>20.22</v>
      </c>
      <c r="T87">
        <v>3</v>
      </c>
      <c r="U87">
        <v>1390</v>
      </c>
    </row>
    <row r="88" spans="2:24" hidden="1" x14ac:dyDescent="0.25">
      <c r="B88">
        <f t="shared" si="6"/>
        <v>1</v>
      </c>
      <c r="C88">
        <v>1</v>
      </c>
      <c r="D88">
        <v>1</v>
      </c>
      <c r="E88">
        <v>1260</v>
      </c>
      <c r="F88">
        <v>480</v>
      </c>
      <c r="I88">
        <v>2</v>
      </c>
      <c r="M88" t="s">
        <v>7250</v>
      </c>
      <c r="N88" t="s">
        <v>4503</v>
      </c>
      <c r="O88" s="35">
        <f t="shared" si="7"/>
        <v>6.3503999999999996</v>
      </c>
      <c r="P88" s="35">
        <f t="shared" si="8"/>
        <v>6.3503999999999996</v>
      </c>
      <c r="Q88">
        <f>+VLOOKUP(N88,REF!A:C,3,0)</f>
        <v>15</v>
      </c>
      <c r="R88">
        <v>3</v>
      </c>
      <c r="S88">
        <v>20.22</v>
      </c>
      <c r="T88">
        <v>3</v>
      </c>
      <c r="U88">
        <v>1260</v>
      </c>
    </row>
    <row r="89" spans="2:24" hidden="1" x14ac:dyDescent="0.25">
      <c r="B89">
        <f t="shared" si="6"/>
        <v>2</v>
      </c>
      <c r="C89">
        <v>1</v>
      </c>
      <c r="D89">
        <v>2</v>
      </c>
      <c r="E89">
        <v>1260</v>
      </c>
      <c r="F89">
        <v>300</v>
      </c>
      <c r="G89" t="s">
        <v>8715</v>
      </c>
      <c r="I89">
        <v>1</v>
      </c>
      <c r="M89" t="s">
        <v>7250</v>
      </c>
      <c r="N89" t="s">
        <v>4503</v>
      </c>
      <c r="O89" s="35">
        <f t="shared" si="7"/>
        <v>3.9689999999999999</v>
      </c>
      <c r="P89" s="35">
        <f t="shared" si="8"/>
        <v>7.9379999999999997</v>
      </c>
      <c r="Q89">
        <f>+VLOOKUP(N89,REF!A:C,3,0)</f>
        <v>15</v>
      </c>
      <c r="R89">
        <v>4</v>
      </c>
      <c r="S89">
        <v>7.94</v>
      </c>
      <c r="T89">
        <v>2</v>
      </c>
      <c r="U89">
        <v>1260</v>
      </c>
    </row>
    <row r="90" spans="2:24" hidden="1" x14ac:dyDescent="0.25">
      <c r="B90">
        <f t="shared" si="6"/>
        <v>6</v>
      </c>
      <c r="C90">
        <v>1</v>
      </c>
      <c r="D90">
        <v>6</v>
      </c>
      <c r="E90">
        <v>975</v>
      </c>
      <c r="F90">
        <v>730</v>
      </c>
      <c r="M90" t="s">
        <v>7250</v>
      </c>
      <c r="N90" t="s">
        <v>4503</v>
      </c>
      <c r="O90" s="35">
        <f t="shared" si="7"/>
        <v>7.4733749999999999</v>
      </c>
      <c r="P90" s="35">
        <f t="shared" si="8"/>
        <v>44.840249999999997</v>
      </c>
      <c r="Q90">
        <f>+VLOOKUP(N90,REF!A:C,3,0)</f>
        <v>15</v>
      </c>
      <c r="U90">
        <v>975</v>
      </c>
      <c r="V90" t="s">
        <v>8745</v>
      </c>
      <c r="X90" t="s">
        <v>5339</v>
      </c>
    </row>
    <row r="91" spans="2:24" hidden="1" x14ac:dyDescent="0.25">
      <c r="B91">
        <f t="shared" si="6"/>
        <v>2</v>
      </c>
      <c r="C91">
        <v>1</v>
      </c>
      <c r="D91">
        <v>2</v>
      </c>
      <c r="E91">
        <v>270</v>
      </c>
      <c r="F91">
        <v>925</v>
      </c>
      <c r="I91">
        <v>2</v>
      </c>
      <c r="J91">
        <v>2</v>
      </c>
      <c r="K91">
        <v>2</v>
      </c>
      <c r="L91">
        <v>2</v>
      </c>
      <c r="M91" t="s">
        <v>7250</v>
      </c>
      <c r="N91" t="s">
        <v>4503</v>
      </c>
      <c r="O91" s="35">
        <f t="shared" si="7"/>
        <v>2.6223749999999999</v>
      </c>
      <c r="P91" s="35">
        <f t="shared" si="8"/>
        <v>5.2447499999999998</v>
      </c>
      <c r="Q91">
        <f>+VLOOKUP(N91,REF!A:C,3,0)</f>
        <v>15</v>
      </c>
      <c r="R91">
        <v>7</v>
      </c>
      <c r="S91">
        <v>23.43</v>
      </c>
      <c r="T91">
        <v>9</v>
      </c>
      <c r="U91">
        <v>925</v>
      </c>
    </row>
    <row r="92" spans="2:24" hidden="1" x14ac:dyDescent="0.25">
      <c r="B92">
        <f t="shared" si="6"/>
        <v>2</v>
      </c>
      <c r="C92">
        <v>1</v>
      </c>
      <c r="D92">
        <v>2</v>
      </c>
      <c r="E92">
        <v>450</v>
      </c>
      <c r="F92">
        <v>900</v>
      </c>
      <c r="G92" t="s">
        <v>8736</v>
      </c>
      <c r="I92">
        <v>2</v>
      </c>
      <c r="J92">
        <v>2</v>
      </c>
      <c r="K92">
        <v>2</v>
      </c>
      <c r="L92">
        <v>2</v>
      </c>
      <c r="M92" t="s">
        <v>7250</v>
      </c>
      <c r="N92" t="s">
        <v>4503</v>
      </c>
      <c r="O92" s="35">
        <f t="shared" si="7"/>
        <v>4.2525000000000004</v>
      </c>
      <c r="P92" s="35">
        <f t="shared" si="8"/>
        <v>8.5050000000000008</v>
      </c>
      <c r="Q92">
        <f>+VLOOKUP(N92,REF!A:C,3,0)</f>
        <v>15</v>
      </c>
      <c r="R92">
        <v>7</v>
      </c>
      <c r="S92">
        <v>23.43</v>
      </c>
      <c r="T92">
        <v>9</v>
      </c>
      <c r="U92">
        <v>900</v>
      </c>
    </row>
    <row r="93" spans="2:24" hidden="1" x14ac:dyDescent="0.25">
      <c r="B93">
        <f t="shared" si="6"/>
        <v>4</v>
      </c>
      <c r="C93">
        <v>1</v>
      </c>
      <c r="D93">
        <v>4</v>
      </c>
      <c r="E93">
        <v>873</v>
      </c>
      <c r="F93">
        <v>220</v>
      </c>
      <c r="G93" t="s">
        <v>8722</v>
      </c>
      <c r="I93">
        <v>1</v>
      </c>
      <c r="J93">
        <v>1</v>
      </c>
      <c r="M93" t="s">
        <v>7250</v>
      </c>
      <c r="N93" t="s">
        <v>4503</v>
      </c>
      <c r="O93" s="35">
        <f t="shared" si="7"/>
        <v>2.0166300000000001</v>
      </c>
      <c r="P93" s="35">
        <f t="shared" si="8"/>
        <v>8.0665200000000006</v>
      </c>
      <c r="Q93">
        <f>+VLOOKUP(N93,REF!A:C,3,0)</f>
        <v>15</v>
      </c>
      <c r="R93">
        <v>7</v>
      </c>
      <c r="S93">
        <v>23.43</v>
      </c>
      <c r="T93">
        <v>9</v>
      </c>
      <c r="U93">
        <v>873</v>
      </c>
    </row>
    <row r="94" spans="2:24" hidden="1" x14ac:dyDescent="0.25">
      <c r="B94">
        <f t="shared" si="6"/>
        <v>1</v>
      </c>
      <c r="C94">
        <v>1</v>
      </c>
      <c r="D94">
        <v>1</v>
      </c>
      <c r="E94">
        <v>195</v>
      </c>
      <c r="F94">
        <v>790</v>
      </c>
      <c r="I94">
        <v>2</v>
      </c>
      <c r="J94">
        <v>2</v>
      </c>
      <c r="K94">
        <v>2</v>
      </c>
      <c r="L94">
        <v>2</v>
      </c>
      <c r="M94" t="s">
        <v>7250</v>
      </c>
      <c r="N94" t="s">
        <v>4503</v>
      </c>
      <c r="O94" s="35">
        <f t="shared" si="7"/>
        <v>1.6175250000000001</v>
      </c>
      <c r="P94" s="35">
        <f t="shared" si="8"/>
        <v>1.6175250000000001</v>
      </c>
      <c r="Q94">
        <f>+VLOOKUP(N94,REF!A:C,3,0)</f>
        <v>15</v>
      </c>
      <c r="R94">
        <v>7</v>
      </c>
      <c r="S94">
        <v>23.43</v>
      </c>
      <c r="T94">
        <v>9</v>
      </c>
      <c r="U94">
        <v>790</v>
      </c>
    </row>
    <row r="95" spans="2:24" hidden="1" x14ac:dyDescent="0.25">
      <c r="B95">
        <f t="shared" si="6"/>
        <v>2</v>
      </c>
      <c r="C95">
        <v>1</v>
      </c>
      <c r="D95">
        <v>2</v>
      </c>
      <c r="E95">
        <v>190</v>
      </c>
      <c r="F95">
        <v>790</v>
      </c>
      <c r="I95">
        <v>2</v>
      </c>
      <c r="J95">
        <v>2</v>
      </c>
      <c r="K95">
        <v>2</v>
      </c>
      <c r="L95">
        <v>2</v>
      </c>
      <c r="M95" t="s">
        <v>7250</v>
      </c>
      <c r="N95" t="s">
        <v>4503</v>
      </c>
      <c r="O95" s="35">
        <f t="shared" si="7"/>
        <v>1.57605</v>
      </c>
      <c r="P95" s="35">
        <f t="shared" si="8"/>
        <v>3.1520999999999999</v>
      </c>
      <c r="Q95">
        <f>+VLOOKUP(N95,REF!A:C,3,0)</f>
        <v>15</v>
      </c>
      <c r="R95">
        <v>8</v>
      </c>
      <c r="S95">
        <v>23.23</v>
      </c>
      <c r="T95">
        <v>17</v>
      </c>
      <c r="U95">
        <v>790</v>
      </c>
    </row>
    <row r="96" spans="2:24" hidden="1" x14ac:dyDescent="0.25">
      <c r="B96">
        <f t="shared" si="6"/>
        <v>4</v>
      </c>
      <c r="C96">
        <v>1</v>
      </c>
      <c r="D96">
        <v>4</v>
      </c>
      <c r="E96">
        <v>740</v>
      </c>
      <c r="F96">
        <v>140</v>
      </c>
      <c r="G96" t="s">
        <v>8734</v>
      </c>
      <c r="I96">
        <v>1</v>
      </c>
      <c r="J96">
        <v>1</v>
      </c>
      <c r="M96" t="s">
        <v>7250</v>
      </c>
      <c r="N96" t="s">
        <v>4503</v>
      </c>
      <c r="O96" s="35">
        <f t="shared" si="7"/>
        <v>1.0877999999999999</v>
      </c>
      <c r="P96" s="35">
        <f t="shared" si="8"/>
        <v>4.3511999999999995</v>
      </c>
      <c r="Q96">
        <f>+VLOOKUP(N96,REF!A:C,3,0)</f>
        <v>15</v>
      </c>
      <c r="R96">
        <v>8</v>
      </c>
      <c r="S96">
        <v>23.23</v>
      </c>
      <c r="T96">
        <v>17</v>
      </c>
      <c r="U96">
        <v>740</v>
      </c>
    </row>
    <row r="97" spans="2:21" hidden="1" x14ac:dyDescent="0.25">
      <c r="B97">
        <f t="shared" si="6"/>
        <v>2</v>
      </c>
      <c r="C97">
        <v>1</v>
      </c>
      <c r="D97">
        <v>2</v>
      </c>
      <c r="E97">
        <v>670</v>
      </c>
      <c r="F97">
        <v>685</v>
      </c>
      <c r="G97" t="s">
        <v>8735</v>
      </c>
      <c r="I97">
        <v>2</v>
      </c>
      <c r="J97">
        <v>2</v>
      </c>
      <c r="K97">
        <v>2</v>
      </c>
      <c r="L97">
        <v>2</v>
      </c>
      <c r="M97" t="s">
        <v>7250</v>
      </c>
      <c r="N97" t="s">
        <v>4503</v>
      </c>
      <c r="O97" s="35">
        <f t="shared" si="7"/>
        <v>4.8189749999999991</v>
      </c>
      <c r="P97" s="35">
        <f t="shared" si="8"/>
        <v>9.6379499999999982</v>
      </c>
      <c r="Q97">
        <f>+VLOOKUP(N97,REF!A:C,3,0)</f>
        <v>15</v>
      </c>
      <c r="R97">
        <v>8</v>
      </c>
      <c r="S97">
        <v>23.23</v>
      </c>
      <c r="T97">
        <v>17</v>
      </c>
      <c r="U97">
        <v>685</v>
      </c>
    </row>
    <row r="98" spans="2:21" hidden="1" x14ac:dyDescent="0.25">
      <c r="B98">
        <f t="shared" si="6"/>
        <v>2</v>
      </c>
      <c r="C98">
        <v>1</v>
      </c>
      <c r="D98">
        <v>2</v>
      </c>
      <c r="E98">
        <v>120</v>
      </c>
      <c r="F98">
        <v>625</v>
      </c>
      <c r="I98">
        <v>2</v>
      </c>
      <c r="J98">
        <v>2</v>
      </c>
      <c r="K98">
        <v>2</v>
      </c>
      <c r="L98">
        <v>2</v>
      </c>
      <c r="M98" t="s">
        <v>7250</v>
      </c>
      <c r="N98" t="s">
        <v>4503</v>
      </c>
      <c r="O98" s="35">
        <f t="shared" si="7"/>
        <v>0.78749999999999998</v>
      </c>
      <c r="P98" s="35">
        <f t="shared" si="8"/>
        <v>1.575</v>
      </c>
      <c r="Q98">
        <f>+VLOOKUP(N98,REF!A:C,3,0)</f>
        <v>15</v>
      </c>
      <c r="R98">
        <v>8</v>
      </c>
      <c r="S98">
        <v>23.23</v>
      </c>
      <c r="T98">
        <v>17</v>
      </c>
      <c r="U98">
        <v>625</v>
      </c>
    </row>
    <row r="99" spans="2:21" hidden="1" x14ac:dyDescent="0.25">
      <c r="B99">
        <f t="shared" ref="B99:B121" si="9">+D99</f>
        <v>4</v>
      </c>
      <c r="C99">
        <v>1</v>
      </c>
      <c r="D99">
        <v>4</v>
      </c>
      <c r="E99">
        <v>552</v>
      </c>
      <c r="F99">
        <v>90</v>
      </c>
      <c r="G99" t="s">
        <v>8732</v>
      </c>
      <c r="I99">
        <v>1</v>
      </c>
      <c r="J99">
        <v>1</v>
      </c>
      <c r="M99" t="s">
        <v>7250</v>
      </c>
      <c r="N99" t="s">
        <v>4503</v>
      </c>
      <c r="O99" s="35">
        <f t="shared" ref="O99:O121" si="10">IF(N99="","",IF(IFERROR((((F99*Q99))*0.0000007)*E99,"")&gt;=25,24.99,IFERROR((((F99*Q99))*0.0000007)*E99,"")))</f>
        <v>0.52163999999999999</v>
      </c>
      <c r="P99" s="35">
        <f t="shared" ref="P99:P121" si="11">+O99*D99</f>
        <v>2.08656</v>
      </c>
      <c r="Q99">
        <f>+VLOOKUP(N99,REF!A:C,3,0)</f>
        <v>15</v>
      </c>
      <c r="R99">
        <v>8</v>
      </c>
      <c r="S99">
        <v>23.23</v>
      </c>
      <c r="T99">
        <v>17</v>
      </c>
      <c r="U99">
        <v>552</v>
      </c>
    </row>
    <row r="100" spans="2:21" hidden="1" x14ac:dyDescent="0.25">
      <c r="B100">
        <f t="shared" si="9"/>
        <v>3</v>
      </c>
      <c r="C100">
        <v>1</v>
      </c>
      <c r="D100">
        <v>3</v>
      </c>
      <c r="E100">
        <v>140</v>
      </c>
      <c r="F100">
        <v>550</v>
      </c>
      <c r="M100" t="s">
        <v>7250</v>
      </c>
      <c r="N100" t="s">
        <v>4503</v>
      </c>
      <c r="O100" s="35">
        <f t="shared" si="10"/>
        <v>0.8085</v>
      </c>
      <c r="P100" s="35">
        <f t="shared" si="11"/>
        <v>2.4255</v>
      </c>
      <c r="Q100">
        <f>+VLOOKUP(N100,REF!A:C,3,0)</f>
        <v>15</v>
      </c>
      <c r="R100">
        <v>8</v>
      </c>
      <c r="S100">
        <v>23.23</v>
      </c>
      <c r="T100">
        <v>17</v>
      </c>
      <c r="U100">
        <v>550</v>
      </c>
    </row>
    <row r="101" spans="2:21" hidden="1" x14ac:dyDescent="0.25">
      <c r="B101">
        <f t="shared" si="9"/>
        <v>2</v>
      </c>
      <c r="C101">
        <v>1</v>
      </c>
      <c r="D101">
        <v>2</v>
      </c>
      <c r="E101">
        <v>195</v>
      </c>
      <c r="F101">
        <v>540</v>
      </c>
      <c r="I101">
        <v>2</v>
      </c>
      <c r="J101">
        <v>2</v>
      </c>
      <c r="K101">
        <v>2</v>
      </c>
      <c r="L101">
        <v>2</v>
      </c>
      <c r="M101" t="s">
        <v>7250</v>
      </c>
      <c r="N101" t="s">
        <v>4503</v>
      </c>
      <c r="O101" s="35">
        <f t="shared" si="10"/>
        <v>1.10565</v>
      </c>
      <c r="P101" s="35">
        <f t="shared" si="11"/>
        <v>2.2113</v>
      </c>
      <c r="Q101">
        <f>+VLOOKUP(N101,REF!A:C,3,0)</f>
        <v>15</v>
      </c>
      <c r="R101">
        <v>9</v>
      </c>
      <c r="S101">
        <v>17.78</v>
      </c>
      <c r="T101">
        <v>23</v>
      </c>
      <c r="U101">
        <v>540</v>
      </c>
    </row>
    <row r="102" spans="2:21" hidden="1" x14ac:dyDescent="0.25">
      <c r="B102">
        <f t="shared" si="9"/>
        <v>3</v>
      </c>
      <c r="C102">
        <v>1</v>
      </c>
      <c r="D102">
        <v>3</v>
      </c>
      <c r="E102">
        <v>195</v>
      </c>
      <c r="F102">
        <v>480</v>
      </c>
      <c r="I102">
        <v>2</v>
      </c>
      <c r="J102">
        <v>2</v>
      </c>
      <c r="K102">
        <v>2</v>
      </c>
      <c r="L102">
        <v>2</v>
      </c>
      <c r="M102" t="s">
        <v>7250</v>
      </c>
      <c r="N102" t="s">
        <v>4503</v>
      </c>
      <c r="O102" s="35">
        <f t="shared" si="10"/>
        <v>0.9827999999999999</v>
      </c>
      <c r="P102" s="35">
        <f t="shared" si="11"/>
        <v>2.9483999999999995</v>
      </c>
      <c r="Q102">
        <f>+VLOOKUP(N102,REF!A:C,3,0)</f>
        <v>15</v>
      </c>
      <c r="R102">
        <v>9</v>
      </c>
      <c r="S102">
        <v>17.78</v>
      </c>
      <c r="T102">
        <v>23</v>
      </c>
      <c r="U102">
        <v>480</v>
      </c>
    </row>
    <row r="103" spans="2:21" hidden="1" x14ac:dyDescent="0.25">
      <c r="B103">
        <f t="shared" si="9"/>
        <v>3</v>
      </c>
      <c r="C103">
        <v>1</v>
      </c>
      <c r="D103">
        <v>3</v>
      </c>
      <c r="E103">
        <v>120</v>
      </c>
      <c r="F103">
        <v>480</v>
      </c>
      <c r="I103">
        <v>1</v>
      </c>
      <c r="K103">
        <v>1</v>
      </c>
      <c r="M103" t="s">
        <v>7250</v>
      </c>
      <c r="N103" t="s">
        <v>4503</v>
      </c>
      <c r="O103" s="35">
        <f t="shared" si="10"/>
        <v>0.60479999999999989</v>
      </c>
      <c r="P103" s="35">
        <f t="shared" si="11"/>
        <v>1.8143999999999996</v>
      </c>
      <c r="Q103">
        <f>+VLOOKUP(N103,REF!A:C,3,0)</f>
        <v>15</v>
      </c>
      <c r="R103">
        <v>9</v>
      </c>
      <c r="S103">
        <v>17.78</v>
      </c>
      <c r="T103">
        <v>23</v>
      </c>
      <c r="U103">
        <v>480</v>
      </c>
    </row>
    <row r="104" spans="2:21" hidden="1" x14ac:dyDescent="0.25">
      <c r="B104">
        <f t="shared" si="9"/>
        <v>4</v>
      </c>
      <c r="C104">
        <v>1</v>
      </c>
      <c r="D104">
        <v>4</v>
      </c>
      <c r="E104">
        <v>450</v>
      </c>
      <c r="F104">
        <v>90</v>
      </c>
      <c r="G104" t="s">
        <v>8711</v>
      </c>
      <c r="I104">
        <v>1</v>
      </c>
      <c r="J104">
        <v>1</v>
      </c>
      <c r="M104" t="s">
        <v>7250</v>
      </c>
      <c r="N104" t="s">
        <v>4503</v>
      </c>
      <c r="O104" s="35">
        <f t="shared" si="10"/>
        <v>0.42525000000000002</v>
      </c>
      <c r="P104" s="35">
        <f t="shared" si="11"/>
        <v>1.7010000000000001</v>
      </c>
      <c r="Q104">
        <f>+VLOOKUP(N104,REF!A:C,3,0)</f>
        <v>15</v>
      </c>
      <c r="R104">
        <v>9</v>
      </c>
      <c r="S104">
        <v>17.78</v>
      </c>
      <c r="T104">
        <v>23</v>
      </c>
      <c r="U104">
        <v>450</v>
      </c>
    </row>
    <row r="105" spans="2:21" hidden="1" x14ac:dyDescent="0.25">
      <c r="B105">
        <f t="shared" si="9"/>
        <v>4</v>
      </c>
      <c r="C105">
        <v>1</v>
      </c>
      <c r="D105">
        <v>4</v>
      </c>
      <c r="E105">
        <v>450</v>
      </c>
      <c r="F105">
        <v>140</v>
      </c>
      <c r="G105" t="s">
        <v>8708</v>
      </c>
      <c r="I105">
        <v>1</v>
      </c>
      <c r="J105">
        <v>1</v>
      </c>
      <c r="M105" t="s">
        <v>7250</v>
      </c>
      <c r="N105" t="s">
        <v>4503</v>
      </c>
      <c r="O105" s="35">
        <f t="shared" si="10"/>
        <v>0.66149999999999998</v>
      </c>
      <c r="P105" s="35">
        <f t="shared" si="11"/>
        <v>2.6459999999999999</v>
      </c>
      <c r="Q105">
        <f>+VLOOKUP(N105,REF!A:C,3,0)</f>
        <v>15</v>
      </c>
      <c r="R105">
        <v>9</v>
      </c>
      <c r="S105">
        <v>17.78</v>
      </c>
      <c r="T105">
        <v>23</v>
      </c>
      <c r="U105">
        <v>450</v>
      </c>
    </row>
    <row r="106" spans="2:21" hidden="1" x14ac:dyDescent="0.25">
      <c r="B106">
        <f t="shared" si="9"/>
        <v>4</v>
      </c>
      <c r="C106">
        <v>1</v>
      </c>
      <c r="D106">
        <v>4</v>
      </c>
      <c r="E106">
        <v>450</v>
      </c>
      <c r="F106">
        <v>220</v>
      </c>
      <c r="G106" t="s">
        <v>8708</v>
      </c>
      <c r="I106">
        <v>1</v>
      </c>
      <c r="J106">
        <v>1</v>
      </c>
      <c r="M106" t="s">
        <v>7250</v>
      </c>
      <c r="N106" t="s">
        <v>4503</v>
      </c>
      <c r="O106" s="35">
        <f t="shared" si="10"/>
        <v>1.0395000000000001</v>
      </c>
      <c r="P106" s="35">
        <f t="shared" si="11"/>
        <v>4.1580000000000004</v>
      </c>
      <c r="Q106">
        <f>+VLOOKUP(N106,REF!A:C,3,0)</f>
        <v>15</v>
      </c>
      <c r="R106">
        <v>9</v>
      </c>
      <c r="S106">
        <v>17.78</v>
      </c>
      <c r="T106">
        <v>23</v>
      </c>
      <c r="U106">
        <v>450</v>
      </c>
    </row>
    <row r="107" spans="2:21" hidden="1" x14ac:dyDescent="0.25">
      <c r="B107">
        <f t="shared" si="9"/>
        <v>2</v>
      </c>
      <c r="C107">
        <v>1</v>
      </c>
      <c r="D107">
        <v>2</v>
      </c>
      <c r="E107">
        <v>250</v>
      </c>
      <c r="F107">
        <v>300</v>
      </c>
      <c r="G107" t="s">
        <v>8733</v>
      </c>
      <c r="I107">
        <v>1</v>
      </c>
      <c r="M107" t="s">
        <v>7250</v>
      </c>
      <c r="N107" t="s">
        <v>4503</v>
      </c>
      <c r="O107" s="35">
        <f t="shared" si="10"/>
        <v>0.78749999999999998</v>
      </c>
      <c r="P107" s="35">
        <f t="shared" si="11"/>
        <v>1.575</v>
      </c>
      <c r="Q107">
        <f>+VLOOKUP(N107,REF!A:C,3,0)</f>
        <v>15</v>
      </c>
      <c r="R107">
        <v>9</v>
      </c>
      <c r="S107">
        <v>17.78</v>
      </c>
      <c r="T107">
        <v>23</v>
      </c>
      <c r="U107">
        <v>300</v>
      </c>
    </row>
    <row r="108" spans="2:21" hidden="1" x14ac:dyDescent="0.25">
      <c r="B108">
        <f t="shared" si="9"/>
        <v>1</v>
      </c>
      <c r="C108">
        <v>1</v>
      </c>
      <c r="D108">
        <v>1</v>
      </c>
      <c r="E108">
        <v>250</v>
      </c>
      <c r="F108">
        <v>278</v>
      </c>
      <c r="I108">
        <v>1</v>
      </c>
      <c r="M108" t="s">
        <v>7250</v>
      </c>
      <c r="N108" t="s">
        <v>4503</v>
      </c>
      <c r="O108" s="35">
        <f t="shared" si="10"/>
        <v>0.7297499999999999</v>
      </c>
      <c r="P108" s="35">
        <f t="shared" si="11"/>
        <v>0.7297499999999999</v>
      </c>
      <c r="Q108">
        <f>+VLOOKUP(N108,REF!A:C,3,0)</f>
        <v>15</v>
      </c>
      <c r="R108">
        <v>9</v>
      </c>
      <c r="S108">
        <v>17.78</v>
      </c>
      <c r="T108">
        <v>23</v>
      </c>
      <c r="U108">
        <v>278</v>
      </c>
    </row>
    <row r="109" spans="2:21" hidden="1" x14ac:dyDescent="0.25">
      <c r="B109">
        <f t="shared" si="9"/>
        <v>1</v>
      </c>
      <c r="C109">
        <v>1</v>
      </c>
      <c r="D109">
        <v>1</v>
      </c>
      <c r="E109">
        <v>1240</v>
      </c>
      <c r="F109">
        <v>260</v>
      </c>
      <c r="M109" t="s">
        <v>6765</v>
      </c>
      <c r="N109" t="s">
        <v>5084</v>
      </c>
      <c r="O109" s="35">
        <f t="shared" si="10"/>
        <v>1.35408</v>
      </c>
      <c r="P109" s="35">
        <f t="shared" si="11"/>
        <v>1.35408</v>
      </c>
      <c r="Q109">
        <f>+VLOOKUP(N109,REF!A:C,3,0)</f>
        <v>6</v>
      </c>
      <c r="R109">
        <v>1</v>
      </c>
      <c r="S109">
        <v>9.2799999999999994</v>
      </c>
      <c r="T109">
        <v>7</v>
      </c>
      <c r="U109">
        <v>1240</v>
      </c>
    </row>
    <row r="110" spans="2:21" hidden="1" x14ac:dyDescent="0.25">
      <c r="B110">
        <f t="shared" si="9"/>
        <v>2</v>
      </c>
      <c r="C110">
        <v>1</v>
      </c>
      <c r="D110">
        <v>2</v>
      </c>
      <c r="E110">
        <v>430</v>
      </c>
      <c r="F110">
        <v>883</v>
      </c>
      <c r="M110" t="s">
        <v>6765</v>
      </c>
      <c r="N110" t="s">
        <v>5084</v>
      </c>
      <c r="O110" s="35">
        <f t="shared" si="10"/>
        <v>1.5946979999999999</v>
      </c>
      <c r="P110" s="35">
        <f t="shared" si="11"/>
        <v>3.1893959999999999</v>
      </c>
      <c r="Q110">
        <f>+VLOOKUP(N110,REF!A:C,3,0)</f>
        <v>6</v>
      </c>
      <c r="R110">
        <v>1</v>
      </c>
      <c r="S110">
        <v>9.2799999999999994</v>
      </c>
      <c r="T110">
        <v>7</v>
      </c>
      <c r="U110">
        <v>883</v>
      </c>
    </row>
    <row r="111" spans="2:21" hidden="1" x14ac:dyDescent="0.25">
      <c r="B111">
        <f t="shared" si="9"/>
        <v>2</v>
      </c>
      <c r="C111">
        <v>1</v>
      </c>
      <c r="D111">
        <v>2</v>
      </c>
      <c r="E111">
        <v>430</v>
      </c>
      <c r="F111">
        <v>750</v>
      </c>
      <c r="M111" t="s">
        <v>6765</v>
      </c>
      <c r="N111" t="s">
        <v>5084</v>
      </c>
      <c r="O111" s="35">
        <f t="shared" si="10"/>
        <v>1.3545</v>
      </c>
      <c r="P111" s="35">
        <f t="shared" si="11"/>
        <v>2.7090000000000001</v>
      </c>
      <c r="Q111">
        <f>+VLOOKUP(N111,REF!A:C,3,0)</f>
        <v>6</v>
      </c>
      <c r="R111">
        <v>1</v>
      </c>
      <c r="S111">
        <v>9.2799999999999994</v>
      </c>
      <c r="T111">
        <v>7</v>
      </c>
      <c r="U111">
        <v>750</v>
      </c>
    </row>
    <row r="112" spans="2:21" hidden="1" x14ac:dyDescent="0.25">
      <c r="B112">
        <f t="shared" si="9"/>
        <v>2</v>
      </c>
      <c r="C112">
        <v>1</v>
      </c>
      <c r="D112">
        <v>2</v>
      </c>
      <c r="E112">
        <v>430</v>
      </c>
      <c r="F112">
        <v>562</v>
      </c>
      <c r="M112" t="s">
        <v>6765</v>
      </c>
      <c r="N112" t="s">
        <v>5084</v>
      </c>
      <c r="O112" s="35">
        <f t="shared" si="10"/>
        <v>1.014972</v>
      </c>
      <c r="P112" s="35">
        <f t="shared" si="11"/>
        <v>2.029944</v>
      </c>
      <c r="Q112">
        <f>+VLOOKUP(N112,REF!A:C,3,0)</f>
        <v>6</v>
      </c>
      <c r="R112">
        <v>1</v>
      </c>
      <c r="S112">
        <v>9.2799999999999994</v>
      </c>
      <c r="T112">
        <v>7</v>
      </c>
      <c r="U112">
        <v>562</v>
      </c>
    </row>
    <row r="113" spans="2:21" hidden="1" x14ac:dyDescent="0.25">
      <c r="B113">
        <f t="shared" si="9"/>
        <v>1</v>
      </c>
      <c r="C113">
        <v>1</v>
      </c>
      <c r="D113">
        <v>1</v>
      </c>
      <c r="E113">
        <v>2350</v>
      </c>
      <c r="F113">
        <v>850</v>
      </c>
      <c r="I113">
        <v>2</v>
      </c>
      <c r="J113">
        <v>2</v>
      </c>
      <c r="K113">
        <v>2</v>
      </c>
      <c r="L113">
        <v>2</v>
      </c>
      <c r="M113" t="s">
        <v>7251</v>
      </c>
      <c r="N113" t="s">
        <v>4669</v>
      </c>
      <c r="O113" s="35">
        <f t="shared" si="10"/>
        <v>24.99</v>
      </c>
      <c r="P113" s="35">
        <f t="shared" si="11"/>
        <v>24.99</v>
      </c>
      <c r="Q113">
        <f>+VLOOKUP(N113,REF!A:C,3,0)</f>
        <v>36</v>
      </c>
      <c r="R113">
        <v>1</v>
      </c>
      <c r="S113">
        <v>24.99</v>
      </c>
      <c r="T113">
        <v>1</v>
      </c>
      <c r="U113">
        <v>2350</v>
      </c>
    </row>
    <row r="114" spans="2:21" hidden="1" x14ac:dyDescent="0.25">
      <c r="B114">
        <f t="shared" si="9"/>
        <v>1</v>
      </c>
      <c r="C114">
        <v>1</v>
      </c>
      <c r="D114">
        <v>1</v>
      </c>
      <c r="E114">
        <v>2350</v>
      </c>
      <c r="F114">
        <v>650</v>
      </c>
      <c r="I114">
        <v>2</v>
      </c>
      <c r="J114">
        <v>2</v>
      </c>
      <c r="K114">
        <v>2</v>
      </c>
      <c r="L114">
        <v>2</v>
      </c>
      <c r="M114" t="s">
        <v>7251</v>
      </c>
      <c r="N114" t="s">
        <v>4669</v>
      </c>
      <c r="O114" s="35">
        <f t="shared" si="10"/>
        <v>24.99</v>
      </c>
      <c r="P114" s="35">
        <f t="shared" si="11"/>
        <v>24.99</v>
      </c>
      <c r="Q114">
        <f>+VLOOKUP(N114,REF!A:C,3,0)</f>
        <v>36</v>
      </c>
      <c r="R114">
        <v>2</v>
      </c>
      <c r="S114">
        <v>24.99</v>
      </c>
      <c r="T114">
        <v>1</v>
      </c>
      <c r="U114">
        <v>2350</v>
      </c>
    </row>
    <row r="115" spans="2:21" hidden="1" x14ac:dyDescent="0.25">
      <c r="B115">
        <f t="shared" si="9"/>
        <v>1</v>
      </c>
      <c r="C115">
        <v>1</v>
      </c>
      <c r="D115">
        <v>1</v>
      </c>
      <c r="E115">
        <v>2340</v>
      </c>
      <c r="F115">
        <v>650</v>
      </c>
      <c r="I115">
        <v>2</v>
      </c>
      <c r="J115">
        <v>2</v>
      </c>
      <c r="K115">
        <v>2</v>
      </c>
      <c r="L115">
        <v>2</v>
      </c>
      <c r="M115" t="s">
        <v>7251</v>
      </c>
      <c r="N115" t="s">
        <v>4669</v>
      </c>
      <c r="O115" s="35">
        <f t="shared" si="10"/>
        <v>24.99</v>
      </c>
      <c r="P115" s="35">
        <f t="shared" si="11"/>
        <v>24.99</v>
      </c>
      <c r="Q115">
        <f>+VLOOKUP(N115,REF!A:C,3,0)</f>
        <v>36</v>
      </c>
      <c r="R115">
        <v>3</v>
      </c>
      <c r="S115">
        <v>24.99</v>
      </c>
      <c r="T115">
        <v>1</v>
      </c>
      <c r="U115">
        <v>2340</v>
      </c>
    </row>
    <row r="116" spans="2:21" hidden="1" x14ac:dyDescent="0.25">
      <c r="B116">
        <f t="shared" si="9"/>
        <v>1</v>
      </c>
      <c r="C116">
        <v>1</v>
      </c>
      <c r="D116">
        <v>1</v>
      </c>
      <c r="E116">
        <v>2340</v>
      </c>
      <c r="F116">
        <v>850</v>
      </c>
      <c r="I116">
        <v>2</v>
      </c>
      <c r="J116">
        <v>2</v>
      </c>
      <c r="K116">
        <v>2</v>
      </c>
      <c r="L116">
        <v>2</v>
      </c>
      <c r="M116" t="s">
        <v>7251</v>
      </c>
      <c r="N116" t="s">
        <v>4669</v>
      </c>
      <c r="O116" s="35">
        <f t="shared" si="10"/>
        <v>24.99</v>
      </c>
      <c r="P116" s="35">
        <f t="shared" si="11"/>
        <v>24.99</v>
      </c>
      <c r="Q116">
        <f>+VLOOKUP(N116,REF!A:C,3,0)</f>
        <v>36</v>
      </c>
      <c r="R116">
        <v>4</v>
      </c>
      <c r="S116">
        <v>24.99</v>
      </c>
      <c r="T116">
        <v>1</v>
      </c>
      <c r="U116">
        <v>2340</v>
      </c>
    </row>
    <row r="117" spans="2:21" hidden="1" x14ac:dyDescent="0.25">
      <c r="B117">
        <f t="shared" si="9"/>
        <v>1</v>
      </c>
      <c r="C117">
        <v>1</v>
      </c>
      <c r="D117">
        <v>1</v>
      </c>
      <c r="E117">
        <v>2340</v>
      </c>
      <c r="F117">
        <v>650</v>
      </c>
      <c r="I117">
        <v>2</v>
      </c>
      <c r="J117">
        <v>2</v>
      </c>
      <c r="K117">
        <v>2</v>
      </c>
      <c r="L117">
        <v>2</v>
      </c>
      <c r="M117" t="s">
        <v>7251</v>
      </c>
      <c r="N117" t="s">
        <v>4669</v>
      </c>
      <c r="O117" s="35">
        <f t="shared" si="10"/>
        <v>24.99</v>
      </c>
      <c r="P117" s="35">
        <f t="shared" si="11"/>
        <v>24.99</v>
      </c>
      <c r="Q117">
        <f>+VLOOKUP(N117,REF!A:C,3,0)</f>
        <v>36</v>
      </c>
      <c r="R117">
        <v>5</v>
      </c>
      <c r="S117">
        <v>24.99</v>
      </c>
      <c r="T117">
        <v>1</v>
      </c>
      <c r="U117">
        <v>2340</v>
      </c>
    </row>
    <row r="118" spans="2:21" hidden="1" x14ac:dyDescent="0.25">
      <c r="B118">
        <f t="shared" si="9"/>
        <v>1</v>
      </c>
      <c r="C118">
        <v>1</v>
      </c>
      <c r="D118">
        <v>1</v>
      </c>
      <c r="E118">
        <v>2340</v>
      </c>
      <c r="F118">
        <v>850</v>
      </c>
      <c r="I118">
        <v>2</v>
      </c>
      <c r="J118">
        <v>2</v>
      </c>
      <c r="K118">
        <v>2</v>
      </c>
      <c r="L118">
        <v>2</v>
      </c>
      <c r="M118" t="s">
        <v>7251</v>
      </c>
      <c r="N118" t="s">
        <v>4669</v>
      </c>
      <c r="O118" s="35">
        <f t="shared" si="10"/>
        <v>24.99</v>
      </c>
      <c r="P118" s="35">
        <f t="shared" si="11"/>
        <v>24.99</v>
      </c>
      <c r="Q118">
        <f>+VLOOKUP(N118,REF!A:C,3,0)</f>
        <v>36</v>
      </c>
      <c r="R118">
        <v>6</v>
      </c>
      <c r="S118">
        <v>24.99</v>
      </c>
      <c r="T118">
        <v>1</v>
      </c>
      <c r="U118">
        <v>2340</v>
      </c>
    </row>
    <row r="119" spans="2:21" hidden="1" x14ac:dyDescent="0.25">
      <c r="B119">
        <f t="shared" si="9"/>
        <v>1</v>
      </c>
      <c r="C119">
        <v>1</v>
      </c>
      <c r="D119">
        <v>1</v>
      </c>
      <c r="E119">
        <v>2340</v>
      </c>
      <c r="F119">
        <v>950</v>
      </c>
      <c r="I119">
        <v>2</v>
      </c>
      <c r="J119">
        <v>2</v>
      </c>
      <c r="K119">
        <v>2</v>
      </c>
      <c r="L119">
        <v>2</v>
      </c>
      <c r="M119" t="s">
        <v>7251</v>
      </c>
      <c r="N119" t="s">
        <v>4669</v>
      </c>
      <c r="O119" s="35">
        <f t="shared" si="10"/>
        <v>24.99</v>
      </c>
      <c r="P119" s="35">
        <f t="shared" si="11"/>
        <v>24.99</v>
      </c>
      <c r="Q119">
        <f>+VLOOKUP(N119,REF!A:C,3,0)</f>
        <v>36</v>
      </c>
      <c r="R119">
        <v>7</v>
      </c>
      <c r="S119">
        <v>24.99</v>
      </c>
      <c r="T119">
        <v>1</v>
      </c>
      <c r="U119">
        <v>2340</v>
      </c>
    </row>
    <row r="120" spans="2:21" hidden="1" x14ac:dyDescent="0.25">
      <c r="B120">
        <f t="shared" si="9"/>
        <v>1</v>
      </c>
      <c r="C120">
        <v>1</v>
      </c>
      <c r="D120">
        <v>1</v>
      </c>
      <c r="E120">
        <v>2340</v>
      </c>
      <c r="F120">
        <v>750</v>
      </c>
      <c r="I120">
        <v>2</v>
      </c>
      <c r="J120">
        <v>2</v>
      </c>
      <c r="K120">
        <v>2</v>
      </c>
      <c r="L120">
        <v>2</v>
      </c>
      <c r="M120" t="s">
        <v>7251</v>
      </c>
      <c r="N120" t="s">
        <v>4669</v>
      </c>
      <c r="O120" s="35">
        <f t="shared" si="10"/>
        <v>24.99</v>
      </c>
      <c r="P120" s="35">
        <f t="shared" si="11"/>
        <v>24.99</v>
      </c>
      <c r="Q120">
        <f>+VLOOKUP(N120,REF!A:C,3,0)</f>
        <v>36</v>
      </c>
      <c r="R120">
        <v>8</v>
      </c>
      <c r="S120">
        <v>24.99</v>
      </c>
      <c r="T120">
        <v>1</v>
      </c>
      <c r="U120">
        <v>2340</v>
      </c>
    </row>
    <row r="121" spans="2:21" hidden="1" x14ac:dyDescent="0.25">
      <c r="B121">
        <f t="shared" si="9"/>
        <v>1</v>
      </c>
      <c r="C121">
        <v>1</v>
      </c>
      <c r="D121">
        <v>1</v>
      </c>
      <c r="E121">
        <v>2220</v>
      </c>
      <c r="F121">
        <v>835</v>
      </c>
      <c r="I121">
        <v>2</v>
      </c>
      <c r="J121">
        <v>2</v>
      </c>
      <c r="K121">
        <v>2</v>
      </c>
      <c r="L121">
        <v>2</v>
      </c>
      <c r="M121" t="s">
        <v>7251</v>
      </c>
      <c r="N121" t="s">
        <v>4669</v>
      </c>
      <c r="O121" s="35">
        <f t="shared" si="10"/>
        <v>24.99</v>
      </c>
      <c r="P121" s="35">
        <f t="shared" si="11"/>
        <v>24.99</v>
      </c>
      <c r="Q121">
        <f>+VLOOKUP(N121,REF!A:C,3,0)</f>
        <v>36</v>
      </c>
      <c r="R121">
        <v>9</v>
      </c>
      <c r="S121">
        <v>24.99</v>
      </c>
      <c r="T121">
        <v>1</v>
      </c>
      <c r="U121">
        <v>2220</v>
      </c>
    </row>
    <row r="122" spans="2:21" x14ac:dyDescent="0.25">
      <c r="D122" s="101">
        <v>2</v>
      </c>
      <c r="E122" s="101">
        <v>2420</v>
      </c>
      <c r="F122" s="101">
        <v>95</v>
      </c>
      <c r="G122" s="101" t="s">
        <v>8721</v>
      </c>
      <c r="H122" s="101"/>
      <c r="I122" s="101">
        <v>1</v>
      </c>
      <c r="J122" s="101"/>
      <c r="K122" s="101"/>
      <c r="L122" s="101"/>
      <c r="M122" t="s">
        <v>7249</v>
      </c>
      <c r="N122" t="s">
        <v>4571</v>
      </c>
      <c r="O122" s="35"/>
      <c r="P122" s="35"/>
      <c r="R122">
        <v>41</v>
      </c>
      <c r="T122">
        <v>8</v>
      </c>
    </row>
    <row r="123" spans="2:21" x14ac:dyDescent="0.25">
      <c r="D123" s="101">
        <v>2</v>
      </c>
      <c r="E123" s="101">
        <v>2420</v>
      </c>
      <c r="F123" s="101">
        <v>135</v>
      </c>
      <c r="G123" s="101" t="s">
        <v>8720</v>
      </c>
      <c r="H123" s="101"/>
      <c r="I123" s="101">
        <v>1</v>
      </c>
      <c r="J123" s="101">
        <v>3</v>
      </c>
      <c r="K123" s="101"/>
      <c r="L123" s="101"/>
      <c r="M123" t="s">
        <v>7249</v>
      </c>
      <c r="N123" t="s">
        <v>4571</v>
      </c>
      <c r="O123" s="35"/>
      <c r="P123" s="35"/>
      <c r="R123">
        <v>41</v>
      </c>
      <c r="T123">
        <v>8</v>
      </c>
    </row>
    <row r="124" spans="2:21" x14ac:dyDescent="0.25">
      <c r="D124" s="100">
        <v>2</v>
      </c>
      <c r="E124" s="100">
        <v>2420</v>
      </c>
      <c r="F124" s="100">
        <v>85</v>
      </c>
      <c r="G124" s="100" t="s">
        <v>8721</v>
      </c>
      <c r="H124" s="100"/>
      <c r="I124" s="100">
        <v>1</v>
      </c>
      <c r="J124" s="100"/>
      <c r="K124" s="100"/>
      <c r="L124" s="100"/>
      <c r="M124" t="s">
        <v>7249</v>
      </c>
      <c r="N124" t="s">
        <v>4571</v>
      </c>
      <c r="O124" s="35"/>
      <c r="P124" s="35"/>
      <c r="R124">
        <v>41</v>
      </c>
      <c r="T124">
        <v>8</v>
      </c>
    </row>
    <row r="125" spans="2:21" x14ac:dyDescent="0.25">
      <c r="D125" s="100">
        <v>2</v>
      </c>
      <c r="E125" s="100">
        <v>2420</v>
      </c>
      <c r="F125" s="100">
        <v>125</v>
      </c>
      <c r="G125" s="100" t="s">
        <v>8720</v>
      </c>
      <c r="H125" s="100"/>
      <c r="I125" s="100">
        <v>1</v>
      </c>
      <c r="J125" s="100">
        <v>3</v>
      </c>
      <c r="K125" s="100"/>
      <c r="L125" s="100"/>
      <c r="M125" t="s">
        <v>7249</v>
      </c>
      <c r="N125" t="s">
        <v>4571</v>
      </c>
      <c r="O125" s="35"/>
      <c r="P125" s="35"/>
      <c r="R125">
        <v>41</v>
      </c>
      <c r="T125">
        <v>8</v>
      </c>
    </row>
    <row r="126" spans="2:21" x14ac:dyDescent="0.25">
      <c r="D126" s="101">
        <v>2</v>
      </c>
      <c r="E126" s="101">
        <v>2420</v>
      </c>
      <c r="F126" s="101">
        <v>135</v>
      </c>
      <c r="G126" s="101" t="s">
        <v>8720</v>
      </c>
      <c r="H126" s="101"/>
      <c r="I126" s="101">
        <v>1</v>
      </c>
      <c r="J126" s="101">
        <v>3</v>
      </c>
      <c r="K126" s="101"/>
      <c r="L126" s="101"/>
      <c r="M126" t="s">
        <v>7249</v>
      </c>
      <c r="N126" t="s">
        <v>4571</v>
      </c>
      <c r="O126" s="35"/>
      <c r="P126" s="35"/>
      <c r="R126">
        <v>42</v>
      </c>
      <c r="T126">
        <v>8</v>
      </c>
    </row>
    <row r="127" spans="2:21" x14ac:dyDescent="0.25">
      <c r="D127" s="101">
        <v>2</v>
      </c>
      <c r="E127" s="101">
        <v>2420</v>
      </c>
      <c r="F127" s="101">
        <v>95</v>
      </c>
      <c r="G127" s="101" t="s">
        <v>8721</v>
      </c>
      <c r="H127" s="101"/>
      <c r="I127" s="101">
        <v>1</v>
      </c>
      <c r="J127" s="101"/>
      <c r="K127" s="101"/>
      <c r="L127" s="101"/>
      <c r="M127" t="s">
        <v>7249</v>
      </c>
      <c r="N127" t="s">
        <v>4571</v>
      </c>
      <c r="O127" s="35"/>
      <c r="P127" s="35"/>
      <c r="R127">
        <v>42</v>
      </c>
      <c r="T127">
        <v>8</v>
      </c>
    </row>
    <row r="128" spans="2:21" x14ac:dyDescent="0.25">
      <c r="D128" s="99">
        <v>2</v>
      </c>
      <c r="E128" s="99">
        <v>2420</v>
      </c>
      <c r="F128" s="99">
        <v>125</v>
      </c>
      <c r="G128" s="99" t="s">
        <v>8720</v>
      </c>
      <c r="H128" s="99"/>
      <c r="I128" s="99">
        <v>1</v>
      </c>
      <c r="J128" s="99">
        <v>3</v>
      </c>
      <c r="K128" s="99"/>
      <c r="L128" s="99"/>
      <c r="M128" t="s">
        <v>7249</v>
      </c>
      <c r="N128" t="s">
        <v>4571</v>
      </c>
      <c r="O128" s="35"/>
      <c r="P128" s="35"/>
      <c r="R128">
        <v>42</v>
      </c>
      <c r="T128">
        <v>8</v>
      </c>
    </row>
    <row r="129" spans="4:20" x14ac:dyDescent="0.25">
      <c r="D129" s="99">
        <v>2</v>
      </c>
      <c r="E129" s="99">
        <v>2420</v>
      </c>
      <c r="F129" s="99">
        <v>85</v>
      </c>
      <c r="G129" s="99" t="s">
        <v>8721</v>
      </c>
      <c r="H129" s="99"/>
      <c r="I129" s="99">
        <v>1</v>
      </c>
      <c r="J129" s="99"/>
      <c r="K129" s="99"/>
      <c r="L129" s="99"/>
      <c r="M129" t="s">
        <v>7249</v>
      </c>
      <c r="N129" t="s">
        <v>4571</v>
      </c>
      <c r="O129" s="35"/>
      <c r="P129" s="35"/>
      <c r="R129">
        <v>42</v>
      </c>
      <c r="T129">
        <v>8</v>
      </c>
    </row>
    <row r="130" spans="4:20" x14ac:dyDescent="0.25">
      <c r="D130" s="101">
        <v>2</v>
      </c>
      <c r="E130" s="101">
        <v>2420</v>
      </c>
      <c r="F130" s="101">
        <v>125</v>
      </c>
      <c r="G130" s="101" t="s">
        <v>8720</v>
      </c>
      <c r="H130" s="101"/>
      <c r="I130" s="101">
        <v>1</v>
      </c>
      <c r="J130" s="101">
        <v>3</v>
      </c>
      <c r="K130" s="101"/>
      <c r="L130" s="101"/>
      <c r="M130" t="s">
        <v>7249</v>
      </c>
      <c r="N130" t="s">
        <v>4571</v>
      </c>
      <c r="O130" s="35"/>
      <c r="P130" s="35"/>
      <c r="R130">
        <v>43</v>
      </c>
      <c r="T130">
        <v>8</v>
      </c>
    </row>
    <row r="131" spans="4:20" x14ac:dyDescent="0.25">
      <c r="D131" s="101">
        <v>2</v>
      </c>
      <c r="E131" s="101">
        <v>2420</v>
      </c>
      <c r="F131" s="101">
        <v>85</v>
      </c>
      <c r="G131" s="101" t="s">
        <v>8721</v>
      </c>
      <c r="H131" s="101"/>
      <c r="I131" s="101">
        <v>1</v>
      </c>
      <c r="J131" s="101"/>
      <c r="K131" s="101"/>
      <c r="L131" s="101"/>
      <c r="M131" t="s">
        <v>7249</v>
      </c>
      <c r="N131" t="s">
        <v>4571</v>
      </c>
      <c r="O131" s="35"/>
      <c r="P131" s="35"/>
      <c r="R131">
        <v>43</v>
      </c>
      <c r="T131">
        <v>8</v>
      </c>
    </row>
    <row r="132" spans="4:20" x14ac:dyDescent="0.25">
      <c r="D132" s="100">
        <v>2</v>
      </c>
      <c r="E132" s="100">
        <v>2420</v>
      </c>
      <c r="F132" s="100">
        <v>120</v>
      </c>
      <c r="G132" s="100" t="s">
        <v>8720</v>
      </c>
      <c r="H132" s="100"/>
      <c r="I132" s="100">
        <v>1</v>
      </c>
      <c r="J132" s="100">
        <v>3</v>
      </c>
      <c r="K132" s="100"/>
      <c r="L132" s="100"/>
      <c r="M132" t="s">
        <v>7249</v>
      </c>
      <c r="N132" t="s">
        <v>4571</v>
      </c>
      <c r="O132" s="35"/>
      <c r="P132" s="35"/>
      <c r="R132">
        <v>43</v>
      </c>
      <c r="T132">
        <v>8</v>
      </c>
    </row>
    <row r="133" spans="4:20" x14ac:dyDescent="0.25">
      <c r="D133" s="100">
        <v>2</v>
      </c>
      <c r="E133" s="100">
        <v>2420</v>
      </c>
      <c r="F133" s="100">
        <v>80</v>
      </c>
      <c r="G133" s="100" t="s">
        <v>8721</v>
      </c>
      <c r="H133" s="100"/>
      <c r="I133" s="100">
        <v>1</v>
      </c>
      <c r="J133" s="100"/>
      <c r="K133" s="100"/>
      <c r="L133" s="100"/>
      <c r="M133" t="s">
        <v>7249</v>
      </c>
      <c r="N133" t="s">
        <v>4571</v>
      </c>
      <c r="O133" s="35"/>
      <c r="P133" s="35"/>
      <c r="R133">
        <v>43</v>
      </c>
      <c r="T133">
        <v>8</v>
      </c>
    </row>
    <row r="134" spans="4:20" x14ac:dyDescent="0.25">
      <c r="D134" s="101">
        <v>2</v>
      </c>
      <c r="E134" s="101">
        <v>2420</v>
      </c>
      <c r="F134" s="101">
        <v>85</v>
      </c>
      <c r="G134" s="101" t="s">
        <v>8721</v>
      </c>
      <c r="H134" s="101"/>
      <c r="I134" s="101">
        <v>1</v>
      </c>
      <c r="J134" s="101"/>
      <c r="K134" s="101"/>
      <c r="L134" s="101"/>
      <c r="M134" t="s">
        <v>7249</v>
      </c>
      <c r="N134" t="s">
        <v>4571</v>
      </c>
      <c r="O134" s="35"/>
      <c r="P134" s="35"/>
      <c r="R134">
        <v>44</v>
      </c>
      <c r="T134">
        <v>8</v>
      </c>
    </row>
    <row r="135" spans="4:20" x14ac:dyDescent="0.25">
      <c r="D135" s="101">
        <v>2</v>
      </c>
      <c r="E135" s="101">
        <v>2420</v>
      </c>
      <c r="F135" s="101">
        <v>125</v>
      </c>
      <c r="G135" s="101" t="s">
        <v>8720</v>
      </c>
      <c r="H135" s="101"/>
      <c r="I135" s="101">
        <v>1</v>
      </c>
      <c r="J135" s="101">
        <v>3</v>
      </c>
      <c r="K135" s="101"/>
      <c r="L135" s="101"/>
      <c r="M135" t="s">
        <v>7249</v>
      </c>
      <c r="N135" t="s">
        <v>4571</v>
      </c>
      <c r="O135" s="35"/>
      <c r="P135" s="35"/>
      <c r="R135">
        <v>44</v>
      </c>
      <c r="T135">
        <v>8</v>
      </c>
    </row>
    <row r="136" spans="4:20" x14ac:dyDescent="0.25">
      <c r="D136" s="99">
        <v>2</v>
      </c>
      <c r="E136" s="99">
        <v>2420</v>
      </c>
      <c r="F136" s="99">
        <v>135</v>
      </c>
      <c r="G136" s="99" t="s">
        <v>8720</v>
      </c>
      <c r="H136" s="99"/>
      <c r="I136" s="99">
        <v>1</v>
      </c>
      <c r="J136" s="99">
        <v>3</v>
      </c>
      <c r="K136" s="99"/>
      <c r="L136" s="99"/>
      <c r="M136" t="s">
        <v>7249</v>
      </c>
      <c r="N136" t="s">
        <v>4571</v>
      </c>
      <c r="O136" s="35"/>
      <c r="P136" s="35"/>
      <c r="R136">
        <v>44</v>
      </c>
      <c r="T136">
        <v>8</v>
      </c>
    </row>
    <row r="137" spans="4:20" x14ac:dyDescent="0.25">
      <c r="D137" s="99">
        <v>2</v>
      </c>
      <c r="E137" s="99">
        <v>2420</v>
      </c>
      <c r="F137" s="99">
        <v>95</v>
      </c>
      <c r="G137" s="99" t="s">
        <v>8721</v>
      </c>
      <c r="H137" s="99"/>
      <c r="I137" s="99">
        <v>1</v>
      </c>
      <c r="J137" s="99"/>
      <c r="K137" s="99"/>
      <c r="L137" s="99"/>
      <c r="M137" t="s">
        <v>7249</v>
      </c>
      <c r="N137" t="s">
        <v>4571</v>
      </c>
      <c r="O137" s="35"/>
      <c r="P137" s="35"/>
      <c r="R137">
        <v>44</v>
      </c>
      <c r="T137">
        <v>8</v>
      </c>
    </row>
    <row r="138" spans="4:20" x14ac:dyDescent="0.25">
      <c r="D138" s="100">
        <v>1</v>
      </c>
      <c r="E138" s="100">
        <v>1000</v>
      </c>
      <c r="F138" s="100">
        <v>95</v>
      </c>
      <c r="G138" s="100" t="s">
        <v>8721</v>
      </c>
      <c r="H138" s="100"/>
      <c r="I138" s="100">
        <v>1</v>
      </c>
      <c r="J138" s="100"/>
      <c r="M138" t="s">
        <v>7249</v>
      </c>
      <c r="N138" t="s">
        <v>4571</v>
      </c>
      <c r="O138" s="35"/>
      <c r="P138" s="35"/>
      <c r="R138">
        <v>45</v>
      </c>
      <c r="T138">
        <v>16</v>
      </c>
    </row>
    <row r="139" spans="4:20" x14ac:dyDescent="0.25">
      <c r="D139" s="100">
        <v>1</v>
      </c>
      <c r="E139" s="100">
        <v>1000</v>
      </c>
      <c r="F139" s="100">
        <v>135</v>
      </c>
      <c r="G139" s="100" t="s">
        <v>8720</v>
      </c>
      <c r="H139" s="100"/>
      <c r="I139" s="100">
        <v>1</v>
      </c>
      <c r="J139" s="100">
        <v>3</v>
      </c>
      <c r="M139" t="s">
        <v>7249</v>
      </c>
      <c r="N139" t="s">
        <v>4571</v>
      </c>
      <c r="O139" s="35"/>
      <c r="P139" s="35"/>
      <c r="R139">
        <v>45</v>
      </c>
      <c r="T139">
        <v>16</v>
      </c>
    </row>
    <row r="140" spans="4:20" x14ac:dyDescent="0.25">
      <c r="D140" s="101">
        <v>1</v>
      </c>
      <c r="E140" s="101">
        <v>1000</v>
      </c>
      <c r="F140" s="101">
        <v>85</v>
      </c>
      <c r="G140" s="101" t="s">
        <v>8721</v>
      </c>
      <c r="H140" s="101"/>
      <c r="I140" s="101">
        <v>1</v>
      </c>
      <c r="J140" s="101"/>
      <c r="M140" t="s">
        <v>7249</v>
      </c>
      <c r="N140" t="s">
        <v>4571</v>
      </c>
      <c r="O140" s="35"/>
      <c r="P140" s="35"/>
      <c r="R140">
        <v>45</v>
      </c>
      <c r="T140">
        <v>16</v>
      </c>
    </row>
    <row r="141" spans="4:20" x14ac:dyDescent="0.25">
      <c r="D141" s="101">
        <v>1</v>
      </c>
      <c r="E141" s="101">
        <v>1000</v>
      </c>
      <c r="F141" s="101">
        <v>125</v>
      </c>
      <c r="G141" s="101" t="s">
        <v>8720</v>
      </c>
      <c r="H141" s="101"/>
      <c r="I141" s="101">
        <v>1</v>
      </c>
      <c r="J141" s="101">
        <v>3</v>
      </c>
      <c r="M141" t="s">
        <v>7249</v>
      </c>
      <c r="N141" t="s">
        <v>4571</v>
      </c>
      <c r="O141" s="35"/>
      <c r="P141" s="35"/>
      <c r="R141">
        <v>45</v>
      </c>
      <c r="T141">
        <v>16</v>
      </c>
    </row>
    <row r="142" spans="4:20" x14ac:dyDescent="0.25">
      <c r="D142" s="99">
        <v>1</v>
      </c>
      <c r="E142" s="99">
        <v>1000</v>
      </c>
      <c r="F142" s="99">
        <v>135</v>
      </c>
      <c r="G142" s="99" t="s">
        <v>8720</v>
      </c>
      <c r="H142" s="99"/>
      <c r="I142" s="99">
        <v>1</v>
      </c>
      <c r="J142" s="99">
        <v>3</v>
      </c>
      <c r="M142" t="s">
        <v>7249</v>
      </c>
      <c r="N142" t="s">
        <v>4571</v>
      </c>
      <c r="O142" s="35"/>
      <c r="P142" s="35"/>
      <c r="R142">
        <v>45</v>
      </c>
      <c r="T142">
        <v>16</v>
      </c>
    </row>
    <row r="143" spans="4:20" x14ac:dyDescent="0.25">
      <c r="D143" s="99">
        <v>1</v>
      </c>
      <c r="E143" s="99">
        <v>1000</v>
      </c>
      <c r="F143" s="99">
        <v>95</v>
      </c>
      <c r="G143" s="99" t="s">
        <v>8721</v>
      </c>
      <c r="H143" s="99"/>
      <c r="I143" s="99">
        <v>1</v>
      </c>
      <c r="J143" s="99"/>
      <c r="M143" t="s">
        <v>7249</v>
      </c>
      <c r="N143" t="s">
        <v>4571</v>
      </c>
      <c r="O143" s="35"/>
      <c r="P143" s="35"/>
      <c r="R143">
        <v>45</v>
      </c>
      <c r="T143">
        <v>16</v>
      </c>
    </row>
    <row r="144" spans="4:20" x14ac:dyDescent="0.25">
      <c r="D144" s="100">
        <v>1</v>
      </c>
      <c r="E144" s="100">
        <v>1000</v>
      </c>
      <c r="F144" s="100">
        <v>125</v>
      </c>
      <c r="G144" s="100" t="s">
        <v>8720</v>
      </c>
      <c r="H144" s="100"/>
      <c r="I144" s="100">
        <v>1</v>
      </c>
      <c r="J144" s="100">
        <v>3</v>
      </c>
      <c r="M144" t="s">
        <v>7249</v>
      </c>
      <c r="N144" t="s">
        <v>4571</v>
      </c>
      <c r="O144" s="35"/>
      <c r="P144" s="35"/>
      <c r="R144">
        <v>45</v>
      </c>
      <c r="T144">
        <v>16</v>
      </c>
    </row>
    <row r="145" spans="4:20" x14ac:dyDescent="0.25">
      <c r="D145" s="100">
        <v>1</v>
      </c>
      <c r="E145" s="100">
        <v>1000</v>
      </c>
      <c r="F145" s="100">
        <v>85</v>
      </c>
      <c r="G145" s="100" t="s">
        <v>8721</v>
      </c>
      <c r="H145" s="100"/>
      <c r="I145" s="100">
        <v>1</v>
      </c>
      <c r="J145" s="100"/>
      <c r="M145" t="s">
        <v>7249</v>
      </c>
      <c r="N145" t="s">
        <v>4571</v>
      </c>
      <c r="O145" s="35"/>
      <c r="P145" s="35"/>
      <c r="R145">
        <v>45</v>
      </c>
      <c r="T145">
        <v>16</v>
      </c>
    </row>
    <row r="146" spans="4:20" x14ac:dyDescent="0.25">
      <c r="D146" s="101">
        <v>1</v>
      </c>
      <c r="E146" s="101">
        <v>1000</v>
      </c>
      <c r="F146" s="101">
        <v>125</v>
      </c>
      <c r="G146" s="101" t="s">
        <v>8720</v>
      </c>
      <c r="H146" s="101"/>
      <c r="I146" s="101">
        <v>1</v>
      </c>
      <c r="J146" s="101">
        <v>3</v>
      </c>
      <c r="M146" t="s">
        <v>7249</v>
      </c>
      <c r="N146" t="s">
        <v>4571</v>
      </c>
      <c r="O146" s="35"/>
      <c r="P146" s="35"/>
      <c r="R146">
        <v>45</v>
      </c>
      <c r="T146">
        <v>16</v>
      </c>
    </row>
    <row r="147" spans="4:20" x14ac:dyDescent="0.25">
      <c r="D147" s="101">
        <v>1</v>
      </c>
      <c r="E147" s="101">
        <v>1000</v>
      </c>
      <c r="F147" s="101">
        <v>85</v>
      </c>
      <c r="G147" s="101" t="s">
        <v>8721</v>
      </c>
      <c r="H147" s="101"/>
      <c r="I147" s="101">
        <v>1</v>
      </c>
      <c r="J147" s="101"/>
      <c r="M147" t="s">
        <v>7249</v>
      </c>
      <c r="N147" t="s">
        <v>4571</v>
      </c>
      <c r="O147" s="35"/>
      <c r="P147" s="35"/>
      <c r="R147">
        <v>45</v>
      </c>
      <c r="T147">
        <v>16</v>
      </c>
    </row>
    <row r="148" spans="4:20" x14ac:dyDescent="0.25">
      <c r="D148" s="100">
        <v>1</v>
      </c>
      <c r="E148" s="100">
        <v>1000</v>
      </c>
      <c r="F148" s="100">
        <v>80</v>
      </c>
      <c r="G148" s="100" t="s">
        <v>8721</v>
      </c>
      <c r="H148" s="100"/>
      <c r="I148" s="100">
        <v>1</v>
      </c>
      <c r="J148" s="100"/>
      <c r="M148" t="s">
        <v>7249</v>
      </c>
      <c r="N148" t="s">
        <v>4571</v>
      </c>
      <c r="O148" s="35"/>
      <c r="P148" s="35"/>
      <c r="R148">
        <v>45</v>
      </c>
      <c r="T148">
        <v>16</v>
      </c>
    </row>
    <row r="149" spans="4:20" x14ac:dyDescent="0.25">
      <c r="D149" s="100">
        <v>1</v>
      </c>
      <c r="E149" s="100">
        <v>1000</v>
      </c>
      <c r="F149" s="100">
        <v>120</v>
      </c>
      <c r="G149" s="100" t="s">
        <v>8720</v>
      </c>
      <c r="H149" s="100"/>
      <c r="I149" s="100">
        <v>1</v>
      </c>
      <c r="J149" s="100">
        <v>3</v>
      </c>
      <c r="M149" t="s">
        <v>7249</v>
      </c>
      <c r="N149" t="s">
        <v>4571</v>
      </c>
      <c r="O149" s="35"/>
      <c r="P149" s="35"/>
      <c r="R149">
        <v>45</v>
      </c>
      <c r="T149">
        <v>16</v>
      </c>
    </row>
    <row r="150" spans="4:20" x14ac:dyDescent="0.25">
      <c r="D150" s="101">
        <v>1</v>
      </c>
      <c r="E150" s="101">
        <v>1000</v>
      </c>
      <c r="F150" s="101">
        <v>125</v>
      </c>
      <c r="G150" s="101" t="s">
        <v>8720</v>
      </c>
      <c r="H150" s="101"/>
      <c r="I150" s="101">
        <v>1</v>
      </c>
      <c r="J150" s="101">
        <v>3</v>
      </c>
      <c r="M150" t="s">
        <v>7249</v>
      </c>
      <c r="N150" t="s">
        <v>4571</v>
      </c>
      <c r="O150" s="35"/>
      <c r="P150" s="35"/>
      <c r="R150">
        <v>45</v>
      </c>
      <c r="T150">
        <v>16</v>
      </c>
    </row>
    <row r="151" spans="4:20" x14ac:dyDescent="0.25">
      <c r="D151" s="101">
        <v>1</v>
      </c>
      <c r="E151" s="101">
        <v>1000</v>
      </c>
      <c r="F151" s="101">
        <v>85</v>
      </c>
      <c r="G151" s="101" t="s">
        <v>8721</v>
      </c>
      <c r="H151" s="101"/>
      <c r="I151" s="101">
        <v>1</v>
      </c>
      <c r="J151" s="101"/>
      <c r="M151" t="s">
        <v>7249</v>
      </c>
      <c r="N151" t="s">
        <v>4571</v>
      </c>
      <c r="O151" s="35"/>
      <c r="P151" s="35"/>
      <c r="R151">
        <v>45</v>
      </c>
      <c r="T151">
        <v>16</v>
      </c>
    </row>
    <row r="152" spans="4:20" x14ac:dyDescent="0.25">
      <c r="D152" s="99">
        <v>1</v>
      </c>
      <c r="E152" s="99">
        <v>1000</v>
      </c>
      <c r="F152" s="99">
        <v>135</v>
      </c>
      <c r="G152" s="99" t="s">
        <v>8720</v>
      </c>
      <c r="H152" s="99"/>
      <c r="I152" s="99">
        <v>1</v>
      </c>
      <c r="J152" s="99">
        <v>3</v>
      </c>
      <c r="M152" t="s">
        <v>7249</v>
      </c>
      <c r="N152" t="s">
        <v>4571</v>
      </c>
      <c r="O152" s="35"/>
      <c r="P152" s="35"/>
      <c r="R152">
        <v>45</v>
      </c>
      <c r="T152">
        <v>16</v>
      </c>
    </row>
    <row r="153" spans="4:20" x14ac:dyDescent="0.25">
      <c r="D153" s="99">
        <v>1</v>
      </c>
      <c r="E153" s="99">
        <v>1000</v>
      </c>
      <c r="F153" s="99">
        <v>95</v>
      </c>
      <c r="G153" s="99" t="s">
        <v>8721</v>
      </c>
      <c r="H153" s="99"/>
      <c r="I153" s="99">
        <v>1</v>
      </c>
      <c r="J153" s="99"/>
      <c r="M153" t="s">
        <v>7249</v>
      </c>
      <c r="N153" t="s">
        <v>4571</v>
      </c>
      <c r="O153" s="35"/>
      <c r="P153" s="35"/>
      <c r="R153">
        <v>45</v>
      </c>
      <c r="T153">
        <v>16</v>
      </c>
    </row>
    <row r="154" spans="4:20" hidden="1" x14ac:dyDescent="0.25">
      <c r="O154" s="35"/>
      <c r="P154" s="35"/>
    </row>
    <row r="155" spans="4:20" hidden="1" x14ac:dyDescent="0.25">
      <c r="O155" s="35"/>
      <c r="P155" s="35"/>
    </row>
    <row r="156" spans="4:20" hidden="1" x14ac:dyDescent="0.25">
      <c r="O156" s="35"/>
      <c r="P156" s="35"/>
    </row>
    <row r="157" spans="4:20" hidden="1" x14ac:dyDescent="0.25">
      <c r="O157" s="35"/>
      <c r="P157" s="35"/>
    </row>
    <row r="158" spans="4:20" hidden="1" x14ac:dyDescent="0.25">
      <c r="O158" s="35"/>
      <c r="P158" s="35"/>
    </row>
    <row r="159" spans="4:20" hidden="1" x14ac:dyDescent="0.25">
      <c r="O159" s="35"/>
      <c r="P159" s="35"/>
    </row>
    <row r="160" spans="4:20" hidden="1" x14ac:dyDescent="0.25">
      <c r="O160" s="35"/>
      <c r="P160" s="35"/>
    </row>
    <row r="161" spans="15:16" hidden="1" x14ac:dyDescent="0.25">
      <c r="O161" s="35"/>
      <c r="P161" s="35"/>
    </row>
    <row r="162" spans="15:16" hidden="1" x14ac:dyDescent="0.25">
      <c r="O162" s="35"/>
      <c r="P162" s="35"/>
    </row>
    <row r="163" spans="15:16" hidden="1" x14ac:dyDescent="0.25">
      <c r="O163" s="35"/>
      <c r="P163" s="35"/>
    </row>
    <row r="164" spans="15:16" hidden="1" x14ac:dyDescent="0.25">
      <c r="O164" s="35"/>
      <c r="P164" s="35"/>
    </row>
    <row r="165" spans="15:16" hidden="1" x14ac:dyDescent="0.25">
      <c r="O165" s="35"/>
      <c r="P165" s="35"/>
    </row>
    <row r="166" spans="15:16" hidden="1" x14ac:dyDescent="0.25">
      <c r="O166" s="35"/>
      <c r="P166" s="35"/>
    </row>
    <row r="167" spans="15:16" hidden="1" x14ac:dyDescent="0.25">
      <c r="O167" s="35"/>
      <c r="P167" s="35"/>
    </row>
    <row r="168" spans="15:16" hidden="1" x14ac:dyDescent="0.25">
      <c r="O168" s="35"/>
      <c r="P168" s="35"/>
    </row>
    <row r="169" spans="15:16" hidden="1" x14ac:dyDescent="0.25">
      <c r="O169" s="35"/>
      <c r="P169" s="35"/>
    </row>
    <row r="170" spans="15:16" hidden="1" x14ac:dyDescent="0.25">
      <c r="O170" s="35"/>
      <c r="P170" s="35"/>
    </row>
    <row r="171" spans="15:16" hidden="1" x14ac:dyDescent="0.25">
      <c r="O171" s="35"/>
      <c r="P171" s="35"/>
    </row>
    <row r="172" spans="15:16" hidden="1" x14ac:dyDescent="0.25">
      <c r="O172" s="35"/>
      <c r="P172" s="35"/>
    </row>
    <row r="173" spans="15:16" hidden="1" x14ac:dyDescent="0.25">
      <c r="O173" s="35"/>
      <c r="P173" s="35"/>
    </row>
    <row r="174" spans="15:16" hidden="1" x14ac:dyDescent="0.25">
      <c r="O174" s="35"/>
      <c r="P174" s="35"/>
    </row>
    <row r="175" spans="15:16" hidden="1" x14ac:dyDescent="0.25">
      <c r="O175" s="35"/>
      <c r="P175" s="35"/>
    </row>
    <row r="176" spans="15:16" hidden="1" x14ac:dyDescent="0.25">
      <c r="O176" s="35"/>
      <c r="P176" s="35"/>
    </row>
    <row r="177" spans="15:16" hidden="1" x14ac:dyDescent="0.25">
      <c r="O177" s="35"/>
      <c r="P177" s="35"/>
    </row>
    <row r="178" spans="15:16" hidden="1" x14ac:dyDescent="0.25">
      <c r="O178" s="35"/>
      <c r="P178" s="35"/>
    </row>
    <row r="179" spans="15:16" hidden="1" x14ac:dyDescent="0.25">
      <c r="O179" s="35"/>
      <c r="P179" s="35"/>
    </row>
    <row r="180" spans="15:16" hidden="1" x14ac:dyDescent="0.25">
      <c r="O180" s="35"/>
      <c r="P180" s="35"/>
    </row>
    <row r="181" spans="15:16" hidden="1" x14ac:dyDescent="0.25">
      <c r="O181" s="35"/>
      <c r="P181" s="35"/>
    </row>
    <row r="182" spans="15:16" hidden="1" x14ac:dyDescent="0.25">
      <c r="O182" s="35"/>
      <c r="P182" s="35"/>
    </row>
    <row r="183" spans="15:16" hidden="1" x14ac:dyDescent="0.25">
      <c r="O183" s="35"/>
      <c r="P183" s="35"/>
    </row>
    <row r="184" spans="15:16" hidden="1" x14ac:dyDescent="0.25">
      <c r="O184" s="35"/>
      <c r="P184" s="35"/>
    </row>
    <row r="185" spans="15:16" hidden="1" x14ac:dyDescent="0.25">
      <c r="O185" s="35"/>
      <c r="P185" s="35"/>
    </row>
    <row r="186" spans="15:16" hidden="1" x14ac:dyDescent="0.25">
      <c r="O186" s="35"/>
      <c r="P186" s="35"/>
    </row>
    <row r="187" spans="15:16" hidden="1" x14ac:dyDescent="0.25">
      <c r="O187" s="35"/>
      <c r="P187" s="35"/>
    </row>
    <row r="188" spans="15:16" hidden="1" x14ac:dyDescent="0.25">
      <c r="O188" s="35"/>
      <c r="P188" s="35"/>
    </row>
    <row r="189" spans="15:16" hidden="1" x14ac:dyDescent="0.25">
      <c r="O189" s="35"/>
      <c r="P189" s="35"/>
    </row>
    <row r="190" spans="15:16" hidden="1" x14ac:dyDescent="0.25">
      <c r="O190" s="35"/>
      <c r="P190" s="35"/>
    </row>
    <row r="191" spans="15:16" hidden="1" x14ac:dyDescent="0.25">
      <c r="O191" s="35"/>
      <c r="P191" s="35"/>
    </row>
    <row r="192" spans="15:16" hidden="1" x14ac:dyDescent="0.25">
      <c r="O192" s="35"/>
      <c r="P192" s="35"/>
    </row>
    <row r="193" spans="15:16" hidden="1" x14ac:dyDescent="0.25">
      <c r="O193" s="35"/>
      <c r="P193" s="35"/>
    </row>
    <row r="194" spans="15:16" hidden="1" x14ac:dyDescent="0.25">
      <c r="O194" s="35"/>
      <c r="P194" s="35"/>
    </row>
    <row r="195" spans="15:16" hidden="1" x14ac:dyDescent="0.25">
      <c r="O195" s="35"/>
      <c r="P195" s="35"/>
    </row>
    <row r="196" spans="15:16" hidden="1" x14ac:dyDescent="0.25">
      <c r="O196" s="35"/>
      <c r="P196" s="35"/>
    </row>
    <row r="197" spans="15:16" hidden="1" x14ac:dyDescent="0.25">
      <c r="O197" s="35"/>
      <c r="P197" s="35"/>
    </row>
    <row r="198" spans="15:16" hidden="1" x14ac:dyDescent="0.25">
      <c r="O198" s="35"/>
      <c r="P198" s="35"/>
    </row>
    <row r="199" spans="15:16" hidden="1" x14ac:dyDescent="0.25">
      <c r="O199" s="35"/>
      <c r="P199" s="35"/>
    </row>
    <row r="200" spans="15:16" hidden="1" x14ac:dyDescent="0.25">
      <c r="O200" s="35"/>
      <c r="P200" s="35"/>
    </row>
    <row r="201" spans="15:16" hidden="1" x14ac:dyDescent="0.25">
      <c r="O201" s="35"/>
      <c r="P201" s="35"/>
    </row>
    <row r="202" spans="15:16" hidden="1" x14ac:dyDescent="0.25">
      <c r="O202" s="35"/>
      <c r="P202" s="35"/>
    </row>
    <row r="203" spans="15:16" hidden="1" x14ac:dyDescent="0.25">
      <c r="O203" s="35"/>
      <c r="P203" s="35"/>
    </row>
    <row r="204" spans="15:16" hidden="1" x14ac:dyDescent="0.25">
      <c r="O204" s="35"/>
      <c r="P204" s="35"/>
    </row>
    <row r="205" spans="15:16" hidden="1" x14ac:dyDescent="0.25">
      <c r="O205" s="35"/>
      <c r="P205" s="35"/>
    </row>
    <row r="206" spans="15:16" hidden="1" x14ac:dyDescent="0.25">
      <c r="O206" s="35"/>
      <c r="P206" s="35"/>
    </row>
    <row r="207" spans="15:16" hidden="1" x14ac:dyDescent="0.25">
      <c r="O207" s="35"/>
      <c r="P207" s="35"/>
    </row>
    <row r="208" spans="15:16" hidden="1" x14ac:dyDescent="0.25">
      <c r="O208" s="35"/>
      <c r="P208" s="35"/>
    </row>
    <row r="209" spans="15:16" hidden="1" x14ac:dyDescent="0.25">
      <c r="O209" s="35"/>
      <c r="P209" s="35"/>
    </row>
    <row r="210" spans="15:16" hidden="1" x14ac:dyDescent="0.25">
      <c r="O210" s="35"/>
      <c r="P210" s="35"/>
    </row>
    <row r="211" spans="15:16" hidden="1" x14ac:dyDescent="0.25">
      <c r="O211" s="35"/>
      <c r="P211" s="35"/>
    </row>
    <row r="212" spans="15:16" hidden="1" x14ac:dyDescent="0.25">
      <c r="O212" s="35"/>
      <c r="P212" s="35"/>
    </row>
    <row r="213" spans="15:16" hidden="1" x14ac:dyDescent="0.25">
      <c r="O213" s="35"/>
      <c r="P213" s="35"/>
    </row>
    <row r="214" spans="15:16" hidden="1" x14ac:dyDescent="0.25">
      <c r="O214" s="35"/>
      <c r="P214" s="35"/>
    </row>
    <row r="215" spans="15:16" hidden="1" x14ac:dyDescent="0.25">
      <c r="O215" s="35"/>
      <c r="P215" s="35"/>
    </row>
    <row r="216" spans="15:16" hidden="1" x14ac:dyDescent="0.25">
      <c r="O216" s="35"/>
      <c r="P216" s="35"/>
    </row>
    <row r="217" spans="15:16" hidden="1" x14ac:dyDescent="0.25">
      <c r="O217" s="35"/>
      <c r="P217" s="35"/>
    </row>
    <row r="218" spans="15:16" hidden="1" x14ac:dyDescent="0.25">
      <c r="O218" s="35"/>
      <c r="P218" s="35"/>
    </row>
    <row r="219" spans="15:16" hidden="1" x14ac:dyDescent="0.25">
      <c r="O219" s="35"/>
      <c r="P219" s="35"/>
    </row>
    <row r="220" spans="15:16" hidden="1" x14ac:dyDescent="0.25">
      <c r="O220" s="35"/>
      <c r="P220" s="35"/>
    </row>
    <row r="221" spans="15:16" hidden="1" x14ac:dyDescent="0.25">
      <c r="O221" s="35"/>
      <c r="P221" s="35"/>
    </row>
    <row r="222" spans="15:16" hidden="1" x14ac:dyDescent="0.25">
      <c r="O222" s="35"/>
      <c r="P222" s="35"/>
    </row>
    <row r="223" spans="15:16" hidden="1" x14ac:dyDescent="0.25">
      <c r="O223" s="35"/>
      <c r="P223" s="35"/>
    </row>
    <row r="224" spans="15:16" hidden="1" x14ac:dyDescent="0.25">
      <c r="O224" s="35"/>
      <c r="P224" s="35"/>
    </row>
    <row r="225" spans="15:16" hidden="1" x14ac:dyDescent="0.25">
      <c r="O225" s="35"/>
      <c r="P225" s="35"/>
    </row>
    <row r="226" spans="15:16" hidden="1" x14ac:dyDescent="0.25">
      <c r="O226" s="35"/>
      <c r="P226" s="35"/>
    </row>
    <row r="227" spans="15:16" hidden="1" x14ac:dyDescent="0.25">
      <c r="O227" s="35"/>
      <c r="P227" s="35"/>
    </row>
    <row r="228" spans="15:16" hidden="1" x14ac:dyDescent="0.25">
      <c r="O228" s="35"/>
      <c r="P228" s="35"/>
    </row>
    <row r="229" spans="15:16" hidden="1" x14ac:dyDescent="0.25">
      <c r="O229" s="35"/>
      <c r="P229" s="35"/>
    </row>
    <row r="230" spans="15:16" hidden="1" x14ac:dyDescent="0.25">
      <c r="O230" s="35"/>
      <c r="P230" s="35"/>
    </row>
    <row r="231" spans="15:16" hidden="1" x14ac:dyDescent="0.25">
      <c r="O231" s="35"/>
      <c r="P231" s="35"/>
    </row>
    <row r="232" spans="15:16" hidden="1" x14ac:dyDescent="0.25">
      <c r="O232" s="35"/>
      <c r="P232" s="35"/>
    </row>
    <row r="233" spans="15:16" hidden="1" x14ac:dyDescent="0.25">
      <c r="O233" s="35"/>
      <c r="P233" s="35"/>
    </row>
    <row r="234" spans="15:16" hidden="1" x14ac:dyDescent="0.25">
      <c r="O234" s="35"/>
      <c r="P234" s="35"/>
    </row>
    <row r="235" spans="15:16" hidden="1" x14ac:dyDescent="0.25">
      <c r="O235" s="35"/>
      <c r="P235" s="35"/>
    </row>
    <row r="236" spans="15:16" hidden="1" x14ac:dyDescent="0.25">
      <c r="O236" s="35"/>
      <c r="P236" s="35"/>
    </row>
    <row r="237" spans="15:16" hidden="1" x14ac:dyDescent="0.25">
      <c r="O237" s="35"/>
      <c r="P237" s="35"/>
    </row>
    <row r="238" spans="15:16" hidden="1" x14ac:dyDescent="0.25">
      <c r="O238" s="35"/>
      <c r="P238" s="35"/>
    </row>
    <row r="239" spans="15:16" hidden="1" x14ac:dyDescent="0.25">
      <c r="O239" s="35"/>
      <c r="P239" s="35"/>
    </row>
    <row r="240" spans="15:16" hidden="1" x14ac:dyDescent="0.25">
      <c r="O240" s="35"/>
      <c r="P240" s="35"/>
    </row>
    <row r="241" spans="15:16" hidden="1" x14ac:dyDescent="0.25">
      <c r="O241" s="35"/>
      <c r="P241" s="35"/>
    </row>
    <row r="242" spans="15:16" hidden="1" x14ac:dyDescent="0.25">
      <c r="O242" s="35"/>
      <c r="P242" s="35"/>
    </row>
    <row r="243" spans="15:16" hidden="1" x14ac:dyDescent="0.25">
      <c r="O243" s="35"/>
      <c r="P243" s="35"/>
    </row>
    <row r="244" spans="15:16" hidden="1" x14ac:dyDescent="0.25">
      <c r="O244" s="35"/>
      <c r="P244" s="35"/>
    </row>
    <row r="245" spans="15:16" hidden="1" x14ac:dyDescent="0.25">
      <c r="O245" s="35"/>
      <c r="P245" s="35"/>
    </row>
    <row r="246" spans="15:16" hidden="1" x14ac:dyDescent="0.25">
      <c r="O246" s="35"/>
      <c r="P246" s="35"/>
    </row>
    <row r="247" spans="15:16" hidden="1" x14ac:dyDescent="0.25">
      <c r="O247" s="35"/>
      <c r="P247" s="35"/>
    </row>
    <row r="248" spans="15:16" hidden="1" x14ac:dyDescent="0.25">
      <c r="O248" s="35"/>
      <c r="P248" s="35"/>
    </row>
    <row r="249" spans="15:16" hidden="1" x14ac:dyDescent="0.25">
      <c r="O249" s="35"/>
      <c r="P249" s="35"/>
    </row>
    <row r="250" spans="15:16" hidden="1" x14ac:dyDescent="0.25">
      <c r="O250" s="35"/>
      <c r="P250" s="35"/>
    </row>
    <row r="251" spans="15:16" hidden="1" x14ac:dyDescent="0.25">
      <c r="O251" s="35"/>
      <c r="P251" s="35"/>
    </row>
    <row r="252" spans="15:16" hidden="1" x14ac:dyDescent="0.25">
      <c r="O252" s="35"/>
      <c r="P252" s="35"/>
    </row>
    <row r="253" spans="15:16" hidden="1" x14ac:dyDescent="0.25">
      <c r="O253" s="35"/>
      <c r="P253" s="35"/>
    </row>
    <row r="254" spans="15:16" hidden="1" x14ac:dyDescent="0.25">
      <c r="O254" s="35"/>
      <c r="P254" s="35"/>
    </row>
    <row r="255" spans="15:16" hidden="1" x14ac:dyDescent="0.25">
      <c r="O255" s="35"/>
      <c r="P255" s="35"/>
    </row>
    <row r="256" spans="15:16" hidden="1" x14ac:dyDescent="0.25">
      <c r="O256" s="35"/>
      <c r="P256" s="35"/>
    </row>
    <row r="257" spans="15:16" hidden="1" x14ac:dyDescent="0.25">
      <c r="O257" s="35"/>
      <c r="P257" s="35"/>
    </row>
    <row r="258" spans="15:16" hidden="1" x14ac:dyDescent="0.25">
      <c r="O258" s="35"/>
      <c r="P258" s="35"/>
    </row>
    <row r="259" spans="15:16" hidden="1" x14ac:dyDescent="0.25">
      <c r="O259" s="35"/>
      <c r="P259" s="35"/>
    </row>
    <row r="260" spans="15:16" hidden="1" x14ac:dyDescent="0.25">
      <c r="O260" s="35"/>
      <c r="P260" s="35"/>
    </row>
    <row r="261" spans="15:16" hidden="1" x14ac:dyDescent="0.25">
      <c r="O261" s="35"/>
      <c r="P261" s="35"/>
    </row>
    <row r="262" spans="15:16" hidden="1" x14ac:dyDescent="0.25">
      <c r="O262" s="35"/>
      <c r="P262" s="35"/>
    </row>
    <row r="263" spans="15:16" hidden="1" x14ac:dyDescent="0.25">
      <c r="O263" s="35"/>
      <c r="P263" s="35"/>
    </row>
    <row r="264" spans="15:16" hidden="1" x14ac:dyDescent="0.25">
      <c r="O264" s="35"/>
      <c r="P264" s="35"/>
    </row>
    <row r="265" spans="15:16" hidden="1" x14ac:dyDescent="0.25">
      <c r="O265" s="35"/>
      <c r="P265" s="35"/>
    </row>
    <row r="266" spans="15:16" hidden="1" x14ac:dyDescent="0.25">
      <c r="O266" s="35"/>
      <c r="P266" s="35"/>
    </row>
    <row r="267" spans="15:16" hidden="1" x14ac:dyDescent="0.25">
      <c r="O267" s="35"/>
      <c r="P267" s="35"/>
    </row>
    <row r="268" spans="15:16" hidden="1" x14ac:dyDescent="0.25">
      <c r="O268" s="35"/>
      <c r="P268" s="35"/>
    </row>
    <row r="269" spans="15:16" hidden="1" x14ac:dyDescent="0.25">
      <c r="O269" s="35"/>
      <c r="P269" s="35"/>
    </row>
    <row r="270" spans="15:16" hidden="1" x14ac:dyDescent="0.25">
      <c r="O270" s="35"/>
      <c r="P270" s="35"/>
    </row>
    <row r="271" spans="15:16" hidden="1" x14ac:dyDescent="0.25">
      <c r="O271" s="35"/>
      <c r="P271" s="35"/>
    </row>
    <row r="272" spans="15:16" hidden="1" x14ac:dyDescent="0.25">
      <c r="O272" s="35"/>
      <c r="P272" s="35"/>
    </row>
    <row r="273" spans="15:16" hidden="1" x14ac:dyDescent="0.25">
      <c r="O273" s="35"/>
      <c r="P273" s="35"/>
    </row>
    <row r="274" spans="15:16" hidden="1" x14ac:dyDescent="0.25">
      <c r="O274" s="35"/>
      <c r="P274" s="35"/>
    </row>
    <row r="275" spans="15:16" hidden="1" x14ac:dyDescent="0.25">
      <c r="O275" s="35"/>
      <c r="P275" s="35"/>
    </row>
    <row r="276" spans="15:16" hidden="1" x14ac:dyDescent="0.25">
      <c r="O276" s="35"/>
      <c r="P276" s="35"/>
    </row>
    <row r="277" spans="15:16" hidden="1" x14ac:dyDescent="0.25">
      <c r="O277" s="35"/>
      <c r="P277" s="35"/>
    </row>
    <row r="278" spans="15:16" hidden="1" x14ac:dyDescent="0.25">
      <c r="O278" s="35"/>
      <c r="P278" s="35"/>
    </row>
    <row r="279" spans="15:16" hidden="1" x14ac:dyDescent="0.25">
      <c r="O279" s="35"/>
      <c r="P279" s="35"/>
    </row>
    <row r="280" spans="15:16" hidden="1" x14ac:dyDescent="0.25">
      <c r="O280" s="35"/>
      <c r="P280" s="35"/>
    </row>
    <row r="281" spans="15:16" hidden="1" x14ac:dyDescent="0.25">
      <c r="O281" s="35"/>
      <c r="P281" s="35"/>
    </row>
    <row r="282" spans="15:16" hidden="1" x14ac:dyDescent="0.25">
      <c r="O282" s="35"/>
      <c r="P282" s="35"/>
    </row>
    <row r="283" spans="15:16" hidden="1" x14ac:dyDescent="0.25">
      <c r="O283" s="35"/>
      <c r="P283" s="35"/>
    </row>
    <row r="284" spans="15:16" hidden="1" x14ac:dyDescent="0.25">
      <c r="O284" s="35"/>
      <c r="P284" s="35"/>
    </row>
    <row r="285" spans="15:16" hidden="1" x14ac:dyDescent="0.25">
      <c r="O285" s="35"/>
      <c r="P285" s="35"/>
    </row>
    <row r="286" spans="15:16" hidden="1" x14ac:dyDescent="0.25">
      <c r="O286" s="35"/>
      <c r="P286" s="35"/>
    </row>
    <row r="287" spans="15:16" hidden="1" x14ac:dyDescent="0.25">
      <c r="O287" s="35"/>
      <c r="P287" s="35"/>
    </row>
    <row r="288" spans="15:16" hidden="1" x14ac:dyDescent="0.25">
      <c r="O288" s="35"/>
      <c r="P288" s="35"/>
    </row>
    <row r="289" spans="15:16" hidden="1" x14ac:dyDescent="0.25">
      <c r="O289" s="35"/>
      <c r="P289" s="35"/>
    </row>
    <row r="290" spans="15:16" hidden="1" x14ac:dyDescent="0.25">
      <c r="O290" s="35"/>
      <c r="P290" s="35"/>
    </row>
    <row r="291" spans="15:16" hidden="1" x14ac:dyDescent="0.25">
      <c r="O291" s="35"/>
      <c r="P291" s="35"/>
    </row>
    <row r="292" spans="15:16" hidden="1" x14ac:dyDescent="0.25">
      <c r="O292" s="35"/>
      <c r="P292" s="35"/>
    </row>
    <row r="293" spans="15:16" hidden="1" x14ac:dyDescent="0.25">
      <c r="O293" s="35"/>
      <c r="P293" s="35"/>
    </row>
    <row r="294" spans="15:16" hidden="1" x14ac:dyDescent="0.25">
      <c r="O294" s="35"/>
      <c r="P294" s="35"/>
    </row>
    <row r="295" spans="15:16" hidden="1" x14ac:dyDescent="0.25">
      <c r="O295" s="35"/>
      <c r="P295" s="35"/>
    </row>
    <row r="296" spans="15:16" hidden="1" x14ac:dyDescent="0.25">
      <c r="O296" s="35"/>
      <c r="P296" s="35"/>
    </row>
    <row r="297" spans="15:16" hidden="1" x14ac:dyDescent="0.25">
      <c r="O297" s="35"/>
      <c r="P297" s="35"/>
    </row>
    <row r="298" spans="15:16" hidden="1" x14ac:dyDescent="0.25">
      <c r="O298" s="35"/>
      <c r="P298" s="35"/>
    </row>
    <row r="299" spans="15:16" hidden="1" x14ac:dyDescent="0.25">
      <c r="O299" s="35"/>
      <c r="P299" s="35"/>
    </row>
    <row r="300" spans="15:16" hidden="1" x14ac:dyDescent="0.25">
      <c r="O300" s="35"/>
      <c r="P300" s="35"/>
    </row>
    <row r="301" spans="15:16" hidden="1" x14ac:dyDescent="0.25">
      <c r="O301" s="35"/>
      <c r="P301" s="35"/>
    </row>
    <row r="302" spans="15:16" hidden="1" x14ac:dyDescent="0.25">
      <c r="O302" s="35"/>
      <c r="P302" s="35"/>
    </row>
    <row r="303" spans="15:16" hidden="1" x14ac:dyDescent="0.25">
      <c r="O303" s="35"/>
      <c r="P303" s="35"/>
    </row>
    <row r="304" spans="15:16" hidden="1" x14ac:dyDescent="0.25">
      <c r="O304" s="35"/>
      <c r="P304" s="35"/>
    </row>
    <row r="305" spans="15:16" hidden="1" x14ac:dyDescent="0.25">
      <c r="O305" s="35"/>
      <c r="P305" s="35"/>
    </row>
    <row r="306" spans="15:16" hidden="1" x14ac:dyDescent="0.25">
      <c r="O306" s="35"/>
      <c r="P306" s="35"/>
    </row>
    <row r="307" spans="15:16" hidden="1" x14ac:dyDescent="0.25">
      <c r="O307" s="35"/>
      <c r="P307" s="35"/>
    </row>
    <row r="308" spans="15:16" hidden="1" x14ac:dyDescent="0.25">
      <c r="O308" s="35"/>
      <c r="P308" s="35"/>
    </row>
    <row r="309" spans="15:16" hidden="1" x14ac:dyDescent="0.25">
      <c r="O309" s="35"/>
      <c r="P309" s="35"/>
    </row>
    <row r="310" spans="15:16" hidden="1" x14ac:dyDescent="0.25">
      <c r="O310" s="35"/>
      <c r="P310" s="35"/>
    </row>
    <row r="311" spans="15:16" hidden="1" x14ac:dyDescent="0.25">
      <c r="O311" s="35"/>
      <c r="P311" s="35"/>
    </row>
    <row r="312" spans="15:16" hidden="1" x14ac:dyDescent="0.25">
      <c r="O312" s="35"/>
      <c r="P312" s="35"/>
    </row>
    <row r="313" spans="15:16" hidden="1" x14ac:dyDescent="0.25">
      <c r="O313" s="35"/>
      <c r="P313" s="35"/>
    </row>
    <row r="314" spans="15:16" hidden="1" x14ac:dyDescent="0.25">
      <c r="O314" s="35"/>
      <c r="P314" s="35"/>
    </row>
    <row r="315" spans="15:16" hidden="1" x14ac:dyDescent="0.25">
      <c r="O315" s="35"/>
      <c r="P315" s="35"/>
    </row>
    <row r="316" spans="15:16" hidden="1" x14ac:dyDescent="0.25">
      <c r="O316" s="35"/>
      <c r="P316" s="35"/>
    </row>
    <row r="317" spans="15:16" hidden="1" x14ac:dyDescent="0.25">
      <c r="O317" s="35"/>
      <c r="P317" s="35"/>
    </row>
    <row r="318" spans="15:16" hidden="1" x14ac:dyDescent="0.25">
      <c r="O318" s="35"/>
      <c r="P318" s="35"/>
    </row>
    <row r="319" spans="15:16" hidden="1" x14ac:dyDescent="0.25">
      <c r="O319" s="35"/>
      <c r="P319" s="35"/>
    </row>
    <row r="320" spans="15:16" hidden="1" x14ac:dyDescent="0.25">
      <c r="O320" s="35"/>
      <c r="P320" s="35"/>
    </row>
    <row r="321" spans="15:16" hidden="1" x14ac:dyDescent="0.25">
      <c r="O321" s="35"/>
      <c r="P321" s="35"/>
    </row>
    <row r="322" spans="15:16" hidden="1" x14ac:dyDescent="0.25">
      <c r="O322" s="35"/>
      <c r="P322" s="35"/>
    </row>
    <row r="323" spans="15:16" hidden="1" x14ac:dyDescent="0.25">
      <c r="O323" s="35"/>
      <c r="P323" s="35"/>
    </row>
    <row r="324" spans="15:16" hidden="1" x14ac:dyDescent="0.25">
      <c r="O324" s="35"/>
      <c r="P324" s="35"/>
    </row>
    <row r="325" spans="15:16" hidden="1" x14ac:dyDescent="0.25">
      <c r="O325" s="35"/>
      <c r="P325" s="35"/>
    </row>
    <row r="326" spans="15:16" hidden="1" x14ac:dyDescent="0.25">
      <c r="O326" s="35"/>
      <c r="P326" s="35"/>
    </row>
    <row r="327" spans="15:16" hidden="1" x14ac:dyDescent="0.25">
      <c r="O327" s="35"/>
      <c r="P327" s="35"/>
    </row>
    <row r="328" spans="15:16" hidden="1" x14ac:dyDescent="0.25">
      <c r="O328" s="35"/>
      <c r="P328" s="35"/>
    </row>
    <row r="329" spans="15:16" hidden="1" x14ac:dyDescent="0.25">
      <c r="O329" s="35"/>
      <c r="P329" s="35"/>
    </row>
    <row r="330" spans="15:16" hidden="1" x14ac:dyDescent="0.25">
      <c r="O330" s="35"/>
      <c r="P330" s="35"/>
    </row>
    <row r="331" spans="15:16" hidden="1" x14ac:dyDescent="0.25">
      <c r="O331" s="35"/>
      <c r="P331" s="35"/>
    </row>
    <row r="332" spans="15:16" hidden="1" x14ac:dyDescent="0.25">
      <c r="O332" s="35"/>
      <c r="P332" s="35"/>
    </row>
    <row r="333" spans="15:16" hidden="1" x14ac:dyDescent="0.25">
      <c r="O333" s="35"/>
      <c r="P333" s="35"/>
    </row>
    <row r="334" spans="15:16" hidden="1" x14ac:dyDescent="0.25">
      <c r="O334" s="35"/>
      <c r="P334" s="35"/>
    </row>
    <row r="335" spans="15:16" hidden="1" x14ac:dyDescent="0.25">
      <c r="O335" s="35"/>
      <c r="P335" s="35"/>
    </row>
    <row r="336" spans="15:16" hidden="1" x14ac:dyDescent="0.25">
      <c r="O336" s="35"/>
      <c r="P336" s="35"/>
    </row>
    <row r="337" spans="15:16" hidden="1" x14ac:dyDescent="0.25">
      <c r="O337" s="35"/>
      <c r="P337" s="35"/>
    </row>
    <row r="338" spans="15:16" hidden="1" x14ac:dyDescent="0.25">
      <c r="O338" s="35"/>
      <c r="P338" s="35"/>
    </row>
    <row r="339" spans="15:16" hidden="1" x14ac:dyDescent="0.25">
      <c r="O339" s="35"/>
      <c r="P339" s="35"/>
    </row>
    <row r="340" spans="15:16" hidden="1" x14ac:dyDescent="0.25">
      <c r="O340" s="35"/>
      <c r="P340" s="35"/>
    </row>
    <row r="341" spans="15:16" hidden="1" x14ac:dyDescent="0.25">
      <c r="O341" s="35"/>
      <c r="P341" s="35"/>
    </row>
    <row r="342" spans="15:16" hidden="1" x14ac:dyDescent="0.25">
      <c r="O342" s="35"/>
      <c r="P342" s="35"/>
    </row>
    <row r="343" spans="15:16" hidden="1" x14ac:dyDescent="0.25">
      <c r="O343" s="35"/>
      <c r="P343" s="35"/>
    </row>
    <row r="344" spans="15:16" hidden="1" x14ac:dyDescent="0.25">
      <c r="O344" s="35"/>
      <c r="P344" s="35"/>
    </row>
    <row r="345" spans="15:16" hidden="1" x14ac:dyDescent="0.25">
      <c r="O345" s="35"/>
      <c r="P345" s="35"/>
    </row>
    <row r="346" spans="15:16" hidden="1" x14ac:dyDescent="0.25">
      <c r="O346" s="35"/>
      <c r="P346" s="35"/>
    </row>
    <row r="347" spans="15:16" hidden="1" x14ac:dyDescent="0.25">
      <c r="O347" s="35"/>
      <c r="P347" s="35"/>
    </row>
    <row r="348" spans="15:16" hidden="1" x14ac:dyDescent="0.25">
      <c r="O348" s="35"/>
      <c r="P348" s="35"/>
    </row>
    <row r="349" spans="15:16" hidden="1" x14ac:dyDescent="0.25">
      <c r="O349" s="35"/>
      <c r="P349" s="35"/>
    </row>
    <row r="350" spans="15:16" hidden="1" x14ac:dyDescent="0.25">
      <c r="O350" s="35"/>
      <c r="P350" s="35"/>
    </row>
    <row r="351" spans="15:16" hidden="1" x14ac:dyDescent="0.25">
      <c r="O351" s="35"/>
      <c r="P351" s="35"/>
    </row>
    <row r="352" spans="15:16" hidden="1" x14ac:dyDescent="0.25">
      <c r="O352" s="35"/>
      <c r="P352" s="35"/>
    </row>
    <row r="353" spans="15:16" hidden="1" x14ac:dyDescent="0.25">
      <c r="O353" s="35"/>
      <c r="P353" s="35"/>
    </row>
    <row r="354" spans="15:16" hidden="1" x14ac:dyDescent="0.25">
      <c r="O354" s="35"/>
      <c r="P354" s="35"/>
    </row>
    <row r="355" spans="15:16" hidden="1" x14ac:dyDescent="0.25">
      <c r="O355" s="35"/>
      <c r="P355" s="35"/>
    </row>
    <row r="356" spans="15:16" hidden="1" x14ac:dyDescent="0.25">
      <c r="O356" s="35"/>
      <c r="P356" s="35"/>
    </row>
    <row r="357" spans="15:16" hidden="1" x14ac:dyDescent="0.25">
      <c r="O357" s="35"/>
      <c r="P357" s="35"/>
    </row>
    <row r="358" spans="15:16" hidden="1" x14ac:dyDescent="0.25">
      <c r="O358" s="35"/>
      <c r="P358" s="35"/>
    </row>
    <row r="359" spans="15:16" hidden="1" x14ac:dyDescent="0.25">
      <c r="O359" s="35"/>
      <c r="P359" s="35"/>
    </row>
    <row r="360" spans="15:16" hidden="1" x14ac:dyDescent="0.25">
      <c r="O360" s="35"/>
      <c r="P360" s="35"/>
    </row>
    <row r="361" spans="15:16" hidden="1" x14ac:dyDescent="0.25">
      <c r="O361" s="35"/>
      <c r="P361" s="35"/>
    </row>
    <row r="362" spans="15:16" hidden="1" x14ac:dyDescent="0.25">
      <c r="O362" s="35"/>
      <c r="P362" s="35"/>
    </row>
    <row r="363" spans="15:16" hidden="1" x14ac:dyDescent="0.25">
      <c r="O363" s="35"/>
      <c r="P363" s="35"/>
    </row>
    <row r="364" spans="15:16" hidden="1" x14ac:dyDescent="0.25">
      <c r="O364" s="35"/>
      <c r="P364" s="35"/>
    </row>
    <row r="365" spans="15:16" hidden="1" x14ac:dyDescent="0.25">
      <c r="O365" s="35"/>
      <c r="P365" s="35"/>
    </row>
    <row r="366" spans="15:16" hidden="1" x14ac:dyDescent="0.25">
      <c r="O366" s="35"/>
      <c r="P366" s="35"/>
    </row>
    <row r="367" spans="15:16" hidden="1" x14ac:dyDescent="0.25">
      <c r="O367" s="35"/>
      <c r="P367" s="35"/>
    </row>
    <row r="368" spans="15:16" hidden="1" x14ac:dyDescent="0.25">
      <c r="O368" s="35"/>
      <c r="P368" s="35"/>
    </row>
    <row r="369" spans="15:16" hidden="1" x14ac:dyDescent="0.25">
      <c r="O369" s="35"/>
      <c r="P369" s="35"/>
    </row>
    <row r="370" spans="15:16" hidden="1" x14ac:dyDescent="0.25">
      <c r="O370" s="35"/>
      <c r="P370" s="35"/>
    </row>
    <row r="371" spans="15:16" hidden="1" x14ac:dyDescent="0.25">
      <c r="O371" s="35"/>
      <c r="P371" s="35"/>
    </row>
    <row r="372" spans="15:16" hidden="1" x14ac:dyDescent="0.25">
      <c r="O372" s="35"/>
      <c r="P372" s="35"/>
    </row>
    <row r="373" spans="15:16" hidden="1" x14ac:dyDescent="0.25">
      <c r="O373" s="35"/>
      <c r="P373" s="35"/>
    </row>
    <row r="374" spans="15:16" hidden="1" x14ac:dyDescent="0.25">
      <c r="O374" s="35"/>
      <c r="P374" s="35"/>
    </row>
    <row r="375" spans="15:16" hidden="1" x14ac:dyDescent="0.25">
      <c r="O375" s="35"/>
      <c r="P375" s="35"/>
    </row>
    <row r="376" spans="15:16" hidden="1" x14ac:dyDescent="0.25">
      <c r="O376" s="35"/>
      <c r="P376" s="35"/>
    </row>
    <row r="377" spans="15:16" hidden="1" x14ac:dyDescent="0.25">
      <c r="O377" s="35"/>
      <c r="P377" s="35"/>
    </row>
    <row r="378" spans="15:16" hidden="1" x14ac:dyDescent="0.25">
      <c r="O378" s="35"/>
      <c r="P378" s="35"/>
    </row>
    <row r="379" spans="15:16" hidden="1" x14ac:dyDescent="0.25">
      <c r="O379" s="35"/>
      <c r="P379" s="35"/>
    </row>
    <row r="380" spans="15:16" hidden="1" x14ac:dyDescent="0.25">
      <c r="O380" s="35"/>
      <c r="P380" s="35"/>
    </row>
    <row r="381" spans="15:16" hidden="1" x14ac:dyDescent="0.25">
      <c r="O381" s="35"/>
      <c r="P381" s="35"/>
    </row>
    <row r="382" spans="15:16" hidden="1" x14ac:dyDescent="0.25">
      <c r="O382" s="35"/>
      <c r="P382" s="35"/>
    </row>
    <row r="383" spans="15:16" hidden="1" x14ac:dyDescent="0.25">
      <c r="O383" s="35"/>
      <c r="P383" s="35"/>
    </row>
    <row r="384" spans="15:16" hidden="1" x14ac:dyDescent="0.25">
      <c r="O384" s="35"/>
      <c r="P384" s="35"/>
    </row>
    <row r="385" spans="15:16" hidden="1" x14ac:dyDescent="0.25">
      <c r="O385" s="35"/>
      <c r="P385" s="35"/>
    </row>
    <row r="386" spans="15:16" hidden="1" x14ac:dyDescent="0.25">
      <c r="O386" s="35"/>
      <c r="P386" s="35"/>
    </row>
    <row r="387" spans="15:16" hidden="1" x14ac:dyDescent="0.25">
      <c r="O387" s="35"/>
      <c r="P387" s="35"/>
    </row>
    <row r="388" spans="15:16" hidden="1" x14ac:dyDescent="0.25">
      <c r="O388" s="35"/>
      <c r="P388" s="35"/>
    </row>
    <row r="389" spans="15:16" hidden="1" x14ac:dyDescent="0.25">
      <c r="O389" s="35"/>
      <c r="P389" s="35"/>
    </row>
    <row r="390" spans="15:16" hidden="1" x14ac:dyDescent="0.25">
      <c r="O390" s="35"/>
      <c r="P390" s="35"/>
    </row>
    <row r="391" spans="15:16" hidden="1" x14ac:dyDescent="0.25">
      <c r="O391" s="35"/>
      <c r="P391" s="35"/>
    </row>
    <row r="392" spans="15:16" hidden="1" x14ac:dyDescent="0.25">
      <c r="O392" s="35"/>
      <c r="P392" s="35"/>
    </row>
    <row r="393" spans="15:16" hidden="1" x14ac:dyDescent="0.25">
      <c r="O393" s="35"/>
      <c r="P393" s="35"/>
    </row>
    <row r="394" spans="15:16" hidden="1" x14ac:dyDescent="0.25">
      <c r="O394" s="35"/>
      <c r="P394" s="35"/>
    </row>
    <row r="395" spans="15:16" hidden="1" x14ac:dyDescent="0.25">
      <c r="O395" s="35"/>
      <c r="P395" s="35"/>
    </row>
    <row r="396" spans="15:16" hidden="1" x14ac:dyDescent="0.25">
      <c r="O396" s="35"/>
      <c r="P396" s="35"/>
    </row>
    <row r="397" spans="15:16" hidden="1" x14ac:dyDescent="0.25">
      <c r="O397" s="35"/>
      <c r="P397" s="35"/>
    </row>
    <row r="398" spans="15:16" hidden="1" x14ac:dyDescent="0.25">
      <c r="O398" s="35"/>
      <c r="P398" s="35"/>
    </row>
    <row r="399" spans="15:16" hidden="1" x14ac:dyDescent="0.25">
      <c r="O399" s="35"/>
      <c r="P399" s="35"/>
    </row>
    <row r="400" spans="15:16" hidden="1" x14ac:dyDescent="0.25">
      <c r="O400" s="35"/>
      <c r="P400" s="35"/>
    </row>
    <row r="401" spans="15:16" hidden="1" x14ac:dyDescent="0.25">
      <c r="O401" s="35"/>
      <c r="P401" s="35"/>
    </row>
    <row r="402" spans="15:16" hidden="1" x14ac:dyDescent="0.25">
      <c r="O402" s="35"/>
      <c r="P402" s="35"/>
    </row>
    <row r="403" spans="15:16" hidden="1" x14ac:dyDescent="0.25">
      <c r="O403" s="35"/>
      <c r="P403" s="35"/>
    </row>
    <row r="404" spans="15:16" hidden="1" x14ac:dyDescent="0.25">
      <c r="O404" s="35"/>
      <c r="P404" s="35"/>
    </row>
    <row r="405" spans="15:16" hidden="1" x14ac:dyDescent="0.25">
      <c r="O405" s="35"/>
      <c r="P405" s="35"/>
    </row>
    <row r="406" spans="15:16" hidden="1" x14ac:dyDescent="0.25">
      <c r="O406" s="35"/>
      <c r="P406" s="35"/>
    </row>
    <row r="407" spans="15:16" hidden="1" x14ac:dyDescent="0.25">
      <c r="O407" s="35"/>
      <c r="P407" s="35"/>
    </row>
    <row r="408" spans="15:16" hidden="1" x14ac:dyDescent="0.25">
      <c r="O408" s="35"/>
      <c r="P408" s="35"/>
    </row>
    <row r="409" spans="15:16" hidden="1" x14ac:dyDescent="0.25">
      <c r="O409" s="35"/>
      <c r="P409" s="35"/>
    </row>
    <row r="410" spans="15:16" hidden="1" x14ac:dyDescent="0.25">
      <c r="O410" s="35"/>
      <c r="P410" s="35"/>
    </row>
    <row r="411" spans="15:16" hidden="1" x14ac:dyDescent="0.25">
      <c r="O411" s="35"/>
      <c r="P411" s="35"/>
    </row>
    <row r="412" spans="15:16" hidden="1" x14ac:dyDescent="0.25">
      <c r="O412" s="35"/>
      <c r="P412" s="35"/>
    </row>
    <row r="413" spans="15:16" hidden="1" x14ac:dyDescent="0.25">
      <c r="O413" s="35"/>
      <c r="P413" s="35"/>
    </row>
    <row r="414" spans="15:16" hidden="1" x14ac:dyDescent="0.25">
      <c r="O414" s="35"/>
      <c r="P414" s="35"/>
    </row>
    <row r="415" spans="15:16" hidden="1" x14ac:dyDescent="0.25">
      <c r="O415" s="35"/>
      <c r="P415" s="35"/>
    </row>
    <row r="416" spans="15:16" hidden="1" x14ac:dyDescent="0.25">
      <c r="O416" s="35"/>
      <c r="P416" s="35"/>
    </row>
    <row r="417" spans="15:16" hidden="1" x14ac:dyDescent="0.25">
      <c r="O417" s="35"/>
      <c r="P417" s="35"/>
    </row>
    <row r="418" spans="15:16" hidden="1" x14ac:dyDescent="0.25">
      <c r="O418" s="35"/>
      <c r="P418" s="35"/>
    </row>
    <row r="419" spans="15:16" hidden="1" x14ac:dyDescent="0.25">
      <c r="O419" s="35"/>
      <c r="P419" s="35"/>
    </row>
    <row r="420" spans="15:16" hidden="1" x14ac:dyDescent="0.25">
      <c r="O420" s="35"/>
      <c r="P420" s="35"/>
    </row>
    <row r="421" spans="15:16" hidden="1" x14ac:dyDescent="0.25">
      <c r="O421" s="35"/>
      <c r="P421" s="35"/>
    </row>
    <row r="422" spans="15:16" hidden="1" x14ac:dyDescent="0.25">
      <c r="O422" s="35"/>
      <c r="P422" s="35"/>
    </row>
    <row r="423" spans="15:16" hidden="1" x14ac:dyDescent="0.25">
      <c r="O423" s="35"/>
      <c r="P423" s="35"/>
    </row>
    <row r="424" spans="15:16" hidden="1" x14ac:dyDescent="0.25">
      <c r="O424" s="35"/>
      <c r="P424" s="35"/>
    </row>
    <row r="425" spans="15:16" hidden="1" x14ac:dyDescent="0.25">
      <c r="O425" s="35"/>
      <c r="P425" s="35"/>
    </row>
    <row r="426" spans="15:16" hidden="1" x14ac:dyDescent="0.25">
      <c r="O426" s="35"/>
      <c r="P426" s="35"/>
    </row>
    <row r="427" spans="15:16" hidden="1" x14ac:dyDescent="0.25">
      <c r="O427" s="35"/>
      <c r="P427" s="35"/>
    </row>
    <row r="428" spans="15:16" hidden="1" x14ac:dyDescent="0.25">
      <c r="O428" s="35"/>
      <c r="P428" s="35"/>
    </row>
    <row r="429" spans="15:16" hidden="1" x14ac:dyDescent="0.25">
      <c r="O429" s="35"/>
      <c r="P429" s="35"/>
    </row>
    <row r="430" spans="15:16" hidden="1" x14ac:dyDescent="0.25">
      <c r="O430" s="35"/>
      <c r="P430" s="35"/>
    </row>
    <row r="431" spans="15:16" hidden="1" x14ac:dyDescent="0.25">
      <c r="O431" s="35"/>
      <c r="P431" s="35"/>
    </row>
    <row r="432" spans="15:16" hidden="1" x14ac:dyDescent="0.25">
      <c r="O432" s="35"/>
      <c r="P432" s="35"/>
    </row>
    <row r="433" spans="15:16" hidden="1" x14ac:dyDescent="0.25">
      <c r="O433" s="35"/>
      <c r="P433" s="35"/>
    </row>
    <row r="434" spans="15:16" hidden="1" x14ac:dyDescent="0.25">
      <c r="O434" s="35"/>
      <c r="P434" s="35"/>
    </row>
    <row r="435" spans="15:16" hidden="1" x14ac:dyDescent="0.25">
      <c r="O435" s="35"/>
      <c r="P435" s="35"/>
    </row>
    <row r="436" spans="15:16" hidden="1" x14ac:dyDescent="0.25">
      <c r="O436" s="35"/>
      <c r="P436" s="35"/>
    </row>
    <row r="437" spans="15:16" hidden="1" x14ac:dyDescent="0.25">
      <c r="O437" s="35"/>
      <c r="P437" s="35"/>
    </row>
    <row r="438" spans="15:16" hidden="1" x14ac:dyDescent="0.25">
      <c r="O438" s="35"/>
      <c r="P438" s="35"/>
    </row>
    <row r="439" spans="15:16" hidden="1" x14ac:dyDescent="0.25">
      <c r="O439" s="35"/>
      <c r="P439" s="35"/>
    </row>
    <row r="440" spans="15:16" hidden="1" x14ac:dyDescent="0.25">
      <c r="O440" s="35"/>
      <c r="P440" s="35"/>
    </row>
    <row r="441" spans="15:16" hidden="1" x14ac:dyDescent="0.25">
      <c r="O441" s="35"/>
      <c r="P441" s="35"/>
    </row>
    <row r="442" spans="15:16" hidden="1" x14ac:dyDescent="0.25">
      <c r="O442" s="35"/>
      <c r="P442" s="35"/>
    </row>
    <row r="443" spans="15:16" hidden="1" x14ac:dyDescent="0.25">
      <c r="O443" s="35"/>
      <c r="P443" s="35"/>
    </row>
    <row r="444" spans="15:16" hidden="1" x14ac:dyDescent="0.25">
      <c r="O444" s="35"/>
      <c r="P444" s="35"/>
    </row>
    <row r="445" spans="15:16" hidden="1" x14ac:dyDescent="0.25">
      <c r="O445" s="35"/>
      <c r="P445" s="35"/>
    </row>
    <row r="446" spans="15:16" hidden="1" x14ac:dyDescent="0.25">
      <c r="O446" s="35"/>
      <c r="P446" s="35"/>
    </row>
    <row r="447" spans="15:16" hidden="1" x14ac:dyDescent="0.25">
      <c r="O447" s="35"/>
      <c r="P447" s="35"/>
    </row>
    <row r="448" spans="15:16" hidden="1" x14ac:dyDescent="0.25">
      <c r="O448" s="35"/>
      <c r="P448" s="35"/>
    </row>
    <row r="449" spans="15:16" hidden="1" x14ac:dyDescent="0.25">
      <c r="O449" s="35"/>
      <c r="P449" s="35"/>
    </row>
    <row r="450" spans="15:16" hidden="1" x14ac:dyDescent="0.25">
      <c r="O450" s="35"/>
      <c r="P450" s="35"/>
    </row>
    <row r="451" spans="15:16" hidden="1" x14ac:dyDescent="0.25">
      <c r="O451" s="35"/>
      <c r="P451" s="35"/>
    </row>
    <row r="452" spans="15:16" hidden="1" x14ac:dyDescent="0.25">
      <c r="O452" s="35"/>
      <c r="P452" s="35"/>
    </row>
    <row r="453" spans="15:16" hidden="1" x14ac:dyDescent="0.25">
      <c r="O453" s="35"/>
      <c r="P453" s="35"/>
    </row>
    <row r="454" spans="15:16" hidden="1" x14ac:dyDescent="0.25">
      <c r="O454" s="35"/>
      <c r="P454" s="35"/>
    </row>
    <row r="455" spans="15:16" hidden="1" x14ac:dyDescent="0.25">
      <c r="O455" s="35"/>
      <c r="P455" s="35"/>
    </row>
    <row r="456" spans="15:16" hidden="1" x14ac:dyDescent="0.25">
      <c r="O456" s="35"/>
      <c r="P456" s="35"/>
    </row>
    <row r="457" spans="15:16" hidden="1" x14ac:dyDescent="0.25">
      <c r="O457" s="35"/>
      <c r="P457" s="35"/>
    </row>
    <row r="458" spans="15:16" hidden="1" x14ac:dyDescent="0.25">
      <c r="O458" s="35"/>
      <c r="P458" s="35"/>
    </row>
    <row r="459" spans="15:16" hidden="1" x14ac:dyDescent="0.25">
      <c r="O459" s="35"/>
      <c r="P459" s="35"/>
    </row>
    <row r="460" spans="15:16" hidden="1" x14ac:dyDescent="0.25">
      <c r="O460" s="35"/>
      <c r="P460" s="35"/>
    </row>
    <row r="461" spans="15:16" hidden="1" x14ac:dyDescent="0.25">
      <c r="O461" s="35"/>
      <c r="P461" s="35"/>
    </row>
    <row r="462" spans="15:16" hidden="1" x14ac:dyDescent="0.25">
      <c r="O462" s="35"/>
      <c r="P462" s="35"/>
    </row>
    <row r="463" spans="15:16" hidden="1" x14ac:dyDescent="0.25">
      <c r="O463" s="35"/>
      <c r="P463" s="35"/>
    </row>
    <row r="464" spans="15:16" hidden="1" x14ac:dyDescent="0.25">
      <c r="O464" s="35"/>
      <c r="P464" s="35"/>
    </row>
    <row r="465" spans="15:16" hidden="1" x14ac:dyDescent="0.25">
      <c r="O465" s="35"/>
      <c r="P465" s="35"/>
    </row>
    <row r="466" spans="15:16" hidden="1" x14ac:dyDescent="0.25">
      <c r="O466" s="35"/>
      <c r="P466" s="35"/>
    </row>
    <row r="467" spans="15:16" hidden="1" x14ac:dyDescent="0.25">
      <c r="O467" s="35"/>
      <c r="P467" s="35"/>
    </row>
    <row r="468" spans="15:16" hidden="1" x14ac:dyDescent="0.25">
      <c r="O468" s="35"/>
      <c r="P468" s="35"/>
    </row>
    <row r="469" spans="15:16" hidden="1" x14ac:dyDescent="0.25">
      <c r="O469" s="35"/>
      <c r="P469" s="35"/>
    </row>
    <row r="470" spans="15:16" hidden="1" x14ac:dyDescent="0.25">
      <c r="O470" s="35"/>
      <c r="P470" s="35"/>
    </row>
    <row r="471" spans="15:16" hidden="1" x14ac:dyDescent="0.25">
      <c r="O471" s="35"/>
      <c r="P471" s="35"/>
    </row>
    <row r="472" spans="15:16" hidden="1" x14ac:dyDescent="0.25">
      <c r="O472" s="35"/>
      <c r="P472" s="35"/>
    </row>
    <row r="473" spans="15:16" hidden="1" x14ac:dyDescent="0.25">
      <c r="O473" s="35"/>
      <c r="P473" s="35"/>
    </row>
    <row r="474" spans="15:16" hidden="1" x14ac:dyDescent="0.25">
      <c r="O474" s="35"/>
      <c r="P474" s="35"/>
    </row>
    <row r="475" spans="15:16" hidden="1" x14ac:dyDescent="0.25">
      <c r="O475" s="35"/>
      <c r="P475" s="35"/>
    </row>
    <row r="476" spans="15:16" hidden="1" x14ac:dyDescent="0.25">
      <c r="O476" s="35"/>
      <c r="P476" s="35"/>
    </row>
    <row r="477" spans="15:16" hidden="1" x14ac:dyDescent="0.25">
      <c r="O477" s="35"/>
      <c r="P477" s="35"/>
    </row>
    <row r="478" spans="15:16" hidden="1" x14ac:dyDescent="0.25">
      <c r="O478" s="35"/>
      <c r="P478" s="35"/>
    </row>
    <row r="479" spans="15:16" hidden="1" x14ac:dyDescent="0.25">
      <c r="O479" s="35"/>
      <c r="P479" s="35"/>
    </row>
    <row r="480" spans="15:16" hidden="1" x14ac:dyDescent="0.25">
      <c r="O480" s="35"/>
      <c r="P480" s="35"/>
    </row>
    <row r="481" spans="15:16" hidden="1" x14ac:dyDescent="0.25">
      <c r="O481" s="35"/>
      <c r="P481" s="35"/>
    </row>
    <row r="482" spans="15:16" hidden="1" x14ac:dyDescent="0.25">
      <c r="O482" s="35"/>
      <c r="P482" s="35"/>
    </row>
    <row r="483" spans="15:16" hidden="1" x14ac:dyDescent="0.25">
      <c r="O483" s="35"/>
      <c r="P483" s="35"/>
    </row>
    <row r="484" spans="15:16" hidden="1" x14ac:dyDescent="0.25">
      <c r="O484" s="35"/>
      <c r="P484" s="35"/>
    </row>
    <row r="485" spans="15:16" hidden="1" x14ac:dyDescent="0.25">
      <c r="O485" s="35"/>
      <c r="P485" s="35"/>
    </row>
    <row r="486" spans="15:16" hidden="1" x14ac:dyDescent="0.25">
      <c r="O486" s="35"/>
      <c r="P486" s="35"/>
    </row>
    <row r="487" spans="15:16" hidden="1" x14ac:dyDescent="0.25">
      <c r="O487" s="35"/>
      <c r="P487" s="35"/>
    </row>
    <row r="488" spans="15:16" hidden="1" x14ac:dyDescent="0.25">
      <c r="O488" s="35"/>
      <c r="P488" s="35"/>
    </row>
    <row r="489" spans="15:16" hidden="1" x14ac:dyDescent="0.25">
      <c r="O489" s="35"/>
      <c r="P489" s="35"/>
    </row>
    <row r="490" spans="15:16" hidden="1" x14ac:dyDescent="0.25">
      <c r="O490" s="35"/>
      <c r="P490" s="35"/>
    </row>
    <row r="491" spans="15:16" hidden="1" x14ac:dyDescent="0.25">
      <c r="O491" s="35"/>
      <c r="P491" s="35"/>
    </row>
    <row r="492" spans="15:16" hidden="1" x14ac:dyDescent="0.25">
      <c r="O492" s="35"/>
      <c r="P492" s="35"/>
    </row>
    <row r="493" spans="15:16" hidden="1" x14ac:dyDescent="0.25">
      <c r="O493" s="35"/>
      <c r="P493" s="35"/>
    </row>
    <row r="494" spans="15:16" hidden="1" x14ac:dyDescent="0.25">
      <c r="O494" s="35"/>
      <c r="P494" s="35"/>
    </row>
    <row r="495" spans="15:16" hidden="1" x14ac:dyDescent="0.25">
      <c r="O495" s="35"/>
      <c r="P495" s="35"/>
    </row>
    <row r="496" spans="15:16" hidden="1" x14ac:dyDescent="0.25">
      <c r="O496" s="35"/>
      <c r="P496" s="35"/>
    </row>
    <row r="497" spans="15:16" hidden="1" x14ac:dyDescent="0.25">
      <c r="O497" s="35"/>
      <c r="P497" s="35"/>
    </row>
    <row r="498" spans="15:16" hidden="1" x14ac:dyDescent="0.25">
      <c r="O498" s="35"/>
      <c r="P498" s="35"/>
    </row>
    <row r="499" spans="15:16" hidden="1" x14ac:dyDescent="0.25">
      <c r="O499" s="35"/>
      <c r="P499" s="35"/>
    </row>
    <row r="500" spans="15:16" hidden="1" x14ac:dyDescent="0.25">
      <c r="O500" s="35"/>
      <c r="P500" s="35"/>
    </row>
    <row r="501" spans="15:16" hidden="1" x14ac:dyDescent="0.25">
      <c r="O501" s="35"/>
      <c r="P501" s="35"/>
    </row>
    <row r="502" spans="15:16" hidden="1" x14ac:dyDescent="0.25">
      <c r="O502" s="35"/>
      <c r="P502" s="35"/>
    </row>
    <row r="503" spans="15:16" hidden="1" x14ac:dyDescent="0.25">
      <c r="O503" s="35"/>
      <c r="P503" s="35"/>
    </row>
    <row r="504" spans="15:16" hidden="1" x14ac:dyDescent="0.25">
      <c r="O504" s="35"/>
      <c r="P504" s="35"/>
    </row>
    <row r="505" spans="15:16" hidden="1" x14ac:dyDescent="0.25">
      <c r="O505" s="35"/>
      <c r="P505" s="35"/>
    </row>
    <row r="506" spans="15:16" hidden="1" x14ac:dyDescent="0.25">
      <c r="O506" s="35"/>
      <c r="P506" s="35"/>
    </row>
    <row r="507" spans="15:16" hidden="1" x14ac:dyDescent="0.25">
      <c r="O507" s="35"/>
      <c r="P507" s="35"/>
    </row>
    <row r="508" spans="15:16" hidden="1" x14ac:dyDescent="0.25">
      <c r="O508" s="35"/>
      <c r="P508" s="35"/>
    </row>
    <row r="509" spans="15:16" hidden="1" x14ac:dyDescent="0.25">
      <c r="O509" s="35"/>
      <c r="P509" s="35"/>
    </row>
    <row r="510" spans="15:16" hidden="1" x14ac:dyDescent="0.25">
      <c r="O510" s="35"/>
      <c r="P510" s="35"/>
    </row>
    <row r="511" spans="15:16" hidden="1" x14ac:dyDescent="0.25">
      <c r="O511" s="35"/>
      <c r="P511" s="35"/>
    </row>
    <row r="512" spans="15:16" hidden="1" x14ac:dyDescent="0.25">
      <c r="O512" s="35"/>
      <c r="P512" s="35"/>
    </row>
    <row r="513" spans="15:16" hidden="1" x14ac:dyDescent="0.25">
      <c r="O513" s="35"/>
      <c r="P513" s="35"/>
    </row>
    <row r="514" spans="15:16" hidden="1" x14ac:dyDescent="0.25">
      <c r="O514" s="35"/>
      <c r="P514" s="35"/>
    </row>
    <row r="515" spans="15:16" hidden="1" x14ac:dyDescent="0.25">
      <c r="O515" s="35"/>
      <c r="P515" s="35"/>
    </row>
    <row r="516" spans="15:16" hidden="1" x14ac:dyDescent="0.25">
      <c r="O516" s="35"/>
      <c r="P516" s="35"/>
    </row>
    <row r="517" spans="15:16" hidden="1" x14ac:dyDescent="0.25">
      <c r="O517" s="35"/>
      <c r="P517" s="35"/>
    </row>
    <row r="518" spans="15:16" hidden="1" x14ac:dyDescent="0.25">
      <c r="O518" s="35"/>
      <c r="P518" s="35"/>
    </row>
    <row r="519" spans="15:16" hidden="1" x14ac:dyDescent="0.25">
      <c r="O519" s="35"/>
      <c r="P519" s="35"/>
    </row>
    <row r="520" spans="15:16" hidden="1" x14ac:dyDescent="0.25">
      <c r="O520" s="35"/>
      <c r="P520" s="35"/>
    </row>
    <row r="521" spans="15:16" hidden="1" x14ac:dyDescent="0.25">
      <c r="O521" s="35"/>
      <c r="P521" s="35"/>
    </row>
    <row r="522" spans="15:16" hidden="1" x14ac:dyDescent="0.25">
      <c r="O522" s="35"/>
      <c r="P522" s="35"/>
    </row>
    <row r="523" spans="15:16" hidden="1" x14ac:dyDescent="0.25">
      <c r="O523" s="35"/>
      <c r="P523" s="35"/>
    </row>
    <row r="524" spans="15:16" hidden="1" x14ac:dyDescent="0.25">
      <c r="O524" s="35"/>
      <c r="P524" s="35"/>
    </row>
    <row r="525" spans="15:16" hidden="1" x14ac:dyDescent="0.25">
      <c r="O525" s="35"/>
      <c r="P525" s="35"/>
    </row>
    <row r="526" spans="15:16" hidden="1" x14ac:dyDescent="0.25">
      <c r="O526" s="35"/>
      <c r="P526" s="35"/>
    </row>
    <row r="527" spans="15:16" hidden="1" x14ac:dyDescent="0.25">
      <c r="O527" s="35"/>
      <c r="P527" s="35"/>
    </row>
    <row r="528" spans="15:16" hidden="1" x14ac:dyDescent="0.25">
      <c r="O528" s="35"/>
      <c r="P528" s="35"/>
    </row>
    <row r="529" spans="15:24" hidden="1" x14ac:dyDescent="0.25">
      <c r="O529" s="35"/>
      <c r="P529" s="35"/>
    </row>
    <row r="530" spans="15:24" hidden="1" x14ac:dyDescent="0.25">
      <c r="O530" s="35"/>
      <c r="P530" s="35"/>
    </row>
    <row r="531" spans="15:24" hidden="1" x14ac:dyDescent="0.25">
      <c r="O531" s="35"/>
      <c r="P531" s="35"/>
    </row>
    <row r="532" spans="15:24" hidden="1" x14ac:dyDescent="0.25">
      <c r="O532" s="35"/>
      <c r="P532" s="35"/>
    </row>
    <row r="533" spans="15:24" hidden="1" x14ac:dyDescent="0.25">
      <c r="O533" s="35"/>
      <c r="P533" s="35"/>
    </row>
    <row r="534" spans="15:24" hidden="1" x14ac:dyDescent="0.25">
      <c r="O534" s="35"/>
      <c r="P534" s="35"/>
    </row>
    <row r="535" spans="15:24" hidden="1" x14ac:dyDescent="0.25">
      <c r="O535" s="35"/>
      <c r="P535" s="35"/>
      <c r="V535" t="s">
        <v>5357</v>
      </c>
      <c r="X535" t="s">
        <v>5339</v>
      </c>
    </row>
    <row r="536" spans="15:24" hidden="1" x14ac:dyDescent="0.25">
      <c r="O536" s="35"/>
      <c r="P536" s="35"/>
    </row>
    <row r="537" spans="15:24" hidden="1" x14ac:dyDescent="0.25">
      <c r="O537" s="35"/>
      <c r="P537" s="35"/>
    </row>
    <row r="538" spans="15:24" hidden="1" x14ac:dyDescent="0.25">
      <c r="O538" s="35"/>
      <c r="P538" s="35"/>
    </row>
    <row r="539" spans="15:24" hidden="1" x14ac:dyDescent="0.25">
      <c r="O539" s="35"/>
      <c r="P539" s="35"/>
    </row>
    <row r="540" spans="15:24" hidden="1" x14ac:dyDescent="0.25">
      <c r="O540" s="35"/>
      <c r="P540" s="35"/>
    </row>
    <row r="541" spans="15:24" hidden="1" x14ac:dyDescent="0.25">
      <c r="O541" s="35"/>
      <c r="P541" s="35"/>
    </row>
    <row r="542" spans="15:24" hidden="1" x14ac:dyDescent="0.25">
      <c r="O542" s="35"/>
      <c r="P542" s="35"/>
    </row>
    <row r="543" spans="15:24" hidden="1" x14ac:dyDescent="0.25">
      <c r="O543" s="35"/>
      <c r="P543" s="35"/>
    </row>
    <row r="544" spans="15:24" hidden="1" x14ac:dyDescent="0.25">
      <c r="O544" s="35"/>
      <c r="P544" s="35"/>
    </row>
    <row r="545" spans="15:16" hidden="1" x14ac:dyDescent="0.25">
      <c r="O545" s="35"/>
      <c r="P545" s="35"/>
    </row>
    <row r="546" spans="15:16" hidden="1" x14ac:dyDescent="0.25">
      <c r="O546" s="35"/>
      <c r="P546" s="35"/>
    </row>
    <row r="547" spans="15:16" hidden="1" x14ac:dyDescent="0.25">
      <c r="O547" s="35"/>
      <c r="P547" s="35"/>
    </row>
    <row r="548" spans="15:16" hidden="1" x14ac:dyDescent="0.25">
      <c r="O548" s="35"/>
      <c r="P548" s="35"/>
    </row>
    <row r="549" spans="15:16" hidden="1" x14ac:dyDescent="0.25">
      <c r="O549" s="35"/>
      <c r="P549" s="35"/>
    </row>
    <row r="550" spans="15:16" hidden="1" x14ac:dyDescent="0.25">
      <c r="O550" s="35"/>
      <c r="P550" s="35"/>
    </row>
    <row r="551" spans="15:16" hidden="1" x14ac:dyDescent="0.25">
      <c r="O551" s="35"/>
      <c r="P551" s="35"/>
    </row>
    <row r="552" spans="15:16" hidden="1" x14ac:dyDescent="0.25">
      <c r="O552" s="35"/>
      <c r="P552" s="35"/>
    </row>
    <row r="553" spans="15:16" hidden="1" x14ac:dyDescent="0.25">
      <c r="O553" s="35"/>
      <c r="P553" s="35"/>
    </row>
    <row r="554" spans="15:16" hidden="1" x14ac:dyDescent="0.25">
      <c r="O554" s="35"/>
      <c r="P554" s="35"/>
    </row>
    <row r="555" spans="15:16" hidden="1" x14ac:dyDescent="0.25">
      <c r="O555" s="35"/>
      <c r="P555" s="35"/>
    </row>
    <row r="556" spans="15:16" hidden="1" x14ac:dyDescent="0.25">
      <c r="O556" s="35"/>
      <c r="P556" s="35"/>
    </row>
    <row r="557" spans="15:16" hidden="1" x14ac:dyDescent="0.25">
      <c r="O557" s="35"/>
      <c r="P557" s="35"/>
    </row>
    <row r="558" spans="15:16" hidden="1" x14ac:dyDescent="0.25">
      <c r="O558" s="35"/>
      <c r="P558" s="35"/>
    </row>
    <row r="559" spans="15:16" hidden="1" x14ac:dyDescent="0.25">
      <c r="O559" s="35"/>
      <c r="P559" s="35"/>
    </row>
    <row r="560" spans="15:16" hidden="1" x14ac:dyDescent="0.25">
      <c r="O560" s="35"/>
      <c r="P560" s="35"/>
    </row>
    <row r="561" spans="15:16" hidden="1" x14ac:dyDescent="0.25">
      <c r="O561" s="35"/>
      <c r="P561" s="35"/>
    </row>
    <row r="562" spans="15:16" hidden="1" x14ac:dyDescent="0.25">
      <c r="O562" s="35"/>
      <c r="P562" s="35"/>
    </row>
    <row r="563" spans="15:16" hidden="1" x14ac:dyDescent="0.25">
      <c r="O563" s="35"/>
      <c r="P563" s="35"/>
    </row>
    <row r="564" spans="15:16" hidden="1" x14ac:dyDescent="0.25">
      <c r="O564" s="35"/>
      <c r="P564" s="35"/>
    </row>
    <row r="565" spans="15:16" hidden="1" x14ac:dyDescent="0.25">
      <c r="O565" s="35"/>
      <c r="P565" s="35"/>
    </row>
    <row r="566" spans="15:16" hidden="1" x14ac:dyDescent="0.25">
      <c r="O566" s="35"/>
      <c r="P566" s="35"/>
    </row>
    <row r="567" spans="15:16" hidden="1" x14ac:dyDescent="0.25">
      <c r="O567" s="35"/>
      <c r="P567" s="35"/>
    </row>
    <row r="568" spans="15:16" hidden="1" x14ac:dyDescent="0.25">
      <c r="O568" s="35"/>
      <c r="P568" s="35"/>
    </row>
    <row r="569" spans="15:16" hidden="1" x14ac:dyDescent="0.25">
      <c r="O569" s="35"/>
      <c r="P569" s="35"/>
    </row>
    <row r="570" spans="15:16" hidden="1" x14ac:dyDescent="0.25">
      <c r="O570" s="35"/>
      <c r="P570" s="35"/>
    </row>
    <row r="571" spans="15:16" hidden="1" x14ac:dyDescent="0.25">
      <c r="O571" s="35"/>
      <c r="P571" s="35"/>
    </row>
    <row r="572" spans="15:16" hidden="1" x14ac:dyDescent="0.25">
      <c r="O572" s="35"/>
      <c r="P572" s="35"/>
    </row>
    <row r="573" spans="15:16" hidden="1" x14ac:dyDescent="0.25">
      <c r="O573" s="35"/>
      <c r="P573" s="35"/>
    </row>
    <row r="574" spans="15:16" hidden="1" x14ac:dyDescent="0.25">
      <c r="O574" s="35"/>
      <c r="P574" s="35"/>
    </row>
    <row r="575" spans="15:16" hidden="1" x14ac:dyDescent="0.25">
      <c r="O575" s="35"/>
      <c r="P575" s="35"/>
    </row>
    <row r="576" spans="15:16" hidden="1" x14ac:dyDescent="0.25">
      <c r="O576" s="35"/>
      <c r="P576" s="35"/>
    </row>
    <row r="577" spans="15:16" hidden="1" x14ac:dyDescent="0.25">
      <c r="O577" s="35"/>
      <c r="P577" s="35"/>
    </row>
    <row r="578" spans="15:16" hidden="1" x14ac:dyDescent="0.25">
      <c r="O578" s="35"/>
      <c r="P578" s="35"/>
    </row>
    <row r="579" spans="15:16" hidden="1" x14ac:dyDescent="0.25">
      <c r="O579" s="35"/>
      <c r="P579" s="35"/>
    </row>
    <row r="580" spans="15:16" hidden="1" x14ac:dyDescent="0.25">
      <c r="O580" s="35"/>
      <c r="P580" s="35"/>
    </row>
    <row r="581" spans="15:16" hidden="1" x14ac:dyDescent="0.25">
      <c r="O581" s="35"/>
      <c r="P581" s="35"/>
    </row>
    <row r="582" spans="15:16" hidden="1" x14ac:dyDescent="0.25">
      <c r="O582" s="35"/>
      <c r="P582" s="35"/>
    </row>
    <row r="583" spans="15:16" hidden="1" x14ac:dyDescent="0.25">
      <c r="O583" s="35"/>
      <c r="P583" s="35"/>
    </row>
    <row r="584" spans="15:16" hidden="1" x14ac:dyDescent="0.25">
      <c r="O584" s="35"/>
      <c r="P584" s="35"/>
    </row>
    <row r="585" spans="15:16" hidden="1" x14ac:dyDescent="0.25">
      <c r="O585" s="35"/>
      <c r="P585" s="35"/>
    </row>
    <row r="586" spans="15:16" hidden="1" x14ac:dyDescent="0.25">
      <c r="O586" s="35"/>
      <c r="P586" s="35"/>
    </row>
    <row r="587" spans="15:16" hidden="1" x14ac:dyDescent="0.25">
      <c r="O587" s="35"/>
      <c r="P587" s="35"/>
    </row>
    <row r="588" spans="15:16" hidden="1" x14ac:dyDescent="0.25">
      <c r="O588" s="35"/>
      <c r="P588" s="35"/>
    </row>
    <row r="589" spans="15:16" hidden="1" x14ac:dyDescent="0.25">
      <c r="O589" s="35"/>
      <c r="P589" s="35"/>
    </row>
    <row r="590" spans="15:16" hidden="1" x14ac:dyDescent="0.25">
      <c r="O590" s="35"/>
      <c r="P590" s="35"/>
    </row>
    <row r="591" spans="15:16" hidden="1" x14ac:dyDescent="0.25">
      <c r="O591" s="35"/>
      <c r="P591" s="35"/>
    </row>
    <row r="592" spans="15:16" hidden="1" x14ac:dyDescent="0.25">
      <c r="O592" s="35"/>
      <c r="P592" s="35"/>
    </row>
    <row r="593" spans="15:16" hidden="1" x14ac:dyDescent="0.25">
      <c r="O593" s="35"/>
      <c r="P593" s="35"/>
    </row>
    <row r="594" spans="15:16" hidden="1" x14ac:dyDescent="0.25">
      <c r="O594" s="35"/>
      <c r="P594" s="35"/>
    </row>
    <row r="595" spans="15:16" hidden="1" x14ac:dyDescent="0.25">
      <c r="O595" s="35"/>
      <c r="P595" s="35"/>
    </row>
    <row r="596" spans="15:16" hidden="1" x14ac:dyDescent="0.25">
      <c r="O596" s="35"/>
      <c r="P596" s="35"/>
    </row>
    <row r="597" spans="15:16" hidden="1" x14ac:dyDescent="0.25">
      <c r="O597" s="35"/>
      <c r="P597" s="35"/>
    </row>
    <row r="598" spans="15:16" hidden="1" x14ac:dyDescent="0.25">
      <c r="O598" s="35"/>
      <c r="P598" s="35"/>
    </row>
    <row r="599" spans="15:16" hidden="1" x14ac:dyDescent="0.25">
      <c r="O599" s="35"/>
      <c r="P599" s="35"/>
    </row>
    <row r="600" spans="15:16" hidden="1" x14ac:dyDescent="0.25">
      <c r="O600" s="35"/>
      <c r="P600" s="35"/>
    </row>
    <row r="601" spans="15:16" hidden="1" x14ac:dyDescent="0.25">
      <c r="O601" s="35"/>
      <c r="P601" s="35"/>
    </row>
    <row r="602" spans="15:16" hidden="1" x14ac:dyDescent="0.25">
      <c r="O602" s="35"/>
      <c r="P602" s="35"/>
    </row>
    <row r="603" spans="15:16" hidden="1" x14ac:dyDescent="0.25">
      <c r="O603" s="35"/>
      <c r="P603" s="35"/>
    </row>
    <row r="604" spans="15:16" hidden="1" x14ac:dyDescent="0.25">
      <c r="O604" s="35"/>
      <c r="P604" s="35"/>
    </row>
    <row r="605" spans="15:16" hidden="1" x14ac:dyDescent="0.25">
      <c r="O605" s="35"/>
      <c r="P605" s="35"/>
    </row>
    <row r="606" spans="15:16" hidden="1" x14ac:dyDescent="0.25">
      <c r="O606" s="35"/>
      <c r="P606" s="35"/>
    </row>
    <row r="607" spans="15:16" hidden="1" x14ac:dyDescent="0.25">
      <c r="O607" s="35"/>
      <c r="P607" s="35"/>
    </row>
    <row r="608" spans="15:16" hidden="1" x14ac:dyDescent="0.25">
      <c r="O608" s="35"/>
      <c r="P608" s="35"/>
    </row>
    <row r="609" spans="4:20" hidden="1" x14ac:dyDescent="0.25">
      <c r="O609" s="35"/>
      <c r="P609" s="35"/>
    </row>
    <row r="610" spans="4:20" hidden="1" x14ac:dyDescent="0.25">
      <c r="O610" s="35"/>
      <c r="P610" s="35"/>
    </row>
    <row r="611" spans="4:20" hidden="1" x14ac:dyDescent="0.25">
      <c r="O611" s="35"/>
      <c r="P611" s="35"/>
    </row>
    <row r="612" spans="4:20" hidden="1" x14ac:dyDescent="0.25">
      <c r="O612" s="35"/>
      <c r="P612" s="35"/>
    </row>
    <row r="613" spans="4:20" hidden="1" x14ac:dyDescent="0.25">
      <c r="O613" s="35"/>
      <c r="P613" s="35"/>
    </row>
    <row r="614" spans="4:20" x14ac:dyDescent="0.25">
      <c r="D614" s="102">
        <v>2</v>
      </c>
      <c r="E614" s="102">
        <v>815</v>
      </c>
      <c r="F614" s="102">
        <v>50</v>
      </c>
      <c r="G614" s="102" t="s">
        <v>8725</v>
      </c>
      <c r="H614" s="102"/>
      <c r="I614" s="102"/>
      <c r="J614" s="102"/>
      <c r="M614" t="s">
        <v>7249</v>
      </c>
      <c r="N614" t="s">
        <v>4571</v>
      </c>
      <c r="O614" s="35"/>
      <c r="P614" s="35"/>
      <c r="R614">
        <v>46</v>
      </c>
      <c r="T614">
        <v>6</v>
      </c>
    </row>
    <row r="615" spans="4:20" x14ac:dyDescent="0.25">
      <c r="D615" s="102">
        <v>2</v>
      </c>
      <c r="E615" s="102">
        <v>815</v>
      </c>
      <c r="F615" s="102">
        <v>520</v>
      </c>
      <c r="G615" s="102" t="s">
        <v>8724</v>
      </c>
      <c r="H615" s="102"/>
      <c r="I615" s="102">
        <v>3</v>
      </c>
      <c r="J615" s="102"/>
      <c r="M615" t="s">
        <v>7249</v>
      </c>
      <c r="N615" t="s">
        <v>4571</v>
      </c>
      <c r="O615" s="35"/>
      <c r="P615" s="35"/>
      <c r="R615">
        <v>46</v>
      </c>
      <c r="T615">
        <v>6</v>
      </c>
    </row>
    <row r="616" spans="4:20" x14ac:dyDescent="0.25">
      <c r="D616" s="102">
        <v>1</v>
      </c>
      <c r="E616" s="102">
        <v>1800</v>
      </c>
      <c r="F616" s="102">
        <v>80</v>
      </c>
      <c r="G616" s="102" t="s">
        <v>8725</v>
      </c>
      <c r="H616" s="102"/>
      <c r="I616" s="102"/>
      <c r="J616" s="102"/>
      <c r="M616" t="s">
        <v>7249</v>
      </c>
      <c r="N616" t="s">
        <v>4571</v>
      </c>
      <c r="O616" s="35"/>
      <c r="P616" s="35"/>
      <c r="R616">
        <v>46</v>
      </c>
      <c r="T616">
        <v>6</v>
      </c>
    </row>
    <row r="617" spans="4:20" x14ac:dyDescent="0.25">
      <c r="D617" s="102">
        <v>1</v>
      </c>
      <c r="E617" s="102">
        <v>1800</v>
      </c>
      <c r="F617" s="102">
        <v>600</v>
      </c>
      <c r="G617" s="102" t="s">
        <v>8724</v>
      </c>
      <c r="H617" s="102"/>
      <c r="I617" s="102">
        <v>3</v>
      </c>
      <c r="J617" s="102"/>
      <c r="M617" t="s">
        <v>7249</v>
      </c>
      <c r="N617" t="s">
        <v>4571</v>
      </c>
      <c r="O617" s="35"/>
      <c r="P617" s="35"/>
      <c r="R617">
        <v>46</v>
      </c>
      <c r="T617">
        <v>6</v>
      </c>
    </row>
    <row r="618" spans="4:20" x14ac:dyDescent="0.25">
      <c r="D618" s="102">
        <v>2</v>
      </c>
      <c r="E618" s="102">
        <v>1045</v>
      </c>
      <c r="F618" s="102">
        <v>50</v>
      </c>
      <c r="G618" s="102" t="s">
        <v>8721</v>
      </c>
      <c r="H618" s="102"/>
      <c r="I618" s="102"/>
      <c r="J618" s="102"/>
      <c r="M618" t="s">
        <v>7249</v>
      </c>
      <c r="N618" t="s">
        <v>4571</v>
      </c>
      <c r="O618" s="35"/>
      <c r="P618" s="35"/>
      <c r="R618">
        <v>47</v>
      </c>
      <c r="T618">
        <v>4</v>
      </c>
    </row>
    <row r="619" spans="4:20" x14ac:dyDescent="0.25">
      <c r="D619" s="102">
        <v>2</v>
      </c>
      <c r="E619" s="102">
        <v>1045</v>
      </c>
      <c r="F619" s="102">
        <v>500</v>
      </c>
      <c r="G619" s="102" t="s">
        <v>8720</v>
      </c>
      <c r="H619" s="102"/>
      <c r="I619" s="102">
        <v>3</v>
      </c>
      <c r="J619" s="102">
        <v>3</v>
      </c>
      <c r="M619" t="s">
        <v>7249</v>
      </c>
      <c r="N619" t="s">
        <v>4571</v>
      </c>
      <c r="O619" s="35"/>
      <c r="P619" s="35"/>
      <c r="R619">
        <v>47</v>
      </c>
      <c r="T619">
        <v>4</v>
      </c>
    </row>
    <row r="620" spans="4:20" x14ac:dyDescent="0.25">
      <c r="O620" s="35"/>
      <c r="P620" s="35"/>
    </row>
  </sheetData>
  <autoFilter ref="B2:V613" xr:uid="{00000000-0009-0000-0000-000003000000}">
    <filterColumn colId="11">
      <filters>
        <filter val="064-8371"/>
      </filters>
    </filterColumn>
  </autoFilter>
  <sortState xmlns:xlrd2="http://schemas.microsoft.com/office/spreadsheetml/2017/richdata2" ref="B3:X121">
    <sortCondition ref="M3:M121"/>
    <sortCondition ref="N3:N121"/>
    <sortCondition descending="1" ref="U3:U121"/>
  </sortState>
  <phoneticPr fontId="1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38"/>
  <sheetViews>
    <sheetView workbookViewId="0">
      <selection activeCell="F24" sqref="F24"/>
    </sheetView>
  </sheetViews>
  <sheetFormatPr baseColWidth="10" defaultRowHeight="15" x14ac:dyDescent="0.25"/>
  <sheetData>
    <row r="1" spans="1:9" x14ac:dyDescent="0.25">
      <c r="A1" s="101">
        <v>2</v>
      </c>
      <c r="B1" s="101">
        <v>2420</v>
      </c>
      <c r="C1" s="101">
        <v>95</v>
      </c>
      <c r="D1" s="101" t="s">
        <v>8721</v>
      </c>
      <c r="E1" s="101"/>
      <c r="F1" s="101">
        <v>1</v>
      </c>
      <c r="G1" s="101"/>
      <c r="H1" s="101"/>
      <c r="I1" s="101"/>
    </row>
    <row r="2" spans="1:9" x14ac:dyDescent="0.25">
      <c r="A2" s="101">
        <v>2</v>
      </c>
      <c r="B2" s="101">
        <v>2420</v>
      </c>
      <c r="C2" s="101">
        <v>135</v>
      </c>
      <c r="D2" s="101" t="s">
        <v>8720</v>
      </c>
      <c r="E2" s="101"/>
      <c r="F2" s="101">
        <v>1</v>
      </c>
      <c r="G2" s="101">
        <v>3</v>
      </c>
      <c r="H2" s="101"/>
      <c r="I2" s="101"/>
    </row>
    <row r="3" spans="1:9" x14ac:dyDescent="0.25">
      <c r="A3" s="100">
        <v>2</v>
      </c>
      <c r="B3" s="100">
        <v>2420</v>
      </c>
      <c r="C3" s="100">
        <v>85</v>
      </c>
      <c r="D3" s="100" t="s">
        <v>8721</v>
      </c>
      <c r="E3" s="100"/>
      <c r="F3" s="100">
        <v>1</v>
      </c>
      <c r="G3" s="100"/>
      <c r="H3" s="100"/>
      <c r="I3" s="100"/>
    </row>
    <row r="4" spans="1:9" x14ac:dyDescent="0.25">
      <c r="A4" s="100">
        <v>2</v>
      </c>
      <c r="B4" s="100">
        <v>2420</v>
      </c>
      <c r="C4" s="100">
        <v>125</v>
      </c>
      <c r="D4" s="100" t="s">
        <v>8720</v>
      </c>
      <c r="E4" s="100"/>
      <c r="F4" s="100">
        <v>1</v>
      </c>
      <c r="G4" s="100">
        <v>3</v>
      </c>
      <c r="H4" s="100"/>
      <c r="I4" s="100"/>
    </row>
    <row r="5" spans="1:9" x14ac:dyDescent="0.25">
      <c r="A5" s="101">
        <v>2</v>
      </c>
      <c r="B5" s="101">
        <v>2420</v>
      </c>
      <c r="C5" s="101">
        <v>135</v>
      </c>
      <c r="D5" s="101" t="s">
        <v>8720</v>
      </c>
      <c r="E5" s="101"/>
      <c r="F5" s="101">
        <v>1</v>
      </c>
      <c r="G5" s="101">
        <v>3</v>
      </c>
      <c r="H5" s="101"/>
      <c r="I5" s="101"/>
    </row>
    <row r="6" spans="1:9" x14ac:dyDescent="0.25">
      <c r="A6" s="101">
        <v>2</v>
      </c>
      <c r="B6" s="101">
        <v>2420</v>
      </c>
      <c r="C6" s="101">
        <v>95</v>
      </c>
      <c r="D6" s="101" t="s">
        <v>8721</v>
      </c>
      <c r="E6" s="101"/>
      <c r="F6" s="101">
        <v>1</v>
      </c>
      <c r="G6" s="101"/>
      <c r="H6" s="101"/>
      <c r="I6" s="101"/>
    </row>
    <row r="7" spans="1:9" x14ac:dyDescent="0.25">
      <c r="A7" s="99">
        <v>2</v>
      </c>
      <c r="B7" s="99">
        <v>2420</v>
      </c>
      <c r="C7" s="99">
        <v>125</v>
      </c>
      <c r="D7" s="99" t="s">
        <v>8720</v>
      </c>
      <c r="E7" s="99"/>
      <c r="F7" s="99">
        <v>1</v>
      </c>
      <c r="G7" s="99">
        <v>3</v>
      </c>
      <c r="H7" s="99"/>
      <c r="I7" s="99"/>
    </row>
    <row r="8" spans="1:9" x14ac:dyDescent="0.25">
      <c r="A8" s="99">
        <v>2</v>
      </c>
      <c r="B8" s="99">
        <v>2420</v>
      </c>
      <c r="C8" s="99">
        <v>85</v>
      </c>
      <c r="D8" s="99" t="s">
        <v>8721</v>
      </c>
      <c r="E8" s="99"/>
      <c r="F8" s="99">
        <v>1</v>
      </c>
      <c r="G8" s="99"/>
      <c r="H8" s="99"/>
      <c r="I8" s="99"/>
    </row>
    <row r="9" spans="1:9" x14ac:dyDescent="0.25">
      <c r="A9" s="101">
        <v>2</v>
      </c>
      <c r="B9" s="101">
        <v>2420</v>
      </c>
      <c r="C9" s="101">
        <v>125</v>
      </c>
      <c r="D9" s="101" t="s">
        <v>8720</v>
      </c>
      <c r="E9" s="101"/>
      <c r="F9" s="101">
        <v>1</v>
      </c>
      <c r="G9" s="101">
        <v>3</v>
      </c>
      <c r="H9" s="101"/>
      <c r="I9" s="101"/>
    </row>
    <row r="10" spans="1:9" x14ac:dyDescent="0.25">
      <c r="A10" s="101">
        <v>2</v>
      </c>
      <c r="B10" s="101">
        <v>2420</v>
      </c>
      <c r="C10" s="101">
        <v>85</v>
      </c>
      <c r="D10" s="101" t="s">
        <v>8721</v>
      </c>
      <c r="E10" s="101"/>
      <c r="F10" s="101">
        <v>1</v>
      </c>
      <c r="G10" s="101"/>
      <c r="H10" s="101"/>
      <c r="I10" s="101"/>
    </row>
    <row r="11" spans="1:9" x14ac:dyDescent="0.25">
      <c r="A11" s="100">
        <v>2</v>
      </c>
      <c r="B11" s="100">
        <v>2420</v>
      </c>
      <c r="C11" s="100">
        <v>120</v>
      </c>
      <c r="D11" s="100" t="s">
        <v>8720</v>
      </c>
      <c r="E11" s="100"/>
      <c r="F11" s="100">
        <v>1</v>
      </c>
      <c r="G11" s="100">
        <v>3</v>
      </c>
      <c r="H11" s="100"/>
      <c r="I11" s="100"/>
    </row>
    <row r="12" spans="1:9" x14ac:dyDescent="0.25">
      <c r="A12" s="100">
        <v>2</v>
      </c>
      <c r="B12" s="100">
        <v>2420</v>
      </c>
      <c r="C12" s="100">
        <v>80</v>
      </c>
      <c r="D12" s="100" t="s">
        <v>8721</v>
      </c>
      <c r="E12" s="100"/>
      <c r="F12" s="100">
        <v>1</v>
      </c>
      <c r="G12" s="100"/>
      <c r="H12" s="100"/>
      <c r="I12" s="100"/>
    </row>
    <row r="13" spans="1:9" x14ac:dyDescent="0.25">
      <c r="A13" s="101">
        <v>2</v>
      </c>
      <c r="B13" s="101">
        <v>2420</v>
      </c>
      <c r="C13" s="101">
        <v>85</v>
      </c>
      <c r="D13" s="101" t="s">
        <v>8721</v>
      </c>
      <c r="E13" s="101"/>
      <c r="F13" s="101">
        <v>1</v>
      </c>
      <c r="G13" s="101"/>
      <c r="H13" s="101"/>
      <c r="I13" s="101"/>
    </row>
    <row r="14" spans="1:9" x14ac:dyDescent="0.25">
      <c r="A14" s="101">
        <v>2</v>
      </c>
      <c r="B14" s="101">
        <v>2420</v>
      </c>
      <c r="C14" s="101">
        <v>125</v>
      </c>
      <c r="D14" s="101" t="s">
        <v>8720</v>
      </c>
      <c r="E14" s="101"/>
      <c r="F14" s="101">
        <v>1</v>
      </c>
      <c r="G14" s="101">
        <v>3</v>
      </c>
      <c r="H14" s="101"/>
      <c r="I14" s="101"/>
    </row>
    <row r="15" spans="1:9" x14ac:dyDescent="0.25">
      <c r="A15" s="99">
        <v>2</v>
      </c>
      <c r="B15" s="99">
        <v>2420</v>
      </c>
      <c r="C15" s="99">
        <v>135</v>
      </c>
      <c r="D15" s="99" t="s">
        <v>8720</v>
      </c>
      <c r="E15" s="99"/>
      <c r="F15" s="99">
        <v>1</v>
      </c>
      <c r="G15" s="99">
        <v>3</v>
      </c>
      <c r="H15" s="99"/>
      <c r="I15" s="99"/>
    </row>
    <row r="16" spans="1:9" x14ac:dyDescent="0.25">
      <c r="A16" s="99">
        <v>2</v>
      </c>
      <c r="B16" s="99">
        <v>2420</v>
      </c>
      <c r="C16" s="99">
        <v>95</v>
      </c>
      <c r="D16" s="99" t="s">
        <v>8721</v>
      </c>
      <c r="E16" s="99"/>
      <c r="F16" s="99">
        <v>1</v>
      </c>
      <c r="G16" s="99"/>
      <c r="H16" s="99"/>
      <c r="I16" s="99"/>
    </row>
    <row r="17" spans="1:7" x14ac:dyDescent="0.25">
      <c r="A17" s="100">
        <v>1</v>
      </c>
      <c r="B17" s="100">
        <v>1000</v>
      </c>
      <c r="C17" s="100">
        <v>95</v>
      </c>
      <c r="D17" s="100" t="s">
        <v>8721</v>
      </c>
      <c r="E17" s="100"/>
      <c r="F17" s="100">
        <v>1</v>
      </c>
      <c r="G17" s="100"/>
    </row>
    <row r="18" spans="1:7" x14ac:dyDescent="0.25">
      <c r="A18" s="100">
        <v>1</v>
      </c>
      <c r="B18" s="100">
        <v>1000</v>
      </c>
      <c r="C18" s="100">
        <v>135</v>
      </c>
      <c r="D18" s="100" t="s">
        <v>8720</v>
      </c>
      <c r="E18" s="100"/>
      <c r="F18" s="100">
        <v>1</v>
      </c>
      <c r="G18" s="100">
        <v>3</v>
      </c>
    </row>
    <row r="19" spans="1:7" x14ac:dyDescent="0.25">
      <c r="A19" s="101">
        <v>1</v>
      </c>
      <c r="B19" s="101">
        <v>1000</v>
      </c>
      <c r="C19" s="101">
        <v>85</v>
      </c>
      <c r="D19" s="101" t="s">
        <v>8721</v>
      </c>
      <c r="E19" s="101"/>
      <c r="F19" s="101">
        <v>1</v>
      </c>
      <c r="G19" s="101"/>
    </row>
    <row r="20" spans="1:7" x14ac:dyDescent="0.25">
      <c r="A20" s="101">
        <v>1</v>
      </c>
      <c r="B20" s="101">
        <v>1000</v>
      </c>
      <c r="C20" s="101">
        <v>125</v>
      </c>
      <c r="D20" s="101" t="s">
        <v>8720</v>
      </c>
      <c r="E20" s="101"/>
      <c r="F20" s="101">
        <v>1</v>
      </c>
      <c r="G20" s="101">
        <v>3</v>
      </c>
    </row>
    <row r="21" spans="1:7" x14ac:dyDescent="0.25">
      <c r="A21" s="99">
        <v>1</v>
      </c>
      <c r="B21" s="99">
        <v>1000</v>
      </c>
      <c r="C21" s="99">
        <v>135</v>
      </c>
      <c r="D21" s="99" t="s">
        <v>8720</v>
      </c>
      <c r="E21" s="99"/>
      <c r="F21" s="99">
        <v>1</v>
      </c>
      <c r="G21" s="99">
        <v>3</v>
      </c>
    </row>
    <row r="22" spans="1:7" x14ac:dyDescent="0.25">
      <c r="A22" s="99">
        <v>1</v>
      </c>
      <c r="B22" s="99">
        <v>1000</v>
      </c>
      <c r="C22" s="99">
        <v>95</v>
      </c>
      <c r="D22" s="99" t="s">
        <v>8721</v>
      </c>
      <c r="E22" s="99"/>
      <c r="F22" s="99">
        <v>1</v>
      </c>
      <c r="G22" s="99"/>
    </row>
    <row r="23" spans="1:7" x14ac:dyDescent="0.25">
      <c r="A23" s="100">
        <v>1</v>
      </c>
      <c r="B23" s="100">
        <v>1000</v>
      </c>
      <c r="C23" s="100">
        <v>125</v>
      </c>
      <c r="D23" s="100" t="s">
        <v>8720</v>
      </c>
      <c r="E23" s="100"/>
      <c r="F23" s="100">
        <v>1</v>
      </c>
      <c r="G23" s="100">
        <v>3</v>
      </c>
    </row>
    <row r="24" spans="1:7" x14ac:dyDescent="0.25">
      <c r="A24" s="100">
        <v>1</v>
      </c>
      <c r="B24" s="100">
        <v>1000</v>
      </c>
      <c r="C24" s="100">
        <v>85</v>
      </c>
      <c r="D24" s="100" t="s">
        <v>8721</v>
      </c>
      <c r="E24" s="100"/>
      <c r="F24" s="100">
        <v>1</v>
      </c>
      <c r="G24" s="100"/>
    </row>
    <row r="25" spans="1:7" x14ac:dyDescent="0.25">
      <c r="A25" s="101">
        <v>1</v>
      </c>
      <c r="B25" s="101">
        <v>1000</v>
      </c>
      <c r="C25" s="101">
        <v>125</v>
      </c>
      <c r="D25" s="101" t="s">
        <v>8720</v>
      </c>
      <c r="E25" s="101"/>
      <c r="F25" s="101">
        <v>1</v>
      </c>
      <c r="G25" s="101">
        <v>3</v>
      </c>
    </row>
    <row r="26" spans="1:7" x14ac:dyDescent="0.25">
      <c r="A26" s="101">
        <v>1</v>
      </c>
      <c r="B26" s="101">
        <v>1000</v>
      </c>
      <c r="C26" s="101">
        <v>85</v>
      </c>
      <c r="D26" s="101" t="s">
        <v>8721</v>
      </c>
      <c r="E26" s="101"/>
      <c r="F26" s="101">
        <v>1</v>
      </c>
      <c r="G26" s="101"/>
    </row>
    <row r="27" spans="1:7" x14ac:dyDescent="0.25">
      <c r="A27" s="100">
        <v>1</v>
      </c>
      <c r="B27" s="100">
        <v>1000</v>
      </c>
      <c r="C27" s="100">
        <v>80</v>
      </c>
      <c r="D27" s="100" t="s">
        <v>8721</v>
      </c>
      <c r="E27" s="100"/>
      <c r="F27" s="100">
        <v>1</v>
      </c>
      <c r="G27" s="100"/>
    </row>
    <row r="28" spans="1:7" x14ac:dyDescent="0.25">
      <c r="A28" s="100">
        <v>1</v>
      </c>
      <c r="B28" s="100">
        <v>1000</v>
      </c>
      <c r="C28" s="100">
        <v>120</v>
      </c>
      <c r="D28" s="100" t="s">
        <v>8720</v>
      </c>
      <c r="E28" s="100"/>
      <c r="F28" s="100">
        <v>1</v>
      </c>
      <c r="G28" s="100">
        <v>3</v>
      </c>
    </row>
    <row r="29" spans="1:7" x14ac:dyDescent="0.25">
      <c r="A29" s="101">
        <v>1</v>
      </c>
      <c r="B29" s="101">
        <v>1000</v>
      </c>
      <c r="C29" s="101">
        <v>125</v>
      </c>
      <c r="D29" s="101" t="s">
        <v>8720</v>
      </c>
      <c r="E29" s="101"/>
      <c r="F29" s="101">
        <v>1</v>
      </c>
      <c r="G29" s="101">
        <v>3</v>
      </c>
    </row>
    <row r="30" spans="1:7" x14ac:dyDescent="0.25">
      <c r="A30" s="101">
        <v>1</v>
      </c>
      <c r="B30" s="101">
        <v>1000</v>
      </c>
      <c r="C30" s="101">
        <v>85</v>
      </c>
      <c r="D30" s="101" t="s">
        <v>8721</v>
      </c>
      <c r="E30" s="101"/>
      <c r="F30" s="101">
        <v>1</v>
      </c>
      <c r="G30" s="101"/>
    </row>
    <row r="31" spans="1:7" x14ac:dyDescent="0.25">
      <c r="A31" s="99">
        <v>1</v>
      </c>
      <c r="B31" s="99">
        <v>1000</v>
      </c>
      <c r="C31" s="99">
        <v>135</v>
      </c>
      <c r="D31" s="99" t="s">
        <v>8720</v>
      </c>
      <c r="E31" s="99"/>
      <c r="F31" s="99">
        <v>1</v>
      </c>
      <c r="G31" s="99">
        <v>3</v>
      </c>
    </row>
    <row r="32" spans="1:7" x14ac:dyDescent="0.25">
      <c r="A32" s="99">
        <v>1</v>
      </c>
      <c r="B32" s="99">
        <v>1000</v>
      </c>
      <c r="C32" s="99">
        <v>95</v>
      </c>
      <c r="D32" s="99" t="s">
        <v>8721</v>
      </c>
      <c r="E32" s="99"/>
      <c r="F32" s="99">
        <v>1</v>
      </c>
      <c r="G32" s="99"/>
    </row>
    <row r="33" spans="1:9" x14ac:dyDescent="0.25">
      <c r="A33" s="102">
        <v>2</v>
      </c>
      <c r="B33" s="102">
        <v>815</v>
      </c>
      <c r="C33" s="102">
        <v>50</v>
      </c>
      <c r="D33" s="102" t="s">
        <v>8725</v>
      </c>
      <c r="E33" s="102"/>
      <c r="F33" s="102"/>
      <c r="G33" s="102"/>
      <c r="H33" s="99"/>
      <c r="I33" s="99"/>
    </row>
    <row r="34" spans="1:9" x14ac:dyDescent="0.25">
      <c r="A34" s="102">
        <v>2</v>
      </c>
      <c r="B34" s="102">
        <v>815</v>
      </c>
      <c r="C34" s="102">
        <v>520</v>
      </c>
      <c r="D34" s="102" t="s">
        <v>8724</v>
      </c>
      <c r="E34" s="102"/>
      <c r="F34" s="102">
        <v>3</v>
      </c>
      <c r="G34" s="102"/>
      <c r="H34" s="99"/>
      <c r="I34" s="99"/>
    </row>
    <row r="35" spans="1:9" x14ac:dyDescent="0.25">
      <c r="A35" s="102">
        <v>1</v>
      </c>
      <c r="B35" s="102">
        <v>1800</v>
      </c>
      <c r="C35" s="102">
        <v>80</v>
      </c>
      <c r="D35" s="102" t="s">
        <v>8725</v>
      </c>
      <c r="E35" s="102"/>
      <c r="F35" s="102"/>
      <c r="G35" s="102"/>
      <c r="H35" s="99"/>
    </row>
    <row r="36" spans="1:9" x14ac:dyDescent="0.25">
      <c r="A36" s="102">
        <v>1</v>
      </c>
      <c r="B36" s="102">
        <v>1800</v>
      </c>
      <c r="C36" s="102">
        <v>600</v>
      </c>
      <c r="D36" s="102" t="s">
        <v>8724</v>
      </c>
      <c r="E36" s="102"/>
      <c r="F36" s="102">
        <v>3</v>
      </c>
      <c r="G36" s="102"/>
      <c r="H36" s="99"/>
    </row>
    <row r="37" spans="1:9" x14ac:dyDescent="0.25">
      <c r="A37" s="102">
        <v>2</v>
      </c>
      <c r="B37" s="102">
        <v>1045</v>
      </c>
      <c r="C37" s="102">
        <v>50</v>
      </c>
      <c r="D37" s="102" t="s">
        <v>8721</v>
      </c>
      <c r="E37" s="102"/>
      <c r="F37" s="102"/>
      <c r="G37" s="102"/>
    </row>
    <row r="38" spans="1:9" x14ac:dyDescent="0.25">
      <c r="A38" s="102">
        <v>2</v>
      </c>
      <c r="B38" s="102">
        <v>1045</v>
      </c>
      <c r="C38" s="102">
        <v>500</v>
      </c>
      <c r="D38" s="102" t="s">
        <v>8720</v>
      </c>
      <c r="E38" s="102"/>
      <c r="F38" s="102">
        <v>3</v>
      </c>
      <c r="G38" s="102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F67"/>
  <sheetViews>
    <sheetView topLeftCell="A25" workbookViewId="0">
      <selection activeCell="D49" sqref="D49"/>
    </sheetView>
  </sheetViews>
  <sheetFormatPr baseColWidth="10" defaultRowHeight="15" x14ac:dyDescent="0.25"/>
  <cols>
    <col min="1" max="1" width="16.85546875" bestFit="1" customWidth="1"/>
    <col min="2" max="2" width="12.7109375" bestFit="1" customWidth="1"/>
    <col min="3" max="3" width="9.28515625" bestFit="1" customWidth="1"/>
    <col min="4" max="4" width="13" bestFit="1" customWidth="1"/>
    <col min="5" max="5" width="15.5703125" bestFit="1" customWidth="1"/>
    <col min="6" max="6" width="21.85546875" bestFit="1" customWidth="1"/>
  </cols>
  <sheetData>
    <row r="1" spans="1:6" s="53" customFormat="1" x14ac:dyDescent="0.25">
      <c r="A1" s="54" t="s">
        <v>5144</v>
      </c>
      <c r="B1" s="54" t="s">
        <v>9</v>
      </c>
      <c r="C1" s="54" t="s">
        <v>5171</v>
      </c>
      <c r="D1" s="54" t="s">
        <v>5169</v>
      </c>
      <c r="E1" s="54" t="s">
        <v>5172</v>
      </c>
      <c r="F1" s="54" t="s">
        <v>5173</v>
      </c>
    </row>
    <row r="2" spans="1:6" x14ac:dyDescent="0.25">
      <c r="A2" t="s">
        <v>7249</v>
      </c>
      <c r="B2" t="s">
        <v>4571</v>
      </c>
      <c r="C2">
        <v>1</v>
      </c>
      <c r="D2">
        <v>1</v>
      </c>
      <c r="E2">
        <v>12.7</v>
      </c>
      <c r="F2" t="s">
        <v>8746</v>
      </c>
    </row>
    <row r="3" spans="1:6" x14ac:dyDescent="0.25">
      <c r="A3" t="s">
        <v>7249</v>
      </c>
      <c r="B3" t="s">
        <v>4571</v>
      </c>
      <c r="C3">
        <v>2</v>
      </c>
      <c r="D3">
        <v>1</v>
      </c>
      <c r="E3">
        <v>12.7</v>
      </c>
      <c r="F3" t="s">
        <v>8747</v>
      </c>
    </row>
    <row r="4" spans="1:6" x14ac:dyDescent="0.25">
      <c r="A4" t="s">
        <v>7249</v>
      </c>
      <c r="B4" t="s">
        <v>4571</v>
      </c>
      <c r="C4">
        <v>3</v>
      </c>
      <c r="D4">
        <v>1</v>
      </c>
      <c r="E4">
        <v>12.7</v>
      </c>
      <c r="F4" t="s">
        <v>8748</v>
      </c>
    </row>
    <row r="5" spans="1:6" x14ac:dyDescent="0.25">
      <c r="A5" t="s">
        <v>7249</v>
      </c>
      <c r="B5" t="s">
        <v>4571</v>
      </c>
      <c r="C5">
        <v>4</v>
      </c>
      <c r="D5">
        <v>1</v>
      </c>
      <c r="E5">
        <v>12.7</v>
      </c>
      <c r="F5" t="s">
        <v>8749</v>
      </c>
    </row>
    <row r="6" spans="1:6" x14ac:dyDescent="0.25">
      <c r="A6" t="s">
        <v>7249</v>
      </c>
      <c r="B6" t="s">
        <v>4571</v>
      </c>
      <c r="C6">
        <v>5</v>
      </c>
      <c r="D6">
        <v>1</v>
      </c>
      <c r="E6">
        <v>12.7</v>
      </c>
      <c r="F6" t="s">
        <v>8750</v>
      </c>
    </row>
    <row r="7" spans="1:6" x14ac:dyDescent="0.25">
      <c r="A7" t="s">
        <v>7249</v>
      </c>
      <c r="B7" t="s">
        <v>4571</v>
      </c>
      <c r="C7">
        <v>6</v>
      </c>
      <c r="D7">
        <v>1</v>
      </c>
      <c r="E7">
        <v>12.7</v>
      </c>
      <c r="F7" t="s">
        <v>8751</v>
      </c>
    </row>
    <row r="8" spans="1:6" x14ac:dyDescent="0.25">
      <c r="A8" t="s">
        <v>7249</v>
      </c>
      <c r="B8" t="s">
        <v>4571</v>
      </c>
      <c r="C8">
        <v>7</v>
      </c>
      <c r="D8">
        <v>1</v>
      </c>
      <c r="E8">
        <v>12.7</v>
      </c>
      <c r="F8" t="s">
        <v>8752</v>
      </c>
    </row>
    <row r="9" spans="1:6" x14ac:dyDescent="0.25">
      <c r="A9" t="s">
        <v>7249</v>
      </c>
      <c r="B9" t="s">
        <v>4571</v>
      </c>
      <c r="C9">
        <v>8</v>
      </c>
      <c r="D9">
        <v>1</v>
      </c>
      <c r="E9">
        <v>12.7</v>
      </c>
      <c r="F9" t="s">
        <v>8753</v>
      </c>
    </row>
    <row r="10" spans="1:6" x14ac:dyDescent="0.25">
      <c r="A10" t="s">
        <v>7249</v>
      </c>
      <c r="B10" t="s">
        <v>4571</v>
      </c>
      <c r="C10">
        <v>9</v>
      </c>
      <c r="D10">
        <v>19</v>
      </c>
      <c r="E10">
        <v>24.14</v>
      </c>
      <c r="F10" t="s">
        <v>8754</v>
      </c>
    </row>
    <row r="11" spans="1:6" x14ac:dyDescent="0.25">
      <c r="A11" t="s">
        <v>7249</v>
      </c>
      <c r="B11" t="s">
        <v>4571</v>
      </c>
      <c r="C11">
        <v>10</v>
      </c>
      <c r="D11">
        <v>6</v>
      </c>
      <c r="E11">
        <v>7.62</v>
      </c>
      <c r="F11" t="s">
        <v>8755</v>
      </c>
    </row>
    <row r="12" spans="1:6" x14ac:dyDescent="0.25">
      <c r="A12" t="s">
        <v>7249</v>
      </c>
      <c r="B12" t="s">
        <v>4571</v>
      </c>
      <c r="C12">
        <v>11</v>
      </c>
      <c r="D12">
        <v>19</v>
      </c>
      <c r="E12">
        <v>24.14</v>
      </c>
      <c r="F12" t="s">
        <v>8756</v>
      </c>
    </row>
    <row r="13" spans="1:6" x14ac:dyDescent="0.25">
      <c r="A13" t="s">
        <v>7249</v>
      </c>
      <c r="B13" t="s">
        <v>4571</v>
      </c>
      <c r="C13">
        <v>12</v>
      </c>
      <c r="D13">
        <v>11</v>
      </c>
      <c r="E13">
        <v>13.98</v>
      </c>
      <c r="F13" t="s">
        <v>8757</v>
      </c>
    </row>
    <row r="14" spans="1:6" x14ac:dyDescent="0.25">
      <c r="A14" t="s">
        <v>7249</v>
      </c>
      <c r="B14" t="s">
        <v>4571</v>
      </c>
      <c r="C14">
        <v>13</v>
      </c>
      <c r="D14">
        <v>9</v>
      </c>
      <c r="E14">
        <v>18.55</v>
      </c>
    </row>
    <row r="15" spans="1:6" x14ac:dyDescent="0.25">
      <c r="A15" t="s">
        <v>7249</v>
      </c>
      <c r="B15" t="s">
        <v>4571</v>
      </c>
      <c r="C15">
        <v>14</v>
      </c>
      <c r="D15">
        <v>1</v>
      </c>
      <c r="E15">
        <v>15.18</v>
      </c>
      <c r="F15" t="s">
        <v>8758</v>
      </c>
    </row>
    <row r="16" spans="1:6" x14ac:dyDescent="0.25">
      <c r="A16" t="s">
        <v>7249</v>
      </c>
      <c r="B16" t="s">
        <v>4571</v>
      </c>
      <c r="C16">
        <v>15</v>
      </c>
      <c r="D16">
        <v>1</v>
      </c>
      <c r="E16">
        <v>15.18</v>
      </c>
      <c r="F16" t="s">
        <v>8759</v>
      </c>
    </row>
    <row r="17" spans="1:6" x14ac:dyDescent="0.25">
      <c r="A17" t="s">
        <v>7249</v>
      </c>
      <c r="B17" t="s">
        <v>4571</v>
      </c>
      <c r="C17">
        <v>16</v>
      </c>
      <c r="D17">
        <v>2</v>
      </c>
      <c r="E17">
        <v>13.17</v>
      </c>
    </row>
    <row r="18" spans="1:6" x14ac:dyDescent="0.25">
      <c r="A18" t="s">
        <v>7249</v>
      </c>
      <c r="B18" t="s">
        <v>4571</v>
      </c>
      <c r="C18">
        <v>17</v>
      </c>
      <c r="D18">
        <v>1</v>
      </c>
      <c r="E18">
        <v>18.399999999999999</v>
      </c>
      <c r="F18" t="s">
        <v>8760</v>
      </c>
    </row>
    <row r="19" spans="1:6" x14ac:dyDescent="0.25">
      <c r="A19" t="s">
        <v>7249</v>
      </c>
      <c r="B19" t="s">
        <v>4571</v>
      </c>
      <c r="C19">
        <v>18</v>
      </c>
      <c r="D19">
        <v>1</v>
      </c>
      <c r="E19">
        <v>18.399999999999999</v>
      </c>
      <c r="F19" t="s">
        <v>8761</v>
      </c>
    </row>
    <row r="20" spans="1:6" x14ac:dyDescent="0.25">
      <c r="A20" t="s">
        <v>7249</v>
      </c>
      <c r="B20" t="s">
        <v>4571</v>
      </c>
      <c r="C20">
        <v>19</v>
      </c>
      <c r="D20">
        <v>2</v>
      </c>
      <c r="E20">
        <v>20.29</v>
      </c>
    </row>
    <row r="21" spans="1:6" x14ac:dyDescent="0.25">
      <c r="A21" t="s">
        <v>7249</v>
      </c>
      <c r="B21" t="s">
        <v>4571</v>
      </c>
      <c r="C21">
        <v>20</v>
      </c>
      <c r="D21">
        <v>2</v>
      </c>
      <c r="E21">
        <v>20.91</v>
      </c>
      <c r="F21" t="s">
        <v>8762</v>
      </c>
    </row>
    <row r="22" spans="1:6" x14ac:dyDescent="0.25">
      <c r="A22" t="s">
        <v>7249</v>
      </c>
      <c r="B22" t="s">
        <v>4571</v>
      </c>
      <c r="C22">
        <v>21</v>
      </c>
      <c r="D22">
        <v>2</v>
      </c>
      <c r="E22">
        <v>20.91</v>
      </c>
      <c r="F22" t="s">
        <v>8763</v>
      </c>
    </row>
    <row r="23" spans="1:6" x14ac:dyDescent="0.25">
      <c r="A23" t="s">
        <v>7249</v>
      </c>
      <c r="B23" t="s">
        <v>4571</v>
      </c>
      <c r="C23">
        <v>22</v>
      </c>
      <c r="D23">
        <v>5</v>
      </c>
      <c r="E23">
        <v>7.56</v>
      </c>
    </row>
    <row r="24" spans="1:6" x14ac:dyDescent="0.25">
      <c r="A24" t="s">
        <v>7249</v>
      </c>
      <c r="B24" t="s">
        <v>4571</v>
      </c>
      <c r="C24">
        <v>23</v>
      </c>
      <c r="D24">
        <v>2</v>
      </c>
      <c r="E24">
        <v>20.440000000000001</v>
      </c>
      <c r="F24" t="s">
        <v>8764</v>
      </c>
    </row>
    <row r="25" spans="1:6" x14ac:dyDescent="0.25">
      <c r="A25" t="s">
        <v>7249</v>
      </c>
      <c r="B25" t="s">
        <v>4571</v>
      </c>
      <c r="C25">
        <v>24</v>
      </c>
      <c r="D25">
        <v>2</v>
      </c>
      <c r="E25">
        <v>20.440000000000001</v>
      </c>
      <c r="F25" t="s">
        <v>8765</v>
      </c>
    </row>
    <row r="26" spans="1:6" x14ac:dyDescent="0.25">
      <c r="A26" t="s">
        <v>7249</v>
      </c>
      <c r="B26" t="s">
        <v>4571</v>
      </c>
      <c r="C26">
        <v>25</v>
      </c>
      <c r="D26">
        <v>2</v>
      </c>
      <c r="E26">
        <v>16.05</v>
      </c>
    </row>
    <row r="27" spans="1:6" x14ac:dyDescent="0.25">
      <c r="A27" t="s">
        <v>7249</v>
      </c>
      <c r="B27" t="s">
        <v>4571</v>
      </c>
      <c r="C27">
        <v>26</v>
      </c>
      <c r="D27">
        <v>4</v>
      </c>
      <c r="E27">
        <v>23.64</v>
      </c>
    </row>
    <row r="28" spans="1:6" x14ac:dyDescent="0.25">
      <c r="A28" t="s">
        <v>7249</v>
      </c>
      <c r="B28" t="s">
        <v>4571</v>
      </c>
      <c r="C28">
        <v>27</v>
      </c>
      <c r="D28">
        <v>1</v>
      </c>
      <c r="E28">
        <v>5.13</v>
      </c>
    </row>
    <row r="29" spans="1:6" x14ac:dyDescent="0.25">
      <c r="A29" t="s">
        <v>7249</v>
      </c>
      <c r="B29" t="s">
        <v>4571</v>
      </c>
      <c r="C29">
        <v>28</v>
      </c>
      <c r="D29">
        <v>4</v>
      </c>
      <c r="E29">
        <v>24.83</v>
      </c>
    </row>
    <row r="30" spans="1:6" x14ac:dyDescent="0.25">
      <c r="A30" t="s">
        <v>7249</v>
      </c>
      <c r="B30" t="s">
        <v>4571</v>
      </c>
      <c r="C30">
        <v>29</v>
      </c>
      <c r="D30">
        <v>34</v>
      </c>
      <c r="E30">
        <v>24.15</v>
      </c>
    </row>
    <row r="31" spans="1:6" x14ac:dyDescent="0.25">
      <c r="A31" t="s">
        <v>7249</v>
      </c>
      <c r="B31" t="s">
        <v>4571</v>
      </c>
      <c r="C31">
        <v>30</v>
      </c>
      <c r="D31">
        <v>5</v>
      </c>
      <c r="E31">
        <v>20.329999999999998</v>
      </c>
    </row>
    <row r="32" spans="1:6" x14ac:dyDescent="0.25">
      <c r="A32" t="s">
        <v>7249</v>
      </c>
      <c r="B32" t="s">
        <v>4571</v>
      </c>
      <c r="C32">
        <v>31</v>
      </c>
      <c r="D32">
        <v>19</v>
      </c>
      <c r="E32">
        <v>22.73</v>
      </c>
    </row>
    <row r="33" spans="1:5" x14ac:dyDescent="0.25">
      <c r="A33" t="s">
        <v>7249</v>
      </c>
      <c r="B33" t="s">
        <v>4571</v>
      </c>
      <c r="C33">
        <v>32</v>
      </c>
      <c r="D33">
        <v>24</v>
      </c>
      <c r="E33">
        <v>23.87</v>
      </c>
    </row>
    <row r="34" spans="1:5" x14ac:dyDescent="0.25">
      <c r="A34" t="s">
        <v>7249</v>
      </c>
      <c r="B34" t="s">
        <v>4571</v>
      </c>
      <c r="C34">
        <v>33</v>
      </c>
      <c r="D34">
        <v>7</v>
      </c>
      <c r="E34">
        <v>23.26</v>
      </c>
    </row>
    <row r="35" spans="1:5" x14ac:dyDescent="0.25">
      <c r="A35" t="s">
        <v>7249</v>
      </c>
      <c r="B35" t="s">
        <v>4571</v>
      </c>
      <c r="C35">
        <v>34</v>
      </c>
      <c r="D35">
        <v>18</v>
      </c>
      <c r="E35">
        <v>23.69</v>
      </c>
    </row>
    <row r="36" spans="1:5" x14ac:dyDescent="0.25">
      <c r="A36" t="s">
        <v>7249</v>
      </c>
      <c r="B36" t="s">
        <v>4571</v>
      </c>
      <c r="C36">
        <v>35</v>
      </c>
      <c r="D36">
        <v>9</v>
      </c>
      <c r="E36">
        <v>18.21</v>
      </c>
    </row>
    <row r="37" spans="1:5" x14ac:dyDescent="0.25">
      <c r="A37" t="s">
        <v>7249</v>
      </c>
      <c r="B37" t="s">
        <v>4571</v>
      </c>
      <c r="C37">
        <v>36</v>
      </c>
      <c r="D37">
        <v>8</v>
      </c>
      <c r="E37">
        <v>22.7</v>
      </c>
    </row>
    <row r="38" spans="1:5" x14ac:dyDescent="0.25">
      <c r="A38" t="s">
        <v>7249</v>
      </c>
      <c r="B38" t="s">
        <v>4571</v>
      </c>
      <c r="C38">
        <v>37</v>
      </c>
      <c r="D38">
        <v>14</v>
      </c>
      <c r="E38">
        <v>18.13</v>
      </c>
    </row>
    <row r="39" spans="1:5" x14ac:dyDescent="0.25">
      <c r="A39" t="s">
        <v>7249</v>
      </c>
      <c r="B39" t="s">
        <v>4571</v>
      </c>
      <c r="C39">
        <v>38</v>
      </c>
      <c r="D39">
        <v>21</v>
      </c>
      <c r="E39">
        <v>24.59</v>
      </c>
    </row>
    <row r="40" spans="1:5" x14ac:dyDescent="0.25">
      <c r="A40" t="s">
        <v>7249</v>
      </c>
      <c r="B40" t="s">
        <v>4571</v>
      </c>
      <c r="C40">
        <v>39</v>
      </c>
      <c r="D40">
        <v>36</v>
      </c>
      <c r="E40">
        <v>21.17</v>
      </c>
    </row>
    <row r="41" spans="1:5" x14ac:dyDescent="0.25">
      <c r="A41" t="s">
        <v>7249</v>
      </c>
      <c r="B41" t="s">
        <v>4571</v>
      </c>
      <c r="C41">
        <v>40</v>
      </c>
      <c r="D41">
        <v>7</v>
      </c>
      <c r="E41">
        <v>14.65</v>
      </c>
    </row>
    <row r="42" spans="1:5" x14ac:dyDescent="0.25">
      <c r="A42" t="s">
        <v>7249</v>
      </c>
      <c r="B42" t="s">
        <v>4571</v>
      </c>
      <c r="C42">
        <v>41</v>
      </c>
      <c r="D42">
        <v>8</v>
      </c>
    </row>
    <row r="43" spans="1:5" x14ac:dyDescent="0.25">
      <c r="A43" t="s">
        <v>7249</v>
      </c>
      <c r="B43" t="s">
        <v>4571</v>
      </c>
      <c r="C43">
        <v>42</v>
      </c>
      <c r="D43">
        <v>8</v>
      </c>
    </row>
    <row r="44" spans="1:5" x14ac:dyDescent="0.25">
      <c r="A44" t="s">
        <v>7249</v>
      </c>
      <c r="B44" t="s">
        <v>4571</v>
      </c>
      <c r="C44">
        <v>43</v>
      </c>
      <c r="D44">
        <v>8</v>
      </c>
    </row>
    <row r="45" spans="1:5" x14ac:dyDescent="0.25">
      <c r="A45" t="s">
        <v>7249</v>
      </c>
      <c r="B45" t="s">
        <v>4571</v>
      </c>
      <c r="C45">
        <v>44</v>
      </c>
      <c r="D45">
        <v>8</v>
      </c>
    </row>
    <row r="46" spans="1:5" x14ac:dyDescent="0.25">
      <c r="A46" t="s">
        <v>7249</v>
      </c>
      <c r="B46" t="s">
        <v>4571</v>
      </c>
      <c r="C46">
        <v>45</v>
      </c>
      <c r="D46">
        <v>16</v>
      </c>
    </row>
    <row r="47" spans="1:5" x14ac:dyDescent="0.25">
      <c r="A47" t="s">
        <v>7249</v>
      </c>
      <c r="B47" t="s">
        <v>4571</v>
      </c>
      <c r="C47">
        <v>46</v>
      </c>
      <c r="D47">
        <v>6</v>
      </c>
    </row>
    <row r="48" spans="1:5" x14ac:dyDescent="0.25">
      <c r="A48" t="s">
        <v>7249</v>
      </c>
      <c r="B48" t="s">
        <v>4571</v>
      </c>
      <c r="C48">
        <v>47</v>
      </c>
      <c r="D48">
        <v>4</v>
      </c>
    </row>
    <row r="49" spans="1:6" x14ac:dyDescent="0.25">
      <c r="A49" t="s">
        <v>7250</v>
      </c>
      <c r="B49" t="s">
        <v>4503</v>
      </c>
      <c r="C49">
        <v>1</v>
      </c>
      <c r="D49">
        <v>6</v>
      </c>
      <c r="E49">
        <v>7.62</v>
      </c>
    </row>
    <row r="50" spans="1:6" x14ac:dyDescent="0.25">
      <c r="A50" t="s">
        <v>7250</v>
      </c>
      <c r="B50" t="s">
        <v>4503</v>
      </c>
      <c r="C50">
        <v>2</v>
      </c>
      <c r="D50">
        <v>2</v>
      </c>
      <c r="E50">
        <v>20.29</v>
      </c>
    </row>
    <row r="51" spans="1:6" x14ac:dyDescent="0.25">
      <c r="A51" t="s">
        <v>7250</v>
      </c>
      <c r="B51" t="s">
        <v>4503</v>
      </c>
      <c r="C51">
        <v>3</v>
      </c>
      <c r="D51">
        <v>3</v>
      </c>
      <c r="E51">
        <v>20.22</v>
      </c>
    </row>
    <row r="52" spans="1:6" x14ac:dyDescent="0.25">
      <c r="A52" t="s">
        <v>7250</v>
      </c>
      <c r="B52" t="s">
        <v>4503</v>
      </c>
      <c r="C52">
        <v>4</v>
      </c>
      <c r="D52">
        <v>2</v>
      </c>
      <c r="E52">
        <v>7.94</v>
      </c>
    </row>
    <row r="53" spans="1:6" x14ac:dyDescent="0.25">
      <c r="A53" t="s">
        <v>7250</v>
      </c>
      <c r="B53" t="s">
        <v>4503</v>
      </c>
      <c r="C53">
        <v>5</v>
      </c>
      <c r="D53">
        <v>3</v>
      </c>
      <c r="E53">
        <v>22.42</v>
      </c>
      <c r="F53" t="s">
        <v>8766</v>
      </c>
    </row>
    <row r="54" spans="1:6" x14ac:dyDescent="0.25">
      <c r="A54" t="s">
        <v>7250</v>
      </c>
      <c r="B54" t="s">
        <v>4503</v>
      </c>
      <c r="C54">
        <v>6</v>
      </c>
      <c r="D54">
        <v>3</v>
      </c>
      <c r="E54">
        <v>22.42</v>
      </c>
      <c r="F54" t="s">
        <v>8767</v>
      </c>
    </row>
    <row r="55" spans="1:6" x14ac:dyDescent="0.25">
      <c r="A55" t="s">
        <v>7250</v>
      </c>
      <c r="B55" t="s">
        <v>4503</v>
      </c>
      <c r="C55">
        <v>7</v>
      </c>
      <c r="D55">
        <v>9</v>
      </c>
      <c r="E55">
        <v>23.43</v>
      </c>
    </row>
    <row r="56" spans="1:6" x14ac:dyDescent="0.25">
      <c r="A56" t="s">
        <v>7250</v>
      </c>
      <c r="B56" t="s">
        <v>4503</v>
      </c>
      <c r="C56">
        <v>8</v>
      </c>
      <c r="D56">
        <v>17</v>
      </c>
      <c r="E56">
        <v>23.23</v>
      </c>
    </row>
    <row r="57" spans="1:6" x14ac:dyDescent="0.25">
      <c r="A57" t="s">
        <v>7250</v>
      </c>
      <c r="B57" t="s">
        <v>4503</v>
      </c>
      <c r="C57">
        <v>9</v>
      </c>
      <c r="D57">
        <v>23</v>
      </c>
      <c r="E57">
        <v>17.78</v>
      </c>
    </row>
    <row r="58" spans="1:6" x14ac:dyDescent="0.25">
      <c r="A58" t="s">
        <v>6765</v>
      </c>
      <c r="B58" t="s">
        <v>5084</v>
      </c>
      <c r="C58">
        <v>1</v>
      </c>
      <c r="D58">
        <v>7</v>
      </c>
      <c r="E58">
        <v>9.2799999999999994</v>
      </c>
    </row>
    <row r="59" spans="1:6" x14ac:dyDescent="0.25">
      <c r="A59" t="s">
        <v>7251</v>
      </c>
      <c r="B59" t="s">
        <v>4669</v>
      </c>
      <c r="C59">
        <v>1</v>
      </c>
      <c r="D59">
        <v>1</v>
      </c>
      <c r="E59">
        <v>24.99</v>
      </c>
    </row>
    <row r="60" spans="1:6" x14ac:dyDescent="0.25">
      <c r="A60" t="s">
        <v>7251</v>
      </c>
      <c r="B60" t="s">
        <v>4669</v>
      </c>
      <c r="C60">
        <v>2</v>
      </c>
      <c r="D60">
        <v>1</v>
      </c>
      <c r="E60">
        <v>24.99</v>
      </c>
    </row>
    <row r="61" spans="1:6" x14ac:dyDescent="0.25">
      <c r="A61" t="s">
        <v>7251</v>
      </c>
      <c r="B61" t="s">
        <v>4669</v>
      </c>
      <c r="C61">
        <v>3</v>
      </c>
      <c r="D61">
        <v>1</v>
      </c>
      <c r="E61">
        <v>24.99</v>
      </c>
    </row>
    <row r="62" spans="1:6" x14ac:dyDescent="0.25">
      <c r="A62" t="s">
        <v>7251</v>
      </c>
      <c r="B62" t="s">
        <v>4669</v>
      </c>
      <c r="C62">
        <v>4</v>
      </c>
      <c r="D62">
        <v>1</v>
      </c>
      <c r="E62">
        <v>24.99</v>
      </c>
    </row>
    <row r="63" spans="1:6" x14ac:dyDescent="0.25">
      <c r="A63" t="s">
        <v>7251</v>
      </c>
      <c r="B63" t="s">
        <v>4669</v>
      </c>
      <c r="C63">
        <v>5</v>
      </c>
      <c r="D63">
        <v>1</v>
      </c>
      <c r="E63">
        <v>24.99</v>
      </c>
    </row>
    <row r="64" spans="1:6" x14ac:dyDescent="0.25">
      <c r="A64" t="s">
        <v>7251</v>
      </c>
      <c r="B64" t="s">
        <v>4669</v>
      </c>
      <c r="C64">
        <v>6</v>
      </c>
      <c r="D64">
        <v>1</v>
      </c>
      <c r="E64">
        <v>24.99</v>
      </c>
    </row>
    <row r="65" spans="1:5" x14ac:dyDescent="0.25">
      <c r="A65" t="s">
        <v>7251</v>
      </c>
      <c r="B65" t="s">
        <v>4669</v>
      </c>
      <c r="C65">
        <v>7</v>
      </c>
      <c r="D65">
        <v>1</v>
      </c>
      <c r="E65">
        <v>24.99</v>
      </c>
    </row>
    <row r="66" spans="1:5" x14ac:dyDescent="0.25">
      <c r="A66" t="s">
        <v>7251</v>
      </c>
      <c r="B66" t="s">
        <v>4669</v>
      </c>
      <c r="C66">
        <v>8</v>
      </c>
      <c r="D66">
        <v>1</v>
      </c>
      <c r="E66">
        <v>24.99</v>
      </c>
    </row>
    <row r="67" spans="1:5" x14ac:dyDescent="0.25">
      <c r="A67" t="s">
        <v>7251</v>
      </c>
      <c r="B67" t="s">
        <v>4669</v>
      </c>
      <c r="C67">
        <v>9</v>
      </c>
      <c r="D67">
        <v>1</v>
      </c>
      <c r="E67">
        <v>24.99</v>
      </c>
    </row>
  </sheetData>
  <sortState xmlns:xlrd2="http://schemas.microsoft.com/office/spreadsheetml/2017/richdata2" ref="A2:F60">
    <sortCondition ref="A2"/>
    <sortCondition ref="B2"/>
    <sortCondition ref="C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3:D24"/>
  <sheetViews>
    <sheetView workbookViewId="0">
      <selection activeCell="C7" sqref="C7"/>
    </sheetView>
  </sheetViews>
  <sheetFormatPr baseColWidth="10" defaultRowHeight="15" x14ac:dyDescent="0.25"/>
  <cols>
    <col min="1" max="1" width="17.5703125" bestFit="1" customWidth="1"/>
    <col min="2" max="2" width="17" bestFit="1" customWidth="1"/>
    <col min="3" max="3" width="21.28515625" bestFit="1" customWidth="1"/>
    <col min="4" max="4" width="23.85546875" bestFit="1" customWidth="1"/>
  </cols>
  <sheetData>
    <row r="3" spans="1:4" x14ac:dyDescent="0.25">
      <c r="A3" s="57" t="s">
        <v>5275</v>
      </c>
      <c r="B3" t="s">
        <v>5277</v>
      </c>
      <c r="C3" t="s">
        <v>5278</v>
      </c>
      <c r="D3" t="s">
        <v>5279</v>
      </c>
    </row>
    <row r="4" spans="1:4" x14ac:dyDescent="0.25">
      <c r="A4" s="58" t="s">
        <v>5280</v>
      </c>
    </row>
    <row r="5" spans="1:4" x14ac:dyDescent="0.25">
      <c r="A5" s="58" t="s">
        <v>7249</v>
      </c>
      <c r="B5">
        <v>47</v>
      </c>
      <c r="C5">
        <v>364</v>
      </c>
      <c r="D5">
        <v>708.04000000000008</v>
      </c>
    </row>
    <row r="6" spans="1:4" x14ac:dyDescent="0.25">
      <c r="A6" s="58" t="s">
        <v>7250</v>
      </c>
      <c r="B6">
        <v>9</v>
      </c>
      <c r="C6">
        <v>68</v>
      </c>
      <c r="D6">
        <v>165.35</v>
      </c>
    </row>
    <row r="7" spans="1:4" x14ac:dyDescent="0.25">
      <c r="A7" s="58" t="s">
        <v>6765</v>
      </c>
      <c r="B7">
        <v>1</v>
      </c>
      <c r="C7">
        <v>7</v>
      </c>
      <c r="D7">
        <v>9.2799999999999994</v>
      </c>
    </row>
    <row r="8" spans="1:4" x14ac:dyDescent="0.25">
      <c r="A8" s="58" t="s">
        <v>7251</v>
      </c>
      <c r="B8">
        <v>9</v>
      </c>
      <c r="C8">
        <v>9</v>
      </c>
      <c r="D8">
        <v>224.91000000000003</v>
      </c>
    </row>
    <row r="9" spans="1:4" x14ac:dyDescent="0.25">
      <c r="A9" s="58" t="s">
        <v>5276</v>
      </c>
      <c r="B9">
        <v>47</v>
      </c>
      <c r="C9">
        <v>448</v>
      </c>
      <c r="D9">
        <v>1107.58</v>
      </c>
    </row>
    <row r="24" spans="1:2" x14ac:dyDescent="0.25">
      <c r="A24" t="s">
        <v>5241</v>
      </c>
      <c r="B24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B1:L10535"/>
  <sheetViews>
    <sheetView showGridLines="0" tabSelected="1" view="pageBreakPreview" topLeftCell="A80" zoomScaleNormal="100" zoomScaleSheetLayoutView="100" workbookViewId="0">
      <selection activeCell="F1" sqref="B1:F96"/>
    </sheetView>
  </sheetViews>
  <sheetFormatPr baseColWidth="10" defaultRowHeight="15" x14ac:dyDescent="0.25"/>
  <cols>
    <col min="1" max="1" width="0.85546875" customWidth="1"/>
    <col min="2" max="2" width="4.7109375" customWidth="1"/>
    <col min="3" max="3" width="6.7109375" customWidth="1"/>
    <col min="4" max="4" width="8.42578125" customWidth="1"/>
    <col min="5" max="5" width="8" customWidth="1"/>
    <col min="6" max="6" width="3.28515625" customWidth="1"/>
    <col min="9" max="9" width="6.7109375" customWidth="1"/>
    <col min="10" max="10" width="24.28515625" customWidth="1"/>
    <col min="11" max="12" width="13.5703125" bestFit="1" customWidth="1"/>
  </cols>
  <sheetData>
    <row r="1" spans="2:12" s="40" customFormat="1" ht="12" customHeight="1" x14ac:dyDescent="0.2">
      <c r="B1" s="68" t="str">
        <f>CONCATENATE("QR","-",D7," | P ",D8)</f>
        <v>QR-064-8374 | P 1 / 8</v>
      </c>
      <c r="C1" s="61"/>
      <c r="D1" s="61"/>
      <c r="E1" s="61"/>
      <c r="F1" s="62"/>
      <c r="G1" s="38"/>
      <c r="H1" s="39"/>
      <c r="I1" s="39"/>
      <c r="J1" s="39"/>
      <c r="K1" s="39"/>
      <c r="L1" s="39"/>
    </row>
    <row r="2" spans="2:12" s="40" customFormat="1" ht="12" customHeight="1" x14ac:dyDescent="0.2">
      <c r="B2" s="66"/>
      <c r="C2" s="64"/>
      <c r="D2" s="64"/>
      <c r="E2" s="64"/>
      <c r="F2" s="65"/>
      <c r="G2" s="38"/>
      <c r="I2" s="41"/>
      <c r="J2" s="41"/>
      <c r="K2" s="41"/>
      <c r="L2" s="41"/>
    </row>
    <row r="3" spans="2:12" s="40" customFormat="1" ht="12" customHeight="1" x14ac:dyDescent="0.2">
      <c r="B3" s="63"/>
      <c r="C3" s="64"/>
      <c r="D3" s="117" t="str">
        <f>+VLOOKUP($J$4,'BASE DE DATOS'!B:F,5,0)</f>
        <v>CONSTRUCCIONES SOLANA SAS</v>
      </c>
      <c r="E3" s="117"/>
      <c r="F3" s="118"/>
      <c r="G3" s="38"/>
      <c r="H3" s="42"/>
      <c r="I3" s="41"/>
      <c r="J3" s="67" t="s">
        <v>5150</v>
      </c>
      <c r="K3" s="60" t="s">
        <v>5170</v>
      </c>
      <c r="L3" s="41"/>
    </row>
    <row r="4" spans="2:12" s="40" customFormat="1" ht="20.25" customHeight="1" x14ac:dyDescent="0.2">
      <c r="B4" s="121"/>
      <c r="C4" s="122"/>
      <c r="D4" s="117"/>
      <c r="E4" s="117"/>
      <c r="F4" s="118"/>
      <c r="G4" s="38"/>
      <c r="H4" s="56"/>
      <c r="I4" s="59" t="s">
        <v>5168</v>
      </c>
      <c r="J4" s="90" t="s">
        <v>7251</v>
      </c>
      <c r="K4" s="59">
        <f>+VLOOKUP(J4,TD!A:B,2,0)</f>
        <v>9</v>
      </c>
    </row>
    <row r="5" spans="2:12" s="40" customFormat="1" ht="13.5" customHeight="1" thickBot="1" x14ac:dyDescent="0.25">
      <c r="B5" s="121"/>
      <c r="C5" s="122"/>
      <c r="D5" s="119"/>
      <c r="E5" s="119"/>
      <c r="F5" s="120"/>
      <c r="G5" s="38"/>
      <c r="I5" s="59" t="s">
        <v>5167</v>
      </c>
      <c r="J5" s="59" t="str">
        <f>+VLOOKUP(J4,'BASE DE DATOS'!B:C,2,0)</f>
        <v>700-33248</v>
      </c>
      <c r="K5" s="59"/>
    </row>
    <row r="6" spans="2:12" s="40" customFormat="1" ht="13.5" customHeight="1" thickTop="1" thickBot="1" x14ac:dyDescent="0.25">
      <c r="B6" s="110" t="s">
        <v>5151</v>
      </c>
      <c r="C6" s="111"/>
      <c r="D6" s="125" t="str">
        <f>+VLOOKUP($J$4,'BASE DE DATOS'!B:C,2,0)</f>
        <v>700-33248</v>
      </c>
      <c r="E6" s="125"/>
      <c r="F6" s="126"/>
      <c r="G6" s="38"/>
    </row>
    <row r="7" spans="2:12" s="40" customFormat="1" ht="13.5" customHeight="1" thickTop="1" thickBot="1" x14ac:dyDescent="0.25">
      <c r="B7" s="110" t="s">
        <v>5152</v>
      </c>
      <c r="C7" s="111"/>
      <c r="D7" s="125" t="str">
        <f>+$J$4</f>
        <v>064-8374</v>
      </c>
      <c r="E7" s="112"/>
      <c r="F7" s="113"/>
    </row>
    <row r="8" spans="2:12" s="40" customFormat="1" ht="13.5" customHeight="1" thickTop="1" thickBot="1" x14ac:dyDescent="0.25">
      <c r="B8" s="110" t="s">
        <v>5153</v>
      </c>
      <c r="C8" s="111"/>
      <c r="D8" s="123" t="s">
        <v>5330</v>
      </c>
      <c r="E8" s="123"/>
      <c r="F8" s="124"/>
      <c r="G8" s="38"/>
    </row>
    <row r="9" spans="2:12" s="40" customFormat="1" ht="13.5" customHeight="1" thickTop="1" thickBot="1" x14ac:dyDescent="0.25">
      <c r="B9" s="110" t="s">
        <v>5154</v>
      </c>
      <c r="C9" s="111"/>
      <c r="D9" s="112">
        <f>+SUMIFS('Resumen Paquetes'!D:D,'Resumen Paquetes'!A:A,STICKERS!D7:F7,'Resumen Paquetes'!C:C,LEFT(D8,FIND("/",D8)-1)*1)</f>
        <v>1</v>
      </c>
      <c r="E9" s="112"/>
      <c r="F9" s="113"/>
      <c r="G9" s="38"/>
    </row>
    <row r="10" spans="2:12" s="40" customFormat="1" ht="13.5" customHeight="1" thickTop="1" thickBot="1" x14ac:dyDescent="0.25">
      <c r="B10" s="110" t="s">
        <v>5155</v>
      </c>
      <c r="C10" s="111"/>
      <c r="D10" s="112" t="str">
        <f>+VLOOKUP($D$7,'BASE DE DATOS'!B:M,12,0)</f>
        <v>AGNEMLP236</v>
      </c>
      <c r="E10" s="112"/>
      <c r="F10" s="113"/>
      <c r="G10" s="38"/>
    </row>
    <row r="11" spans="2:12" s="40" customFormat="1" ht="13.5" customHeight="1" thickTop="1" thickBot="1" x14ac:dyDescent="0.25">
      <c r="B11" s="114" t="str">
        <f>+CONCATENATE("MADECENTRO"," MDS ",$J$3)</f>
        <v>MADECENTRO MDS PALMIRA</v>
      </c>
      <c r="C11" s="115"/>
      <c r="D11" s="115"/>
      <c r="E11" s="115"/>
      <c r="F11" s="116"/>
      <c r="G11" s="38"/>
    </row>
    <row r="12" spans="2:12" s="40" customFormat="1" ht="12" customHeight="1" x14ac:dyDescent="0.2">
      <c r="B12" s="43"/>
      <c r="C12" s="43"/>
      <c r="D12" s="43"/>
      <c r="E12" s="43"/>
      <c r="F12" s="43"/>
      <c r="G12" s="38"/>
      <c r="H12" s="39"/>
      <c r="I12" s="39"/>
      <c r="J12" s="39"/>
      <c r="K12" s="39"/>
      <c r="L12" s="39"/>
    </row>
    <row r="13" spans="2:12" ht="12" customHeight="1" thickBot="1" x14ac:dyDescent="0.3"/>
    <row r="14" spans="2:12" ht="12" customHeight="1" x14ac:dyDescent="0.25">
      <c r="B14" s="68" t="str">
        <f>CONCATENATE("QR","-",D20," | P ",D21)</f>
        <v>QR-064-8374 | P 2 / 8</v>
      </c>
      <c r="C14" s="61"/>
      <c r="D14" s="61"/>
      <c r="E14" s="61"/>
      <c r="F14" s="62"/>
    </row>
    <row r="15" spans="2:12" ht="12" customHeight="1" x14ac:dyDescent="0.25">
      <c r="B15" s="66"/>
      <c r="C15" s="64"/>
      <c r="D15" s="64"/>
      <c r="E15" s="64"/>
      <c r="F15" s="65"/>
    </row>
    <row r="16" spans="2:12" ht="20.25" customHeight="1" x14ac:dyDescent="0.25">
      <c r="B16" s="63"/>
      <c r="C16" s="64"/>
      <c r="D16" s="117" t="str">
        <f>+VLOOKUP($J$4,'BASE DE DATOS'!B:F,5,0)</f>
        <v>CONSTRUCCIONES SOLANA SAS</v>
      </c>
      <c r="E16" s="117"/>
      <c r="F16" s="118"/>
    </row>
    <row r="17" spans="2:6" ht="13.5" customHeight="1" x14ac:dyDescent="0.25">
      <c r="B17" s="121"/>
      <c r="C17" s="122"/>
      <c r="D17" s="117"/>
      <c r="E17" s="117"/>
      <c r="F17" s="118"/>
    </row>
    <row r="18" spans="2:6" ht="13.5" customHeight="1" thickBot="1" x14ac:dyDescent="0.3">
      <c r="B18" s="121"/>
      <c r="C18" s="122"/>
      <c r="D18" s="119"/>
      <c r="E18" s="119"/>
      <c r="F18" s="120"/>
    </row>
    <row r="19" spans="2:6" ht="13.5" customHeight="1" thickTop="1" thickBot="1" x14ac:dyDescent="0.3">
      <c r="B19" s="110" t="s">
        <v>5151</v>
      </c>
      <c r="C19" s="111"/>
      <c r="D19" s="125" t="str">
        <f>+VLOOKUP($J$4,'BASE DE DATOS'!B:C,2,0)</f>
        <v>700-33248</v>
      </c>
      <c r="E19" s="125"/>
      <c r="F19" s="126"/>
    </row>
    <row r="20" spans="2:6" ht="13.5" customHeight="1" thickTop="1" thickBot="1" x14ac:dyDescent="0.3">
      <c r="B20" s="110" t="s">
        <v>5152</v>
      </c>
      <c r="C20" s="111"/>
      <c r="D20" s="125" t="str">
        <f>+$J$4</f>
        <v>064-8374</v>
      </c>
      <c r="E20" s="112"/>
      <c r="F20" s="113"/>
    </row>
    <row r="21" spans="2:6" ht="13.5" customHeight="1" thickTop="1" thickBot="1" x14ac:dyDescent="0.3">
      <c r="B21" s="110" t="s">
        <v>5153</v>
      </c>
      <c r="C21" s="111"/>
      <c r="D21" s="123" t="s">
        <v>5331</v>
      </c>
      <c r="E21" s="123"/>
      <c r="F21" s="124"/>
    </row>
    <row r="22" spans="2:6" ht="13.5" customHeight="1" thickTop="1" thickBot="1" x14ac:dyDescent="0.3">
      <c r="B22" s="110" t="s">
        <v>5154</v>
      </c>
      <c r="C22" s="111"/>
      <c r="D22" s="112">
        <f>+SUMIFS('Resumen Paquetes'!D:D,'Resumen Paquetes'!A:A,STICKERS!D20:F20,'Resumen Paquetes'!C:C,LEFT(D21,FIND("/",D21)-1)*1)</f>
        <v>1</v>
      </c>
      <c r="E22" s="112"/>
      <c r="F22" s="113"/>
    </row>
    <row r="23" spans="2:6" ht="13.5" customHeight="1" thickTop="1" thickBot="1" x14ac:dyDescent="0.3">
      <c r="B23" s="110" t="s">
        <v>5155</v>
      </c>
      <c r="C23" s="111"/>
      <c r="D23" s="112" t="str">
        <f>+VLOOKUP($D$7,'BASE DE DATOS'!B:M,12,0)</f>
        <v>AGNEMLP236</v>
      </c>
      <c r="E23" s="112"/>
      <c r="F23" s="113"/>
    </row>
    <row r="24" spans="2:6" ht="12" customHeight="1" thickTop="1" thickBot="1" x14ac:dyDescent="0.3">
      <c r="B24" s="114" t="str">
        <f>+CONCATENATE("MADECENTRO"," MDS ",$J$3)</f>
        <v>MADECENTRO MDS PALMIRA</v>
      </c>
      <c r="C24" s="115"/>
      <c r="D24" s="115"/>
      <c r="E24" s="115"/>
      <c r="F24" s="116"/>
    </row>
    <row r="25" spans="2:6" ht="12" customHeight="1" x14ac:dyDescent="0.25">
      <c r="B25" s="68" t="str">
        <f>CONCATENATE("QR","-",D31," | P ",D32)</f>
        <v>QR-064-8374 | P 3 / 8</v>
      </c>
      <c r="C25" s="61"/>
      <c r="D25" s="61"/>
      <c r="E25" s="61"/>
      <c r="F25" s="62"/>
    </row>
    <row r="26" spans="2:6" ht="12" customHeight="1" x14ac:dyDescent="0.25">
      <c r="B26" s="66"/>
      <c r="C26" s="64"/>
      <c r="D26" s="64"/>
      <c r="E26" s="64"/>
      <c r="F26" s="65"/>
    </row>
    <row r="27" spans="2:6" ht="12" customHeight="1" x14ac:dyDescent="0.25">
      <c r="B27" s="63"/>
      <c r="C27" s="64"/>
      <c r="D27" s="117" t="str">
        <f>+VLOOKUP($J$4,'BASE DE DATOS'!B:F,5,0)</f>
        <v>CONSTRUCCIONES SOLANA SAS</v>
      </c>
      <c r="E27" s="117"/>
      <c r="F27" s="118"/>
    </row>
    <row r="28" spans="2:6" ht="20.25" customHeight="1" x14ac:dyDescent="0.25">
      <c r="B28" s="121"/>
      <c r="C28" s="122"/>
      <c r="D28" s="117"/>
      <c r="E28" s="117"/>
      <c r="F28" s="118"/>
    </row>
    <row r="29" spans="2:6" ht="13.5" customHeight="1" thickBot="1" x14ac:dyDescent="0.3">
      <c r="B29" s="121"/>
      <c r="C29" s="122"/>
      <c r="D29" s="119"/>
      <c r="E29" s="119"/>
      <c r="F29" s="120"/>
    </row>
    <row r="30" spans="2:6" ht="13.5" customHeight="1" thickTop="1" thickBot="1" x14ac:dyDescent="0.3">
      <c r="B30" s="110" t="s">
        <v>5151</v>
      </c>
      <c r="C30" s="111"/>
      <c r="D30" s="125" t="str">
        <f>+VLOOKUP($J$4,'BASE DE DATOS'!B:C,2,0)</f>
        <v>700-33248</v>
      </c>
      <c r="E30" s="125"/>
      <c r="F30" s="126"/>
    </row>
    <row r="31" spans="2:6" ht="13.5" customHeight="1" thickTop="1" thickBot="1" x14ac:dyDescent="0.3">
      <c r="B31" s="110" t="s">
        <v>5152</v>
      </c>
      <c r="C31" s="111"/>
      <c r="D31" s="125" t="str">
        <f>+$J$4</f>
        <v>064-8374</v>
      </c>
      <c r="E31" s="112"/>
      <c r="F31" s="113"/>
    </row>
    <row r="32" spans="2:6" ht="13.5" customHeight="1" thickTop="1" thickBot="1" x14ac:dyDescent="0.3">
      <c r="B32" s="110" t="s">
        <v>5153</v>
      </c>
      <c r="C32" s="111"/>
      <c r="D32" s="123" t="s">
        <v>5332</v>
      </c>
      <c r="E32" s="123"/>
      <c r="F32" s="124"/>
    </row>
    <row r="33" spans="2:6" ht="13.5" customHeight="1" thickTop="1" thickBot="1" x14ac:dyDescent="0.3">
      <c r="B33" s="110" t="s">
        <v>5154</v>
      </c>
      <c r="C33" s="111"/>
      <c r="D33" s="112">
        <f>+SUMIFS('Resumen Paquetes'!D:D,'Resumen Paquetes'!A:A,STICKERS!D31:F31,'Resumen Paquetes'!C:C,LEFT(D32,FIND("/",D32)-1)*1)</f>
        <v>1</v>
      </c>
      <c r="E33" s="112"/>
      <c r="F33" s="113"/>
    </row>
    <row r="34" spans="2:6" ht="13.5" customHeight="1" thickTop="1" thickBot="1" x14ac:dyDescent="0.3">
      <c r="B34" s="110" t="s">
        <v>5155</v>
      </c>
      <c r="C34" s="111"/>
      <c r="D34" s="112" t="str">
        <f>+VLOOKUP($D$7,'BASE DE DATOS'!B:M,12,0)</f>
        <v>AGNEMLP236</v>
      </c>
      <c r="E34" s="112"/>
      <c r="F34" s="113"/>
    </row>
    <row r="35" spans="2:6" ht="13.5" customHeight="1" thickTop="1" thickBot="1" x14ac:dyDescent="0.3">
      <c r="B35" s="114" t="str">
        <f>+CONCATENATE("MADECENTRO"," MDS ",$J$3)</f>
        <v>MADECENTRO MDS PALMIRA</v>
      </c>
      <c r="C35" s="115"/>
      <c r="D35" s="115"/>
      <c r="E35" s="115"/>
      <c r="F35" s="116"/>
    </row>
    <row r="36" spans="2:6" ht="12" customHeight="1" x14ac:dyDescent="0.25"/>
    <row r="37" spans="2:6" ht="12" customHeight="1" thickBot="1" x14ac:dyDescent="0.3"/>
    <row r="38" spans="2:6" ht="12" customHeight="1" x14ac:dyDescent="0.25">
      <c r="B38" s="68" t="str">
        <f>CONCATENATE("QR","-",D44," | P ",D45)</f>
        <v>QR-064-8374 | P 4 / 8</v>
      </c>
      <c r="C38" s="61"/>
      <c r="D38" s="61"/>
      <c r="E38" s="61"/>
      <c r="F38" s="62"/>
    </row>
    <row r="39" spans="2:6" ht="12" customHeight="1" x14ac:dyDescent="0.25">
      <c r="B39" s="66"/>
      <c r="C39" s="64"/>
      <c r="D39" s="64"/>
      <c r="E39" s="64"/>
      <c r="F39" s="65"/>
    </row>
    <row r="40" spans="2:6" ht="20.25" customHeight="1" x14ac:dyDescent="0.25">
      <c r="B40" s="63"/>
      <c r="C40" s="64"/>
      <c r="D40" s="117" t="str">
        <f>+VLOOKUP($J$4,'BASE DE DATOS'!B:F,5,0)</f>
        <v>CONSTRUCCIONES SOLANA SAS</v>
      </c>
      <c r="E40" s="117"/>
      <c r="F40" s="118"/>
    </row>
    <row r="41" spans="2:6" ht="13.5" customHeight="1" x14ac:dyDescent="0.25">
      <c r="B41" s="121"/>
      <c r="C41" s="122"/>
      <c r="D41" s="117"/>
      <c r="E41" s="117"/>
      <c r="F41" s="118"/>
    </row>
    <row r="42" spans="2:6" ht="13.5" customHeight="1" thickBot="1" x14ac:dyDescent="0.3">
      <c r="B42" s="121"/>
      <c r="C42" s="122"/>
      <c r="D42" s="119"/>
      <c r="E42" s="119"/>
      <c r="F42" s="120"/>
    </row>
    <row r="43" spans="2:6" ht="13.5" customHeight="1" thickTop="1" thickBot="1" x14ac:dyDescent="0.3">
      <c r="B43" s="110" t="s">
        <v>5151</v>
      </c>
      <c r="C43" s="111"/>
      <c r="D43" s="125" t="str">
        <f>+VLOOKUP($J$4,'BASE DE DATOS'!B:C,2,0)</f>
        <v>700-33248</v>
      </c>
      <c r="E43" s="125"/>
      <c r="F43" s="126"/>
    </row>
    <row r="44" spans="2:6" ht="13.5" customHeight="1" thickTop="1" thickBot="1" x14ac:dyDescent="0.3">
      <c r="B44" s="110" t="s">
        <v>5152</v>
      </c>
      <c r="C44" s="111"/>
      <c r="D44" s="125" t="str">
        <f>+$J$4</f>
        <v>064-8374</v>
      </c>
      <c r="E44" s="112"/>
      <c r="F44" s="113"/>
    </row>
    <row r="45" spans="2:6" ht="13.5" customHeight="1" thickTop="1" thickBot="1" x14ac:dyDescent="0.3">
      <c r="B45" s="110" t="s">
        <v>5153</v>
      </c>
      <c r="C45" s="111"/>
      <c r="D45" s="123" t="s">
        <v>5333</v>
      </c>
      <c r="E45" s="123"/>
      <c r="F45" s="124"/>
    </row>
    <row r="46" spans="2:6" ht="13.5" customHeight="1" thickTop="1" thickBot="1" x14ac:dyDescent="0.3">
      <c r="B46" s="110" t="s">
        <v>5154</v>
      </c>
      <c r="C46" s="111"/>
      <c r="D46" s="112">
        <f>+SUMIFS('Resumen Paquetes'!D:D,'Resumen Paquetes'!A:A,STICKERS!D44:F44,'Resumen Paquetes'!C:C,LEFT(D45,FIND("/",D45)-1)*1)</f>
        <v>1</v>
      </c>
      <c r="E46" s="112"/>
      <c r="F46" s="113"/>
    </row>
    <row r="47" spans="2:6" ht="13.5" customHeight="1" thickTop="1" thickBot="1" x14ac:dyDescent="0.3">
      <c r="B47" s="110" t="s">
        <v>5155</v>
      </c>
      <c r="C47" s="111"/>
      <c r="D47" s="112" t="str">
        <f>+VLOOKUP($D$7,'BASE DE DATOS'!B:M,12,0)</f>
        <v>AGNEMLP236</v>
      </c>
      <c r="E47" s="112"/>
      <c r="F47" s="113"/>
    </row>
    <row r="48" spans="2:6" ht="12" customHeight="1" thickTop="1" thickBot="1" x14ac:dyDescent="0.3">
      <c r="B48" s="114" t="str">
        <f>+CONCATENATE("MADECENTRO"," MDS ",$J$3)</f>
        <v>MADECENTRO MDS PALMIRA</v>
      </c>
      <c r="C48" s="115"/>
      <c r="D48" s="115"/>
      <c r="E48" s="115"/>
      <c r="F48" s="116"/>
    </row>
    <row r="49" spans="2:6" ht="12" customHeight="1" x14ac:dyDescent="0.25">
      <c r="B49" s="68" t="str">
        <f>CONCATENATE("QR","-",D55," | P ",D56)</f>
        <v>QR-064-8374 | P 5 / 8</v>
      </c>
      <c r="C49" s="61"/>
      <c r="D49" s="61"/>
      <c r="E49" s="61"/>
      <c r="F49" s="62"/>
    </row>
    <row r="50" spans="2:6" ht="12" customHeight="1" x14ac:dyDescent="0.25">
      <c r="B50" s="66"/>
      <c r="C50" s="64"/>
      <c r="D50" s="64"/>
      <c r="E50" s="64"/>
      <c r="F50" s="65"/>
    </row>
    <row r="51" spans="2:6" ht="12" customHeight="1" x14ac:dyDescent="0.25">
      <c r="B51" s="63"/>
      <c r="C51" s="64"/>
      <c r="D51" s="117" t="str">
        <f>+VLOOKUP($J$4,'BASE DE DATOS'!B:F,5,0)</f>
        <v>CONSTRUCCIONES SOLANA SAS</v>
      </c>
      <c r="E51" s="117"/>
      <c r="F51" s="118"/>
    </row>
    <row r="52" spans="2:6" ht="20.25" customHeight="1" x14ac:dyDescent="0.25">
      <c r="B52" s="121"/>
      <c r="C52" s="122"/>
      <c r="D52" s="117"/>
      <c r="E52" s="117"/>
      <c r="F52" s="118"/>
    </row>
    <row r="53" spans="2:6" ht="13.5" customHeight="1" thickBot="1" x14ac:dyDescent="0.3">
      <c r="B53" s="121"/>
      <c r="C53" s="122"/>
      <c r="D53" s="119"/>
      <c r="E53" s="119"/>
      <c r="F53" s="120"/>
    </row>
    <row r="54" spans="2:6" ht="13.5" customHeight="1" thickTop="1" thickBot="1" x14ac:dyDescent="0.3">
      <c r="B54" s="110" t="s">
        <v>5151</v>
      </c>
      <c r="C54" s="111"/>
      <c r="D54" s="125" t="str">
        <f>+VLOOKUP($J$4,'BASE DE DATOS'!B:C,2,0)</f>
        <v>700-33248</v>
      </c>
      <c r="E54" s="125"/>
      <c r="F54" s="126"/>
    </row>
    <row r="55" spans="2:6" ht="13.5" customHeight="1" thickTop="1" thickBot="1" x14ac:dyDescent="0.3">
      <c r="B55" s="110" t="s">
        <v>5152</v>
      </c>
      <c r="C55" s="111"/>
      <c r="D55" s="125" t="str">
        <f>+$J$4</f>
        <v>064-8374</v>
      </c>
      <c r="E55" s="112"/>
      <c r="F55" s="113"/>
    </row>
    <row r="56" spans="2:6" ht="13.5" customHeight="1" thickTop="1" thickBot="1" x14ac:dyDescent="0.3">
      <c r="B56" s="110" t="s">
        <v>5153</v>
      </c>
      <c r="C56" s="111"/>
      <c r="D56" s="123" t="s">
        <v>5334</v>
      </c>
      <c r="E56" s="123"/>
      <c r="F56" s="124"/>
    </row>
    <row r="57" spans="2:6" ht="13.5" customHeight="1" thickTop="1" thickBot="1" x14ac:dyDescent="0.3">
      <c r="B57" s="110" t="s">
        <v>5154</v>
      </c>
      <c r="C57" s="111"/>
      <c r="D57" s="112">
        <f>+SUMIFS('Resumen Paquetes'!D:D,'Resumen Paquetes'!A:A,STICKERS!D55:F55,'Resumen Paquetes'!C:C,LEFT(D56,FIND("/",D56)-1)*1)</f>
        <v>1</v>
      </c>
      <c r="E57" s="112"/>
      <c r="F57" s="113"/>
    </row>
    <row r="58" spans="2:6" ht="13.5" customHeight="1" thickTop="1" thickBot="1" x14ac:dyDescent="0.3">
      <c r="B58" s="110" t="s">
        <v>5155</v>
      </c>
      <c r="C58" s="111"/>
      <c r="D58" s="112" t="str">
        <f>+VLOOKUP($D$7,'BASE DE DATOS'!B:M,12,0)</f>
        <v>AGNEMLP236</v>
      </c>
      <c r="E58" s="112"/>
      <c r="F58" s="113"/>
    </row>
    <row r="59" spans="2:6" ht="13.5" customHeight="1" thickTop="1" thickBot="1" x14ac:dyDescent="0.3">
      <c r="B59" s="114" t="str">
        <f>+CONCATENATE("MADECENTRO"," MDS ",$J$3)</f>
        <v>MADECENTRO MDS PALMIRA</v>
      </c>
      <c r="C59" s="115"/>
      <c r="D59" s="115"/>
      <c r="E59" s="115"/>
      <c r="F59" s="116"/>
    </row>
    <row r="60" spans="2:6" ht="12" customHeight="1" x14ac:dyDescent="0.25"/>
    <row r="61" spans="2:6" ht="12" customHeight="1" thickBot="1" x14ac:dyDescent="0.3"/>
    <row r="62" spans="2:6" ht="12" customHeight="1" x14ac:dyDescent="0.25">
      <c r="B62" s="68" t="str">
        <f>CONCATENATE("QR","-",D68," | P ",D69)</f>
        <v>QR-064-8374 | P 6 / 8</v>
      </c>
      <c r="C62" s="61"/>
      <c r="D62" s="61"/>
      <c r="E62" s="61"/>
      <c r="F62" s="62"/>
    </row>
    <row r="63" spans="2:6" ht="12" customHeight="1" x14ac:dyDescent="0.25">
      <c r="B63" s="66"/>
      <c r="C63" s="64"/>
      <c r="D63" s="64"/>
      <c r="E63" s="64"/>
      <c r="F63" s="65"/>
    </row>
    <row r="64" spans="2:6" ht="20.25" customHeight="1" x14ac:dyDescent="0.25">
      <c r="B64" s="63"/>
      <c r="C64" s="64"/>
      <c r="D64" s="117" t="str">
        <f>+VLOOKUP($J$4,'BASE DE DATOS'!B:F,5,0)</f>
        <v>CONSTRUCCIONES SOLANA SAS</v>
      </c>
      <c r="E64" s="117"/>
      <c r="F64" s="118"/>
    </row>
    <row r="65" spans="2:6" ht="13.5" customHeight="1" x14ac:dyDescent="0.25">
      <c r="B65" s="121"/>
      <c r="C65" s="122"/>
      <c r="D65" s="117"/>
      <c r="E65" s="117"/>
      <c r="F65" s="118"/>
    </row>
    <row r="66" spans="2:6" ht="13.5" customHeight="1" thickBot="1" x14ac:dyDescent="0.3">
      <c r="B66" s="121"/>
      <c r="C66" s="122"/>
      <c r="D66" s="119"/>
      <c r="E66" s="119"/>
      <c r="F66" s="120"/>
    </row>
    <row r="67" spans="2:6" ht="13.5" customHeight="1" thickTop="1" thickBot="1" x14ac:dyDescent="0.3">
      <c r="B67" s="110" t="s">
        <v>5151</v>
      </c>
      <c r="C67" s="111"/>
      <c r="D67" s="125" t="str">
        <f>+VLOOKUP($J$4,'BASE DE DATOS'!B:C,2,0)</f>
        <v>700-33248</v>
      </c>
      <c r="E67" s="125"/>
      <c r="F67" s="126"/>
    </row>
    <row r="68" spans="2:6" ht="13.5" customHeight="1" thickTop="1" thickBot="1" x14ac:dyDescent="0.3">
      <c r="B68" s="110" t="s">
        <v>5152</v>
      </c>
      <c r="C68" s="111"/>
      <c r="D68" s="125" t="str">
        <f>+$J$4</f>
        <v>064-8374</v>
      </c>
      <c r="E68" s="112"/>
      <c r="F68" s="113"/>
    </row>
    <row r="69" spans="2:6" ht="13.5" customHeight="1" thickTop="1" thickBot="1" x14ac:dyDescent="0.3">
      <c r="B69" s="110" t="s">
        <v>5153</v>
      </c>
      <c r="C69" s="111"/>
      <c r="D69" s="123" t="s">
        <v>5335</v>
      </c>
      <c r="E69" s="123"/>
      <c r="F69" s="124"/>
    </row>
    <row r="70" spans="2:6" ht="13.5" customHeight="1" thickTop="1" thickBot="1" x14ac:dyDescent="0.3">
      <c r="B70" s="110" t="s">
        <v>5154</v>
      </c>
      <c r="C70" s="111"/>
      <c r="D70" s="112">
        <f>+SUMIFS('Resumen Paquetes'!D:D,'Resumen Paquetes'!A:A,STICKERS!D68:F68,'Resumen Paquetes'!C:C,LEFT(D69,FIND("/",D69)-1)*1)</f>
        <v>1</v>
      </c>
      <c r="E70" s="112"/>
      <c r="F70" s="113"/>
    </row>
    <row r="71" spans="2:6" ht="13.5" customHeight="1" thickTop="1" thickBot="1" x14ac:dyDescent="0.3">
      <c r="B71" s="110" t="s">
        <v>5155</v>
      </c>
      <c r="C71" s="111"/>
      <c r="D71" s="112" t="str">
        <f>+VLOOKUP($D$7,'BASE DE DATOS'!B:M,12,0)</f>
        <v>AGNEMLP236</v>
      </c>
      <c r="E71" s="112"/>
      <c r="F71" s="113"/>
    </row>
    <row r="72" spans="2:6" ht="12" customHeight="1" thickTop="1" thickBot="1" x14ac:dyDescent="0.3">
      <c r="B72" s="114" t="str">
        <f>+CONCATENATE("MADECENTRO"," MDS ",$J$3)</f>
        <v>MADECENTRO MDS PALMIRA</v>
      </c>
      <c r="C72" s="115"/>
      <c r="D72" s="115"/>
      <c r="E72" s="115"/>
      <c r="F72" s="116"/>
    </row>
    <row r="73" spans="2:6" ht="12" customHeight="1" x14ac:dyDescent="0.25">
      <c r="B73" s="68" t="str">
        <f>CONCATENATE("QR","-",D79," | P ",D80)</f>
        <v>QR-064-8374 | P 7 / 8</v>
      </c>
      <c r="C73" s="61"/>
      <c r="D73" s="61"/>
      <c r="E73" s="61"/>
      <c r="F73" s="62"/>
    </row>
    <row r="74" spans="2:6" ht="12" customHeight="1" x14ac:dyDescent="0.25">
      <c r="B74" s="66"/>
      <c r="C74" s="64"/>
      <c r="D74" s="64"/>
      <c r="E74" s="64"/>
      <c r="F74" s="65"/>
    </row>
    <row r="75" spans="2:6" ht="12" customHeight="1" x14ac:dyDescent="0.25">
      <c r="B75" s="63"/>
      <c r="C75" s="64"/>
      <c r="D75" s="117" t="str">
        <f>+VLOOKUP($J$4,'BASE DE DATOS'!B:F,5,0)</f>
        <v>CONSTRUCCIONES SOLANA SAS</v>
      </c>
      <c r="E75" s="117"/>
      <c r="F75" s="118"/>
    </row>
    <row r="76" spans="2:6" ht="20.25" customHeight="1" x14ac:dyDescent="0.25">
      <c r="B76" s="121"/>
      <c r="C76" s="122"/>
      <c r="D76" s="117"/>
      <c r="E76" s="117"/>
      <c r="F76" s="118"/>
    </row>
    <row r="77" spans="2:6" ht="13.5" customHeight="1" thickBot="1" x14ac:dyDescent="0.3">
      <c r="B77" s="121"/>
      <c r="C77" s="122"/>
      <c r="D77" s="119"/>
      <c r="E77" s="119"/>
      <c r="F77" s="120"/>
    </row>
    <row r="78" spans="2:6" ht="13.5" customHeight="1" thickTop="1" thickBot="1" x14ac:dyDescent="0.3">
      <c r="B78" s="110" t="s">
        <v>5151</v>
      </c>
      <c r="C78" s="111"/>
      <c r="D78" s="125" t="str">
        <f>+VLOOKUP($J$4,'BASE DE DATOS'!B:C,2,0)</f>
        <v>700-33248</v>
      </c>
      <c r="E78" s="125"/>
      <c r="F78" s="126"/>
    </row>
    <row r="79" spans="2:6" ht="13.5" customHeight="1" thickTop="1" thickBot="1" x14ac:dyDescent="0.3">
      <c r="B79" s="110" t="s">
        <v>5152</v>
      </c>
      <c r="C79" s="111"/>
      <c r="D79" s="125" t="str">
        <f>+$J$4</f>
        <v>064-8374</v>
      </c>
      <c r="E79" s="112"/>
      <c r="F79" s="113"/>
    </row>
    <row r="80" spans="2:6" ht="13.5" customHeight="1" thickTop="1" thickBot="1" x14ac:dyDescent="0.3">
      <c r="B80" s="110" t="s">
        <v>5153</v>
      </c>
      <c r="C80" s="111"/>
      <c r="D80" s="123" t="s">
        <v>5336</v>
      </c>
      <c r="E80" s="123"/>
      <c r="F80" s="124"/>
    </row>
    <row r="81" spans="2:6" ht="13.5" customHeight="1" thickTop="1" thickBot="1" x14ac:dyDescent="0.3">
      <c r="B81" s="110" t="s">
        <v>5154</v>
      </c>
      <c r="C81" s="111"/>
      <c r="D81" s="112">
        <f>+SUMIFS('Resumen Paquetes'!D:D,'Resumen Paquetes'!A:A,STICKERS!D79:F79,'Resumen Paquetes'!C:C,LEFT(D80,FIND("/",D80)-1)*1)</f>
        <v>1</v>
      </c>
      <c r="E81" s="112"/>
      <c r="F81" s="113"/>
    </row>
    <row r="82" spans="2:6" ht="13.5" customHeight="1" thickTop="1" thickBot="1" x14ac:dyDescent="0.3">
      <c r="B82" s="110" t="s">
        <v>5155</v>
      </c>
      <c r="C82" s="111"/>
      <c r="D82" s="112" t="str">
        <f>+VLOOKUP($D$7,'BASE DE DATOS'!B:M,12,0)</f>
        <v>AGNEMLP236</v>
      </c>
      <c r="E82" s="112"/>
      <c r="F82" s="113"/>
    </row>
    <row r="83" spans="2:6" ht="13.5" customHeight="1" thickTop="1" thickBot="1" x14ac:dyDescent="0.3">
      <c r="B83" s="114" t="str">
        <f>+CONCATENATE("MADECENTRO"," MDS ",$J$3)</f>
        <v>MADECENTRO MDS PALMIRA</v>
      </c>
      <c r="C83" s="115"/>
      <c r="D83" s="115"/>
      <c r="E83" s="115"/>
      <c r="F83" s="116"/>
    </row>
    <row r="84" spans="2:6" ht="12" customHeight="1" x14ac:dyDescent="0.25"/>
    <row r="85" spans="2:6" ht="12" customHeight="1" thickBot="1" x14ac:dyDescent="0.3"/>
    <row r="86" spans="2:6" ht="12" customHeight="1" x14ac:dyDescent="0.25">
      <c r="B86" s="68" t="str">
        <f>CONCATENATE("QR","-",D92," | P ",D93)</f>
        <v>QR-064-8374 | P 8 / 8</v>
      </c>
      <c r="C86" s="61"/>
      <c r="D86" s="61"/>
      <c r="E86" s="61"/>
      <c r="F86" s="62"/>
    </row>
    <row r="87" spans="2:6" ht="12" customHeight="1" x14ac:dyDescent="0.25">
      <c r="B87" s="66"/>
      <c r="C87" s="64"/>
      <c r="D87" s="64"/>
      <c r="E87" s="64"/>
      <c r="F87" s="65"/>
    </row>
    <row r="88" spans="2:6" ht="20.25" customHeight="1" x14ac:dyDescent="0.25">
      <c r="B88" s="63"/>
      <c r="C88" s="64"/>
      <c r="D88" s="117" t="str">
        <f>+VLOOKUP($J$4,'BASE DE DATOS'!B:F,5,0)</f>
        <v>CONSTRUCCIONES SOLANA SAS</v>
      </c>
      <c r="E88" s="117"/>
      <c r="F88" s="118"/>
    </row>
    <row r="89" spans="2:6" ht="13.5" customHeight="1" x14ac:dyDescent="0.25">
      <c r="B89" s="121"/>
      <c r="C89" s="122"/>
      <c r="D89" s="117"/>
      <c r="E89" s="117"/>
      <c r="F89" s="118"/>
    </row>
    <row r="90" spans="2:6" ht="13.5" customHeight="1" thickBot="1" x14ac:dyDescent="0.3">
      <c r="B90" s="121"/>
      <c r="C90" s="122"/>
      <c r="D90" s="119"/>
      <c r="E90" s="119"/>
      <c r="F90" s="120"/>
    </row>
    <row r="91" spans="2:6" ht="13.5" customHeight="1" thickTop="1" thickBot="1" x14ac:dyDescent="0.3">
      <c r="B91" s="110" t="s">
        <v>5151</v>
      </c>
      <c r="C91" s="111"/>
      <c r="D91" s="125" t="str">
        <f>+VLOOKUP($J$4,'BASE DE DATOS'!B:C,2,0)</f>
        <v>700-33248</v>
      </c>
      <c r="E91" s="125"/>
      <c r="F91" s="126"/>
    </row>
    <row r="92" spans="2:6" ht="13.5" customHeight="1" thickTop="1" thickBot="1" x14ac:dyDescent="0.3">
      <c r="B92" s="110" t="s">
        <v>5152</v>
      </c>
      <c r="C92" s="111"/>
      <c r="D92" s="125" t="str">
        <f>+$J$4</f>
        <v>064-8374</v>
      </c>
      <c r="E92" s="112"/>
      <c r="F92" s="113"/>
    </row>
    <row r="93" spans="2:6" ht="13.5" customHeight="1" thickTop="1" thickBot="1" x14ac:dyDescent="0.3">
      <c r="B93" s="110" t="s">
        <v>5153</v>
      </c>
      <c r="C93" s="111"/>
      <c r="D93" s="123" t="s">
        <v>5337</v>
      </c>
      <c r="E93" s="123"/>
      <c r="F93" s="124"/>
    </row>
    <row r="94" spans="2:6" ht="13.5" customHeight="1" thickTop="1" thickBot="1" x14ac:dyDescent="0.3">
      <c r="B94" s="110" t="s">
        <v>5154</v>
      </c>
      <c r="C94" s="111"/>
      <c r="D94" s="112">
        <f>+SUMIFS('Resumen Paquetes'!D:D,'Resumen Paquetes'!A:A,STICKERS!D92:F92,'Resumen Paquetes'!C:C,LEFT(D93,FIND("/",D93)-1)*1)</f>
        <v>1</v>
      </c>
      <c r="E94" s="112"/>
      <c r="F94" s="113"/>
    </row>
    <row r="95" spans="2:6" ht="13.5" customHeight="1" thickTop="1" thickBot="1" x14ac:dyDescent="0.3">
      <c r="B95" s="110" t="s">
        <v>5155</v>
      </c>
      <c r="C95" s="111"/>
      <c r="D95" s="112" t="str">
        <f>+VLOOKUP($D$7,'BASE DE DATOS'!B:M,12,0)</f>
        <v>AGNEMLP236</v>
      </c>
      <c r="E95" s="112"/>
      <c r="F95" s="113"/>
    </row>
    <row r="96" spans="2:6" ht="12" customHeight="1" thickTop="1" thickBot="1" x14ac:dyDescent="0.3">
      <c r="B96" s="114" t="str">
        <f>+CONCATENATE("MADECENTRO"," MDS ",$J$3)</f>
        <v>MADECENTRO MDS PALMIRA</v>
      </c>
      <c r="C96" s="115"/>
      <c r="D96" s="115"/>
      <c r="E96" s="115"/>
      <c r="F96" s="116"/>
    </row>
    <row r="97" ht="12" customHeight="1" x14ac:dyDescent="0.25"/>
    <row r="98" ht="12" customHeight="1" x14ac:dyDescent="0.25"/>
    <row r="99" ht="12" customHeight="1" x14ac:dyDescent="0.25"/>
    <row r="100" ht="20.2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2" customHeight="1" x14ac:dyDescent="0.25"/>
    <row r="109" ht="12" customHeight="1" x14ac:dyDescent="0.25"/>
    <row r="110" ht="12" customHeight="1" x14ac:dyDescent="0.25"/>
    <row r="111" ht="12" customHeight="1" x14ac:dyDescent="0.25"/>
    <row r="112" ht="20.2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2" customHeight="1" x14ac:dyDescent="0.25"/>
    <row r="121" ht="12" customHeight="1" x14ac:dyDescent="0.25"/>
    <row r="122" ht="12" customHeight="1" x14ac:dyDescent="0.25"/>
    <row r="123" ht="12" customHeight="1" x14ac:dyDescent="0.25"/>
    <row r="124" ht="20.2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2" customHeight="1" x14ac:dyDescent="0.25"/>
    <row r="133" ht="12" customHeight="1" x14ac:dyDescent="0.25"/>
    <row r="134" ht="12" customHeight="1" x14ac:dyDescent="0.25"/>
    <row r="135" ht="12" customHeight="1" x14ac:dyDescent="0.25"/>
    <row r="136" ht="20.2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2" customHeight="1" x14ac:dyDescent="0.25"/>
    <row r="145" ht="12" customHeight="1" x14ac:dyDescent="0.25"/>
    <row r="146" ht="12" customHeight="1" x14ac:dyDescent="0.25"/>
    <row r="147" ht="12" customHeight="1" x14ac:dyDescent="0.25"/>
    <row r="148" ht="20.2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2" customHeight="1" x14ac:dyDescent="0.25"/>
    <row r="157" ht="12" customHeight="1" x14ac:dyDescent="0.25"/>
    <row r="158" ht="12" customHeight="1" x14ac:dyDescent="0.25"/>
    <row r="159" ht="12" customHeight="1" x14ac:dyDescent="0.25"/>
    <row r="160" ht="20.2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2" customHeight="1" x14ac:dyDescent="0.25"/>
    <row r="169" ht="12" customHeight="1" x14ac:dyDescent="0.25"/>
    <row r="170" ht="12" customHeight="1" x14ac:dyDescent="0.25"/>
    <row r="171" ht="12" customHeight="1" x14ac:dyDescent="0.25"/>
    <row r="172" ht="20.2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2" customHeight="1" x14ac:dyDescent="0.25"/>
    <row r="181" ht="12" customHeight="1" x14ac:dyDescent="0.25"/>
    <row r="182" ht="12" customHeight="1" x14ac:dyDescent="0.25"/>
    <row r="183" ht="12" customHeight="1" x14ac:dyDescent="0.25"/>
    <row r="184" ht="20.2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2" customHeight="1" x14ac:dyDescent="0.25"/>
    <row r="193" ht="12" customHeight="1" x14ac:dyDescent="0.25"/>
    <row r="194" ht="12" customHeight="1" x14ac:dyDescent="0.25"/>
    <row r="195" ht="12" customHeight="1" x14ac:dyDescent="0.25"/>
    <row r="196" ht="20.2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2" customHeight="1" x14ac:dyDescent="0.25"/>
    <row r="205" ht="12" customHeight="1" x14ac:dyDescent="0.25"/>
    <row r="206" ht="12" customHeight="1" x14ac:dyDescent="0.25"/>
    <row r="207" ht="12" customHeight="1" x14ac:dyDescent="0.25"/>
    <row r="208" ht="20.2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2" customHeight="1" x14ac:dyDescent="0.25"/>
    <row r="217" ht="12" customHeight="1" x14ac:dyDescent="0.25"/>
    <row r="218" ht="12" customHeight="1" x14ac:dyDescent="0.25"/>
    <row r="219" ht="12" customHeight="1" x14ac:dyDescent="0.25"/>
    <row r="220" ht="20.2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2" customHeight="1" x14ac:dyDescent="0.25"/>
    <row r="229" ht="12" customHeight="1" x14ac:dyDescent="0.25"/>
    <row r="230" ht="12" customHeight="1" x14ac:dyDescent="0.25"/>
    <row r="231" ht="12" customHeight="1" x14ac:dyDescent="0.25"/>
    <row r="232" ht="20.2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2" customHeight="1" x14ac:dyDescent="0.25"/>
    <row r="241" ht="12" customHeight="1" x14ac:dyDescent="0.25"/>
    <row r="242" ht="12" customHeight="1" x14ac:dyDescent="0.25"/>
    <row r="243" ht="12" customHeight="1" x14ac:dyDescent="0.25"/>
    <row r="244" ht="20.2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2" customHeight="1" x14ac:dyDescent="0.25"/>
    <row r="253" ht="12" customHeight="1" x14ac:dyDescent="0.25"/>
    <row r="254" ht="12" customHeight="1" x14ac:dyDescent="0.25"/>
    <row r="255" ht="12" customHeight="1" x14ac:dyDescent="0.25"/>
    <row r="256" ht="20.2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2" customHeight="1" x14ac:dyDescent="0.25"/>
    <row r="265" ht="12" customHeight="1" x14ac:dyDescent="0.25"/>
    <row r="266" ht="12" customHeight="1" x14ac:dyDescent="0.25"/>
    <row r="267" ht="12" customHeight="1" x14ac:dyDescent="0.25"/>
    <row r="268" ht="20.2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20.2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20.2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20.2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20.2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20.2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20.2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20.2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20.2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20.2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20.2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20.2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20.2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20.2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20.2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20.2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20.2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20.2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20.2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20.2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20.2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20.2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20.2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20.2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20.2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20.2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20.2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20.2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20.2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20.2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20.2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20.2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20.2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20.2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20.2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20.2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20.2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20.2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20.2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20.2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20.2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20.2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20.2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20.2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20.2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20.2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20.2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20.2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20.2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20.2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20.2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20.2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20.2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20.2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20.2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20.2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20.2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20.2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20.2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20.2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20.2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20.2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20.2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20.2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20.2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20.25" customHeight="1" x14ac:dyDescent="0.25"/>
    <row r="1049" ht="13.5" customHeight="1" x14ac:dyDescent="0.25"/>
    <row r="1050" ht="13.5" customHeight="1" x14ac:dyDescent="0.25"/>
    <row r="1051" ht="13.5" customHeight="1" x14ac:dyDescent="0.25"/>
    <row r="1052" ht="13.5" customHeight="1" x14ac:dyDescent="0.25"/>
    <row r="1053" ht="13.5" customHeight="1" x14ac:dyDescent="0.25"/>
    <row r="1054" ht="13.5" customHeight="1" x14ac:dyDescent="0.25"/>
    <row r="1055" ht="13.5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20.25" customHeight="1" x14ac:dyDescent="0.25"/>
    <row r="1061" ht="13.5" customHeight="1" x14ac:dyDescent="0.25"/>
    <row r="1062" ht="13.5" customHeight="1" x14ac:dyDescent="0.25"/>
    <row r="1063" ht="13.5" customHeight="1" x14ac:dyDescent="0.25"/>
    <row r="1064" ht="13.5" customHeight="1" x14ac:dyDescent="0.25"/>
    <row r="1065" ht="13.5" customHeight="1" x14ac:dyDescent="0.25"/>
    <row r="1066" ht="13.5" customHeight="1" x14ac:dyDescent="0.25"/>
    <row r="1067" ht="13.5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20.25" customHeight="1" x14ac:dyDescent="0.25"/>
    <row r="1073" ht="13.5" customHeight="1" x14ac:dyDescent="0.25"/>
    <row r="1074" ht="13.5" customHeight="1" x14ac:dyDescent="0.25"/>
    <row r="1075" ht="13.5" customHeight="1" x14ac:dyDescent="0.25"/>
    <row r="1076" ht="13.5" customHeight="1" x14ac:dyDescent="0.25"/>
    <row r="1077" ht="13.5" customHeight="1" x14ac:dyDescent="0.25"/>
    <row r="1078" ht="13.5" customHeight="1" x14ac:dyDescent="0.25"/>
    <row r="1079" ht="13.5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20.25" customHeight="1" x14ac:dyDescent="0.25"/>
    <row r="1085" ht="13.5" customHeight="1" x14ac:dyDescent="0.25"/>
    <row r="1086" ht="13.5" customHeight="1" x14ac:dyDescent="0.25"/>
    <row r="1087" ht="13.5" customHeight="1" x14ac:dyDescent="0.25"/>
    <row r="1088" ht="13.5" customHeight="1" x14ac:dyDescent="0.25"/>
    <row r="1089" ht="13.5" customHeight="1" x14ac:dyDescent="0.25"/>
    <row r="1090" ht="13.5" customHeight="1" x14ac:dyDescent="0.25"/>
    <row r="1091" ht="13.5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20.25" customHeight="1" x14ac:dyDescent="0.25"/>
    <row r="1097" ht="13.5" customHeight="1" x14ac:dyDescent="0.25"/>
    <row r="1098" ht="13.5" customHeight="1" x14ac:dyDescent="0.25"/>
    <row r="1099" ht="13.5" customHeight="1" x14ac:dyDescent="0.25"/>
    <row r="1100" ht="13.5" customHeight="1" x14ac:dyDescent="0.25"/>
    <row r="1101" ht="13.5" customHeight="1" x14ac:dyDescent="0.25"/>
    <row r="1102" ht="13.5" customHeight="1" x14ac:dyDescent="0.25"/>
    <row r="1103" ht="13.5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20.25" customHeight="1" x14ac:dyDescent="0.25"/>
    <row r="1109" ht="13.5" customHeight="1" x14ac:dyDescent="0.25"/>
    <row r="1110" ht="13.5" customHeight="1" x14ac:dyDescent="0.25"/>
    <row r="1111" ht="13.5" customHeight="1" x14ac:dyDescent="0.25"/>
    <row r="1112" ht="13.5" customHeight="1" x14ac:dyDescent="0.25"/>
    <row r="1113" ht="13.5" customHeight="1" x14ac:dyDescent="0.25"/>
    <row r="1114" ht="13.5" customHeight="1" x14ac:dyDescent="0.25"/>
    <row r="1115" ht="13.5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20.25" customHeight="1" x14ac:dyDescent="0.25"/>
    <row r="1121" ht="13.5" customHeight="1" x14ac:dyDescent="0.25"/>
    <row r="1122" ht="13.5" customHeight="1" x14ac:dyDescent="0.25"/>
    <row r="1123" ht="13.5" customHeight="1" x14ac:dyDescent="0.25"/>
    <row r="1124" ht="13.5" customHeight="1" x14ac:dyDescent="0.25"/>
    <row r="1125" ht="13.5" customHeight="1" x14ac:dyDescent="0.25"/>
    <row r="1126" ht="13.5" customHeight="1" x14ac:dyDescent="0.25"/>
    <row r="1127" ht="13.5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20.25" customHeight="1" x14ac:dyDescent="0.25"/>
    <row r="1133" ht="13.5" customHeight="1" x14ac:dyDescent="0.25"/>
    <row r="1134" ht="13.5" customHeight="1" x14ac:dyDescent="0.25"/>
    <row r="1135" ht="13.5" customHeight="1" x14ac:dyDescent="0.25"/>
    <row r="1136" ht="13.5" customHeight="1" x14ac:dyDescent="0.25"/>
    <row r="1137" ht="13.5" customHeight="1" x14ac:dyDescent="0.25"/>
    <row r="1138" ht="13.5" customHeight="1" x14ac:dyDescent="0.25"/>
    <row r="1139" ht="13.5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20.25" customHeight="1" x14ac:dyDescent="0.25"/>
    <row r="1145" ht="13.5" customHeight="1" x14ac:dyDescent="0.25"/>
    <row r="1146" ht="13.5" customHeight="1" x14ac:dyDescent="0.25"/>
    <row r="1147" ht="13.5" customHeight="1" x14ac:dyDescent="0.25"/>
    <row r="1148" ht="13.5" customHeight="1" x14ac:dyDescent="0.25"/>
    <row r="1149" ht="13.5" customHeight="1" x14ac:dyDescent="0.25"/>
    <row r="1150" ht="13.5" customHeight="1" x14ac:dyDescent="0.25"/>
    <row r="1151" ht="13.5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20.25" customHeight="1" x14ac:dyDescent="0.25"/>
    <row r="1157" ht="13.5" customHeight="1" x14ac:dyDescent="0.25"/>
    <row r="1158" ht="13.5" customHeight="1" x14ac:dyDescent="0.25"/>
    <row r="1159" ht="13.5" customHeight="1" x14ac:dyDescent="0.25"/>
    <row r="1160" ht="13.5" customHeight="1" x14ac:dyDescent="0.25"/>
    <row r="1161" ht="13.5" customHeight="1" x14ac:dyDescent="0.25"/>
    <row r="1162" ht="13.5" customHeight="1" x14ac:dyDescent="0.25"/>
    <row r="1163" ht="13.5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20.25" customHeight="1" x14ac:dyDescent="0.25"/>
    <row r="1169" ht="13.5" customHeight="1" x14ac:dyDescent="0.25"/>
    <row r="1170" ht="13.5" customHeight="1" x14ac:dyDescent="0.25"/>
    <row r="1171" ht="13.5" customHeight="1" x14ac:dyDescent="0.25"/>
    <row r="1172" ht="13.5" customHeight="1" x14ac:dyDescent="0.25"/>
    <row r="1173" ht="13.5" customHeight="1" x14ac:dyDescent="0.25"/>
    <row r="1174" ht="13.5" customHeight="1" x14ac:dyDescent="0.25"/>
    <row r="1175" ht="13.5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20.25" customHeight="1" x14ac:dyDescent="0.25"/>
    <row r="1181" ht="13.5" customHeight="1" x14ac:dyDescent="0.25"/>
    <row r="1182" ht="13.5" customHeight="1" x14ac:dyDescent="0.25"/>
    <row r="1183" ht="13.5" customHeight="1" x14ac:dyDescent="0.25"/>
    <row r="1184" ht="13.5" customHeight="1" x14ac:dyDescent="0.25"/>
    <row r="1185" ht="13.5" customHeight="1" x14ac:dyDescent="0.25"/>
    <row r="1186" ht="13.5" customHeight="1" x14ac:dyDescent="0.25"/>
    <row r="1187" ht="13.5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20.25" customHeight="1" x14ac:dyDescent="0.25"/>
    <row r="1193" ht="13.5" customHeight="1" x14ac:dyDescent="0.25"/>
    <row r="1194" ht="13.5" customHeight="1" x14ac:dyDescent="0.25"/>
    <row r="1195" ht="13.5" customHeight="1" x14ac:dyDescent="0.25"/>
    <row r="1196" ht="13.5" customHeight="1" x14ac:dyDescent="0.25"/>
    <row r="1197" ht="13.5" customHeight="1" x14ac:dyDescent="0.25"/>
    <row r="1198" ht="13.5" customHeight="1" x14ac:dyDescent="0.25"/>
    <row r="1199" ht="13.5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20.25" customHeight="1" x14ac:dyDescent="0.25"/>
    <row r="1205" ht="13.5" customHeight="1" x14ac:dyDescent="0.25"/>
    <row r="1206" ht="13.5" customHeight="1" x14ac:dyDescent="0.25"/>
    <row r="1207" ht="13.5" customHeight="1" x14ac:dyDescent="0.25"/>
    <row r="1208" ht="13.5" customHeight="1" x14ac:dyDescent="0.25"/>
    <row r="1209" ht="13.5" customHeight="1" x14ac:dyDescent="0.25"/>
    <row r="1210" ht="13.5" customHeight="1" x14ac:dyDescent="0.25"/>
    <row r="1211" ht="13.5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20.25" customHeight="1" x14ac:dyDescent="0.25"/>
    <row r="1217" ht="13.5" customHeight="1" x14ac:dyDescent="0.25"/>
    <row r="1218" ht="13.5" customHeight="1" x14ac:dyDescent="0.25"/>
    <row r="1219" ht="13.5" customHeight="1" x14ac:dyDescent="0.25"/>
    <row r="1220" ht="13.5" customHeight="1" x14ac:dyDescent="0.25"/>
    <row r="1221" ht="13.5" customHeight="1" x14ac:dyDescent="0.25"/>
    <row r="1222" ht="13.5" customHeight="1" x14ac:dyDescent="0.25"/>
    <row r="1223" ht="13.5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20.25" customHeight="1" x14ac:dyDescent="0.25"/>
    <row r="1229" ht="13.5" customHeight="1" x14ac:dyDescent="0.25"/>
    <row r="1230" ht="13.5" customHeight="1" x14ac:dyDescent="0.25"/>
    <row r="1231" ht="13.5" customHeight="1" x14ac:dyDescent="0.25"/>
    <row r="1232" ht="13.5" customHeight="1" x14ac:dyDescent="0.25"/>
    <row r="1233" ht="13.5" customHeight="1" x14ac:dyDescent="0.25"/>
    <row r="1234" ht="13.5" customHeight="1" x14ac:dyDescent="0.25"/>
    <row r="1235" ht="13.5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20.25" customHeight="1" x14ac:dyDescent="0.25"/>
    <row r="1241" ht="13.5" customHeight="1" x14ac:dyDescent="0.25"/>
    <row r="1242" ht="13.5" customHeight="1" x14ac:dyDescent="0.25"/>
    <row r="1243" ht="13.5" customHeight="1" x14ac:dyDescent="0.25"/>
    <row r="1244" ht="13.5" customHeight="1" x14ac:dyDescent="0.25"/>
    <row r="1245" ht="13.5" customHeight="1" x14ac:dyDescent="0.25"/>
    <row r="1246" ht="13.5" customHeight="1" x14ac:dyDescent="0.25"/>
    <row r="1247" ht="13.5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20.25" customHeight="1" x14ac:dyDescent="0.25"/>
    <row r="1253" ht="13.5" customHeight="1" x14ac:dyDescent="0.25"/>
    <row r="1254" ht="13.5" customHeight="1" x14ac:dyDescent="0.25"/>
    <row r="1255" ht="13.5" customHeight="1" x14ac:dyDescent="0.25"/>
    <row r="1256" ht="13.5" customHeight="1" x14ac:dyDescent="0.25"/>
    <row r="1257" ht="13.5" customHeight="1" x14ac:dyDescent="0.25"/>
    <row r="1258" ht="13.5" customHeight="1" x14ac:dyDescent="0.25"/>
    <row r="1259" ht="13.5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20.25" customHeight="1" x14ac:dyDescent="0.25"/>
    <row r="1265" ht="13.5" customHeight="1" x14ac:dyDescent="0.25"/>
    <row r="1266" ht="13.5" customHeight="1" x14ac:dyDescent="0.25"/>
    <row r="1267" ht="13.5" customHeight="1" x14ac:dyDescent="0.25"/>
    <row r="1268" ht="13.5" customHeight="1" x14ac:dyDescent="0.25"/>
    <row r="1269" ht="13.5" customHeight="1" x14ac:dyDescent="0.25"/>
    <row r="1270" ht="13.5" customHeight="1" x14ac:dyDescent="0.25"/>
    <row r="1271" ht="13.5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20.25" customHeight="1" x14ac:dyDescent="0.25"/>
    <row r="1277" ht="13.5" customHeight="1" x14ac:dyDescent="0.25"/>
    <row r="1278" ht="13.5" customHeight="1" x14ac:dyDescent="0.25"/>
    <row r="1279" ht="13.5" customHeight="1" x14ac:dyDescent="0.25"/>
    <row r="1280" ht="13.5" customHeight="1" x14ac:dyDescent="0.25"/>
    <row r="1281" ht="13.5" customHeight="1" x14ac:dyDescent="0.25"/>
    <row r="1282" ht="13.5" customHeight="1" x14ac:dyDescent="0.25"/>
    <row r="1283" ht="13.5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20.25" customHeight="1" x14ac:dyDescent="0.25"/>
    <row r="1289" ht="13.5" customHeight="1" x14ac:dyDescent="0.25"/>
    <row r="1290" ht="13.5" customHeight="1" x14ac:dyDescent="0.25"/>
    <row r="1291" ht="13.5" customHeight="1" x14ac:dyDescent="0.25"/>
    <row r="1292" ht="13.5" customHeight="1" x14ac:dyDescent="0.25"/>
    <row r="1293" ht="13.5" customHeight="1" x14ac:dyDescent="0.25"/>
    <row r="1294" ht="13.5" customHeight="1" x14ac:dyDescent="0.25"/>
    <row r="1295" ht="13.5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20.25" customHeight="1" x14ac:dyDescent="0.25"/>
    <row r="1301" ht="13.5" customHeight="1" x14ac:dyDescent="0.25"/>
    <row r="1302" ht="13.5" customHeight="1" x14ac:dyDescent="0.25"/>
    <row r="1303" ht="13.5" customHeight="1" x14ac:dyDescent="0.25"/>
    <row r="1304" ht="13.5" customHeight="1" x14ac:dyDescent="0.25"/>
    <row r="1305" ht="13.5" customHeight="1" x14ac:dyDescent="0.25"/>
    <row r="1306" ht="13.5" customHeight="1" x14ac:dyDescent="0.25"/>
    <row r="1307" ht="13.5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20.25" customHeight="1" x14ac:dyDescent="0.25"/>
    <row r="1313" ht="13.5" customHeight="1" x14ac:dyDescent="0.25"/>
    <row r="1314" ht="13.5" customHeight="1" x14ac:dyDescent="0.25"/>
    <row r="1315" ht="13.5" customHeight="1" x14ac:dyDescent="0.25"/>
    <row r="1316" ht="13.5" customHeight="1" x14ac:dyDescent="0.25"/>
    <row r="1317" ht="13.5" customHeight="1" x14ac:dyDescent="0.25"/>
    <row r="1318" ht="13.5" customHeight="1" x14ac:dyDescent="0.25"/>
    <row r="1319" ht="13.5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20.25" customHeight="1" x14ac:dyDescent="0.25"/>
    <row r="1325" ht="13.5" customHeight="1" x14ac:dyDescent="0.25"/>
    <row r="1326" ht="13.5" customHeight="1" x14ac:dyDescent="0.25"/>
    <row r="1327" ht="13.5" customHeight="1" x14ac:dyDescent="0.25"/>
    <row r="1328" ht="13.5" customHeight="1" x14ac:dyDescent="0.25"/>
    <row r="1329" ht="13.5" customHeight="1" x14ac:dyDescent="0.25"/>
    <row r="1330" ht="13.5" customHeight="1" x14ac:dyDescent="0.25"/>
    <row r="1331" ht="13.5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20.25" customHeight="1" x14ac:dyDescent="0.25"/>
    <row r="1337" ht="13.5" customHeight="1" x14ac:dyDescent="0.25"/>
    <row r="1338" ht="13.5" customHeight="1" x14ac:dyDescent="0.25"/>
    <row r="1339" ht="13.5" customHeight="1" x14ac:dyDescent="0.25"/>
    <row r="1340" ht="13.5" customHeight="1" x14ac:dyDescent="0.25"/>
    <row r="1341" ht="13.5" customHeight="1" x14ac:dyDescent="0.25"/>
    <row r="1342" ht="13.5" customHeight="1" x14ac:dyDescent="0.25"/>
    <row r="1343" ht="13.5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20.25" customHeight="1" x14ac:dyDescent="0.25"/>
    <row r="1349" ht="13.5" customHeight="1" x14ac:dyDescent="0.25"/>
    <row r="1350" ht="13.5" customHeight="1" x14ac:dyDescent="0.25"/>
    <row r="1351" ht="13.5" customHeight="1" x14ac:dyDescent="0.25"/>
    <row r="1352" ht="13.5" customHeight="1" x14ac:dyDescent="0.25"/>
    <row r="1353" ht="13.5" customHeight="1" x14ac:dyDescent="0.25"/>
    <row r="1354" ht="13.5" customHeight="1" x14ac:dyDescent="0.25"/>
    <row r="1355" ht="13.5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20.25" customHeight="1" x14ac:dyDescent="0.25"/>
    <row r="1361" ht="13.5" customHeight="1" x14ac:dyDescent="0.25"/>
    <row r="1362" ht="13.5" customHeight="1" x14ac:dyDescent="0.25"/>
    <row r="1363" ht="13.5" customHeight="1" x14ac:dyDescent="0.25"/>
    <row r="1364" ht="13.5" customHeight="1" x14ac:dyDescent="0.25"/>
    <row r="1365" ht="13.5" customHeight="1" x14ac:dyDescent="0.25"/>
    <row r="1366" ht="13.5" customHeight="1" x14ac:dyDescent="0.25"/>
    <row r="1367" ht="13.5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20.25" customHeight="1" x14ac:dyDescent="0.25"/>
    <row r="1373" ht="13.5" customHeight="1" x14ac:dyDescent="0.25"/>
    <row r="1374" ht="13.5" customHeight="1" x14ac:dyDescent="0.25"/>
    <row r="1375" ht="13.5" customHeight="1" x14ac:dyDescent="0.25"/>
    <row r="1376" ht="13.5" customHeight="1" x14ac:dyDescent="0.25"/>
    <row r="1377" ht="13.5" customHeight="1" x14ac:dyDescent="0.25"/>
    <row r="1378" ht="13.5" customHeight="1" x14ac:dyDescent="0.25"/>
    <row r="1379" ht="13.5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20.25" customHeight="1" x14ac:dyDescent="0.25"/>
    <row r="1385" ht="13.5" customHeight="1" x14ac:dyDescent="0.25"/>
    <row r="1386" ht="13.5" customHeight="1" x14ac:dyDescent="0.25"/>
    <row r="1387" ht="13.5" customHeight="1" x14ac:dyDescent="0.25"/>
    <row r="1388" ht="13.5" customHeight="1" x14ac:dyDescent="0.25"/>
    <row r="1389" ht="13.5" customHeight="1" x14ac:dyDescent="0.25"/>
    <row r="1390" ht="13.5" customHeight="1" x14ac:dyDescent="0.25"/>
    <row r="1391" ht="13.5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20.25" customHeight="1" x14ac:dyDescent="0.25"/>
    <row r="1397" ht="13.5" customHeight="1" x14ac:dyDescent="0.25"/>
    <row r="1398" ht="13.5" customHeight="1" x14ac:dyDescent="0.25"/>
    <row r="1399" ht="13.5" customHeight="1" x14ac:dyDescent="0.25"/>
    <row r="1400" ht="13.5" customHeight="1" x14ac:dyDescent="0.25"/>
    <row r="1401" ht="13.5" customHeight="1" x14ac:dyDescent="0.25"/>
    <row r="1402" ht="13.5" customHeight="1" x14ac:dyDescent="0.25"/>
    <row r="1403" ht="13.5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20.25" customHeight="1" x14ac:dyDescent="0.25"/>
    <row r="1409" ht="13.5" customHeight="1" x14ac:dyDescent="0.25"/>
    <row r="1410" ht="13.5" customHeight="1" x14ac:dyDescent="0.25"/>
    <row r="1411" ht="13.5" customHeight="1" x14ac:dyDescent="0.25"/>
    <row r="1412" ht="13.5" customHeight="1" x14ac:dyDescent="0.25"/>
    <row r="1413" ht="13.5" customHeight="1" x14ac:dyDescent="0.25"/>
    <row r="1414" ht="13.5" customHeight="1" x14ac:dyDescent="0.25"/>
    <row r="1415" ht="13.5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20.25" customHeight="1" x14ac:dyDescent="0.25"/>
    <row r="1421" ht="13.5" customHeight="1" x14ac:dyDescent="0.25"/>
    <row r="1422" ht="13.5" customHeight="1" x14ac:dyDescent="0.25"/>
    <row r="1423" ht="13.5" customHeight="1" x14ac:dyDescent="0.25"/>
    <row r="1424" ht="13.5" customHeight="1" x14ac:dyDescent="0.25"/>
    <row r="1425" ht="13.5" customHeight="1" x14ac:dyDescent="0.25"/>
    <row r="1426" ht="13.5" customHeight="1" x14ac:dyDescent="0.25"/>
    <row r="1427" ht="13.5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20.25" customHeight="1" x14ac:dyDescent="0.25"/>
    <row r="1433" ht="13.5" customHeight="1" x14ac:dyDescent="0.25"/>
    <row r="1434" ht="13.5" customHeight="1" x14ac:dyDescent="0.25"/>
    <row r="1435" ht="13.5" customHeight="1" x14ac:dyDescent="0.25"/>
    <row r="1436" ht="13.5" customHeight="1" x14ac:dyDescent="0.25"/>
    <row r="1437" ht="13.5" customHeight="1" x14ac:dyDescent="0.25"/>
    <row r="1438" ht="13.5" customHeight="1" x14ac:dyDescent="0.25"/>
    <row r="1439" ht="13.5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20.25" customHeight="1" x14ac:dyDescent="0.25"/>
    <row r="1445" ht="13.5" customHeight="1" x14ac:dyDescent="0.25"/>
    <row r="1446" ht="13.5" customHeight="1" x14ac:dyDescent="0.25"/>
    <row r="1447" ht="13.5" customHeight="1" x14ac:dyDescent="0.25"/>
    <row r="1448" ht="13.5" customHeight="1" x14ac:dyDescent="0.25"/>
    <row r="1449" ht="13.5" customHeight="1" x14ac:dyDescent="0.25"/>
    <row r="1450" ht="13.5" customHeight="1" x14ac:dyDescent="0.25"/>
    <row r="1451" ht="13.5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20.25" customHeight="1" x14ac:dyDescent="0.25"/>
    <row r="1457" ht="13.5" customHeight="1" x14ac:dyDescent="0.25"/>
    <row r="1458" ht="13.5" customHeight="1" x14ac:dyDescent="0.25"/>
    <row r="1459" ht="13.5" customHeight="1" x14ac:dyDescent="0.25"/>
    <row r="1460" ht="13.5" customHeight="1" x14ac:dyDescent="0.25"/>
    <row r="1461" ht="13.5" customHeight="1" x14ac:dyDescent="0.25"/>
    <row r="1462" ht="13.5" customHeight="1" x14ac:dyDescent="0.25"/>
    <row r="1463" ht="13.5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20.25" customHeight="1" x14ac:dyDescent="0.25"/>
    <row r="1469" ht="13.5" customHeight="1" x14ac:dyDescent="0.25"/>
    <row r="1470" ht="13.5" customHeight="1" x14ac:dyDescent="0.25"/>
    <row r="1471" ht="13.5" customHeight="1" x14ac:dyDescent="0.25"/>
    <row r="1472" ht="13.5" customHeight="1" x14ac:dyDescent="0.25"/>
    <row r="1473" ht="13.5" customHeight="1" x14ac:dyDescent="0.25"/>
    <row r="1474" ht="13.5" customHeight="1" x14ac:dyDescent="0.25"/>
    <row r="1475" ht="13.5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20.25" customHeight="1" x14ac:dyDescent="0.25"/>
    <row r="1481" ht="13.5" customHeight="1" x14ac:dyDescent="0.25"/>
    <row r="1482" ht="13.5" customHeight="1" x14ac:dyDescent="0.25"/>
    <row r="1483" ht="13.5" customHeight="1" x14ac:dyDescent="0.25"/>
    <row r="1484" ht="13.5" customHeight="1" x14ac:dyDescent="0.25"/>
    <row r="1485" ht="13.5" customHeight="1" x14ac:dyDescent="0.25"/>
    <row r="1486" ht="13.5" customHeight="1" x14ac:dyDescent="0.25"/>
    <row r="1487" ht="13.5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20.25" customHeight="1" x14ac:dyDescent="0.25"/>
    <row r="1493" ht="13.5" customHeight="1" x14ac:dyDescent="0.25"/>
    <row r="1494" ht="13.5" customHeight="1" x14ac:dyDescent="0.25"/>
    <row r="1495" ht="13.5" customHeight="1" x14ac:dyDescent="0.25"/>
    <row r="1496" ht="13.5" customHeight="1" x14ac:dyDescent="0.25"/>
    <row r="1497" ht="13.5" customHeight="1" x14ac:dyDescent="0.25"/>
    <row r="1498" ht="13.5" customHeight="1" x14ac:dyDescent="0.25"/>
    <row r="1499" ht="13.5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20.25" customHeight="1" x14ac:dyDescent="0.25"/>
    <row r="1505" ht="13.5" customHeight="1" x14ac:dyDescent="0.25"/>
    <row r="1506" ht="13.5" customHeight="1" x14ac:dyDescent="0.25"/>
    <row r="1507" ht="13.5" customHeight="1" x14ac:dyDescent="0.25"/>
    <row r="1508" ht="13.5" customHeight="1" x14ac:dyDescent="0.25"/>
    <row r="1509" ht="13.5" customHeight="1" x14ac:dyDescent="0.25"/>
    <row r="1510" ht="13.5" customHeight="1" x14ac:dyDescent="0.25"/>
    <row r="1511" ht="13.5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20.25" customHeight="1" x14ac:dyDescent="0.25"/>
    <row r="1517" ht="13.5" customHeight="1" x14ac:dyDescent="0.25"/>
    <row r="1518" ht="13.5" customHeight="1" x14ac:dyDescent="0.25"/>
    <row r="1519" ht="13.5" customHeight="1" x14ac:dyDescent="0.25"/>
    <row r="1520" ht="13.5" customHeight="1" x14ac:dyDescent="0.25"/>
    <row r="1521" ht="13.5" customHeight="1" x14ac:dyDescent="0.25"/>
    <row r="1522" ht="13.5" customHeight="1" x14ac:dyDescent="0.25"/>
    <row r="1523" ht="13.5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20.25" customHeight="1" x14ac:dyDescent="0.25"/>
    <row r="1529" ht="13.5" customHeight="1" x14ac:dyDescent="0.25"/>
    <row r="1531" ht="13.5" customHeight="1" x14ac:dyDescent="0.25"/>
    <row r="1532" ht="13.5" customHeight="1" x14ac:dyDescent="0.25"/>
    <row r="1533" ht="13.5" customHeight="1" x14ac:dyDescent="0.25"/>
    <row r="1534" ht="13.5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20.25" customHeight="1" x14ac:dyDescent="0.25"/>
    <row r="1540" ht="13.5" customHeight="1" x14ac:dyDescent="0.25"/>
    <row r="1541" ht="13.5" customHeight="1" x14ac:dyDescent="0.25"/>
    <row r="1542" ht="13.5" customHeight="1" x14ac:dyDescent="0.25"/>
    <row r="1543" ht="13.5" customHeight="1" x14ac:dyDescent="0.25"/>
    <row r="1544" ht="13.5" customHeight="1" x14ac:dyDescent="0.25"/>
    <row r="1545" ht="13.5" customHeight="1" x14ac:dyDescent="0.25"/>
    <row r="1546" ht="13.5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20.25" customHeight="1" x14ac:dyDescent="0.25"/>
    <row r="1552" ht="13.5" customHeight="1" x14ac:dyDescent="0.25"/>
    <row r="1554" ht="13.5" customHeight="1" x14ac:dyDescent="0.25"/>
    <row r="1555" ht="13.5" customHeight="1" x14ac:dyDescent="0.25"/>
    <row r="1556" ht="13.5" customHeight="1" x14ac:dyDescent="0.25"/>
    <row r="1557" ht="13.5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20.25" customHeight="1" x14ac:dyDescent="0.25"/>
    <row r="1563" ht="13.5" customHeight="1" x14ac:dyDescent="0.25"/>
    <row r="1564" ht="13.5" customHeight="1" x14ac:dyDescent="0.25"/>
    <row r="1565" ht="13.5" customHeight="1" x14ac:dyDescent="0.25"/>
    <row r="1566" ht="13.5" customHeight="1" x14ac:dyDescent="0.25"/>
    <row r="1567" ht="13.5" customHeight="1" x14ac:dyDescent="0.25"/>
    <row r="1568" ht="13.5" customHeight="1" x14ac:dyDescent="0.25"/>
    <row r="1569" ht="13.5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20.25" customHeight="1" x14ac:dyDescent="0.25"/>
    <row r="1575" ht="13.5" customHeight="1" x14ac:dyDescent="0.25"/>
    <row r="1577" ht="13.5" customHeight="1" x14ac:dyDescent="0.25"/>
    <row r="1578" ht="13.5" customHeight="1" x14ac:dyDescent="0.25"/>
    <row r="1579" ht="13.5" customHeight="1" x14ac:dyDescent="0.25"/>
    <row r="1580" ht="13.5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20.25" customHeight="1" x14ac:dyDescent="0.25"/>
    <row r="1586" ht="13.5" customHeight="1" x14ac:dyDescent="0.25"/>
    <row r="1587" ht="13.5" customHeight="1" x14ac:dyDescent="0.25"/>
    <row r="1588" ht="13.5" customHeight="1" x14ac:dyDescent="0.25"/>
    <row r="1589" ht="13.5" customHeight="1" x14ac:dyDescent="0.25"/>
    <row r="1590" ht="13.5" customHeight="1" x14ac:dyDescent="0.25"/>
    <row r="1591" ht="13.5" customHeight="1" x14ac:dyDescent="0.25"/>
    <row r="1592" ht="13.5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20.25" customHeight="1" x14ac:dyDescent="0.25"/>
    <row r="1598" ht="13.5" customHeight="1" x14ac:dyDescent="0.25"/>
    <row r="1600" ht="13.5" customHeight="1" x14ac:dyDescent="0.25"/>
    <row r="1601" ht="13.5" customHeight="1" x14ac:dyDescent="0.25"/>
    <row r="1602" ht="13.5" customHeight="1" x14ac:dyDescent="0.25"/>
    <row r="1603" ht="13.5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20.25" customHeight="1" x14ac:dyDescent="0.25"/>
    <row r="1609" ht="13.5" customHeight="1" x14ac:dyDescent="0.25"/>
    <row r="1610" ht="13.5" customHeight="1" x14ac:dyDescent="0.25"/>
    <row r="1611" ht="13.5" customHeight="1" x14ac:dyDescent="0.25"/>
    <row r="1612" ht="13.5" customHeight="1" x14ac:dyDescent="0.25"/>
    <row r="1613" ht="13.5" customHeight="1" x14ac:dyDescent="0.25"/>
    <row r="1614" ht="13.5" customHeight="1" x14ac:dyDescent="0.25"/>
    <row r="1615" ht="13.5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20.25" customHeight="1" x14ac:dyDescent="0.25"/>
    <row r="1621" ht="13.5" customHeight="1" x14ac:dyDescent="0.25"/>
    <row r="1623" ht="13.5" customHeight="1" x14ac:dyDescent="0.25"/>
    <row r="1624" ht="13.5" customHeight="1" x14ac:dyDescent="0.25"/>
    <row r="1625" ht="13.5" customHeight="1" x14ac:dyDescent="0.25"/>
    <row r="1626" ht="13.5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20.25" customHeight="1" x14ac:dyDescent="0.25"/>
    <row r="1632" ht="13.5" customHeight="1" x14ac:dyDescent="0.25"/>
    <row r="1633" ht="13.5" customHeight="1" x14ac:dyDescent="0.25"/>
    <row r="1634" ht="13.5" customHeight="1" x14ac:dyDescent="0.25"/>
    <row r="1635" ht="13.5" customHeight="1" x14ac:dyDescent="0.25"/>
    <row r="1636" ht="13.5" customHeight="1" x14ac:dyDescent="0.25"/>
    <row r="1637" ht="13.5" customHeight="1" x14ac:dyDescent="0.25"/>
    <row r="1638" ht="13.5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20.25" customHeight="1" x14ac:dyDescent="0.25"/>
    <row r="1644" ht="13.5" customHeight="1" x14ac:dyDescent="0.25"/>
    <row r="1646" ht="13.5" customHeight="1" x14ac:dyDescent="0.25"/>
    <row r="1647" ht="13.5" customHeight="1" x14ac:dyDescent="0.25"/>
    <row r="1648" ht="13.5" customHeight="1" x14ac:dyDescent="0.25"/>
    <row r="1649" ht="13.5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20.25" customHeight="1" x14ac:dyDescent="0.25"/>
    <row r="1655" ht="13.5" customHeight="1" x14ac:dyDescent="0.25"/>
    <row r="1656" ht="13.5" customHeight="1" x14ac:dyDescent="0.25"/>
    <row r="1657" ht="13.5" customHeight="1" x14ac:dyDescent="0.25"/>
    <row r="1658" ht="13.5" customHeight="1" x14ac:dyDescent="0.25"/>
    <row r="1659" ht="13.5" customHeight="1" x14ac:dyDescent="0.25"/>
    <row r="1660" ht="13.5" customHeight="1" x14ac:dyDescent="0.25"/>
    <row r="1661" ht="13.5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20.25" customHeight="1" x14ac:dyDescent="0.25"/>
    <row r="1667" ht="13.5" customHeight="1" x14ac:dyDescent="0.25"/>
    <row r="1669" ht="13.5" customHeight="1" x14ac:dyDescent="0.25"/>
    <row r="1670" ht="13.5" customHeight="1" x14ac:dyDescent="0.25"/>
    <row r="1671" ht="13.5" customHeight="1" x14ac:dyDescent="0.25"/>
    <row r="1672" ht="13.5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20.25" customHeight="1" x14ac:dyDescent="0.25"/>
    <row r="1678" ht="13.5" customHeight="1" x14ac:dyDescent="0.25"/>
    <row r="1679" ht="13.5" customHeight="1" x14ac:dyDescent="0.25"/>
    <row r="1680" ht="13.5" customHeight="1" x14ac:dyDescent="0.25"/>
    <row r="1681" ht="13.5" customHeight="1" x14ac:dyDescent="0.25"/>
    <row r="1682" ht="13.5" customHeight="1" x14ac:dyDescent="0.25"/>
    <row r="1683" ht="13.5" customHeight="1" x14ac:dyDescent="0.25"/>
    <row r="1684" ht="13.5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20.25" customHeight="1" x14ac:dyDescent="0.25"/>
    <row r="1690" ht="13.5" customHeight="1" x14ac:dyDescent="0.25"/>
    <row r="1692" ht="13.5" customHeight="1" x14ac:dyDescent="0.25"/>
    <row r="1693" ht="13.5" customHeight="1" x14ac:dyDescent="0.25"/>
    <row r="1694" ht="13.5" customHeight="1" x14ac:dyDescent="0.25"/>
    <row r="1695" ht="13.5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20.25" customHeight="1" x14ac:dyDescent="0.25"/>
    <row r="1701" ht="13.5" customHeight="1" x14ac:dyDescent="0.25"/>
    <row r="1702" ht="13.5" customHeight="1" x14ac:dyDescent="0.25"/>
    <row r="1703" ht="13.5" customHeight="1" x14ac:dyDescent="0.25"/>
    <row r="1704" ht="13.5" customHeight="1" x14ac:dyDescent="0.25"/>
    <row r="1705" ht="13.5" customHeight="1" x14ac:dyDescent="0.25"/>
    <row r="1706" ht="13.5" customHeight="1" x14ac:dyDescent="0.25"/>
    <row r="1707" ht="13.5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20.25" customHeight="1" x14ac:dyDescent="0.25"/>
    <row r="1713" ht="13.5" customHeight="1" x14ac:dyDescent="0.25"/>
    <row r="1715" ht="13.5" customHeight="1" x14ac:dyDescent="0.25"/>
    <row r="1716" ht="13.5" customHeight="1" x14ac:dyDescent="0.25"/>
    <row r="1717" ht="13.5" customHeight="1" x14ac:dyDescent="0.25"/>
    <row r="1718" ht="13.5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20.25" customHeight="1" x14ac:dyDescent="0.25"/>
    <row r="1724" ht="13.5" customHeight="1" x14ac:dyDescent="0.25"/>
    <row r="1725" ht="13.5" customHeight="1" x14ac:dyDescent="0.25"/>
    <row r="1726" ht="13.5" customHeight="1" x14ac:dyDescent="0.25"/>
    <row r="1727" ht="13.5" customHeight="1" x14ac:dyDescent="0.25"/>
    <row r="1728" ht="13.5" customHeight="1" x14ac:dyDescent="0.25"/>
    <row r="1729" ht="13.5" customHeight="1" x14ac:dyDescent="0.25"/>
    <row r="1730" ht="13.5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20.25" customHeight="1" x14ac:dyDescent="0.25"/>
    <row r="1736" ht="13.5" customHeight="1" x14ac:dyDescent="0.25"/>
    <row r="1738" ht="13.5" customHeight="1" x14ac:dyDescent="0.25"/>
    <row r="1739" ht="13.5" customHeight="1" x14ac:dyDescent="0.25"/>
    <row r="1740" ht="13.5" customHeight="1" x14ac:dyDescent="0.25"/>
    <row r="1741" ht="13.5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20.25" customHeight="1" x14ac:dyDescent="0.25"/>
    <row r="1747" ht="13.5" customHeight="1" x14ac:dyDescent="0.25"/>
    <row r="1748" ht="13.5" customHeight="1" x14ac:dyDescent="0.25"/>
    <row r="1749" ht="13.5" customHeight="1" x14ac:dyDescent="0.25"/>
    <row r="1750" ht="13.5" customHeight="1" x14ac:dyDescent="0.25"/>
    <row r="1751" ht="13.5" customHeight="1" x14ac:dyDescent="0.25"/>
    <row r="1752" ht="13.5" customHeight="1" x14ac:dyDescent="0.25"/>
    <row r="1753" ht="13.5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20.25" customHeight="1" x14ac:dyDescent="0.25"/>
    <row r="1759" ht="13.5" customHeight="1" x14ac:dyDescent="0.25"/>
    <row r="1761" ht="13.5" customHeight="1" x14ac:dyDescent="0.25"/>
    <row r="1762" ht="13.5" customHeight="1" x14ac:dyDescent="0.25"/>
    <row r="1763" ht="13.5" customHeight="1" x14ac:dyDescent="0.25"/>
    <row r="1764" ht="13.5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20.25" customHeight="1" x14ac:dyDescent="0.25"/>
    <row r="1770" ht="13.5" customHeight="1" x14ac:dyDescent="0.25"/>
    <row r="1771" ht="13.5" customHeight="1" x14ac:dyDescent="0.25"/>
    <row r="1772" ht="13.5" customHeight="1" x14ac:dyDescent="0.25"/>
    <row r="1773" ht="13.5" customHeight="1" x14ac:dyDescent="0.25"/>
    <row r="1774" ht="13.5" customHeight="1" x14ac:dyDescent="0.25"/>
    <row r="1775" ht="13.5" customHeight="1" x14ac:dyDescent="0.25"/>
    <row r="1776" ht="13.5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20.25" customHeight="1" x14ac:dyDescent="0.25"/>
    <row r="1782" ht="13.5" customHeight="1" x14ac:dyDescent="0.25"/>
    <row r="1784" ht="13.5" customHeight="1" x14ac:dyDescent="0.25"/>
    <row r="1785" ht="13.5" customHeight="1" x14ac:dyDescent="0.25"/>
    <row r="1786" ht="13.5" customHeight="1" x14ac:dyDescent="0.25"/>
    <row r="1787" ht="13.5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20.25" customHeight="1" x14ac:dyDescent="0.25"/>
    <row r="1793" ht="13.5" customHeight="1" x14ac:dyDescent="0.25"/>
    <row r="1794" ht="13.5" customHeight="1" x14ac:dyDescent="0.25"/>
    <row r="1795" ht="13.5" customHeight="1" x14ac:dyDescent="0.25"/>
    <row r="1796" ht="13.5" customHeight="1" x14ac:dyDescent="0.25"/>
    <row r="1797" ht="13.5" customHeight="1" x14ac:dyDescent="0.25"/>
    <row r="1798" ht="13.5" customHeight="1" x14ac:dyDescent="0.25"/>
    <row r="1799" ht="13.5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20.25" customHeight="1" x14ac:dyDescent="0.25"/>
    <row r="1805" ht="13.5" customHeight="1" x14ac:dyDescent="0.25"/>
    <row r="1807" ht="13.5" customHeight="1" x14ac:dyDescent="0.25"/>
    <row r="1808" ht="13.5" customHeight="1" x14ac:dyDescent="0.25"/>
    <row r="1809" ht="13.5" customHeight="1" x14ac:dyDescent="0.25"/>
    <row r="1810" ht="13.5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20.25" customHeight="1" x14ac:dyDescent="0.25"/>
    <row r="1816" ht="13.5" customHeight="1" x14ac:dyDescent="0.25"/>
    <row r="1817" ht="13.5" customHeight="1" x14ac:dyDescent="0.25"/>
    <row r="1818" ht="13.5" customHeight="1" x14ac:dyDescent="0.25"/>
    <row r="1819" ht="13.5" customHeight="1" x14ac:dyDescent="0.25"/>
    <row r="1820" ht="13.5" customHeight="1" x14ac:dyDescent="0.25"/>
    <row r="1821" ht="13.5" customHeight="1" x14ac:dyDescent="0.25"/>
    <row r="1822" ht="13.5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20.25" customHeight="1" x14ac:dyDescent="0.25"/>
    <row r="1828" ht="13.5" customHeight="1" x14ac:dyDescent="0.25"/>
    <row r="1830" ht="13.5" customHeight="1" x14ac:dyDescent="0.25"/>
    <row r="1831" ht="13.5" customHeight="1" x14ac:dyDescent="0.25"/>
    <row r="1832" ht="13.5" customHeight="1" x14ac:dyDescent="0.25"/>
    <row r="1833" ht="13.5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20.25" customHeight="1" x14ac:dyDescent="0.25"/>
    <row r="1839" ht="13.5" customHeight="1" x14ac:dyDescent="0.25"/>
    <row r="1840" ht="13.5" customHeight="1" x14ac:dyDescent="0.25"/>
    <row r="1841" ht="13.5" customHeight="1" x14ac:dyDescent="0.25"/>
    <row r="1842" ht="13.5" customHeight="1" x14ac:dyDescent="0.25"/>
    <row r="1843" ht="13.5" customHeight="1" x14ac:dyDescent="0.25"/>
    <row r="1844" ht="13.5" customHeight="1" x14ac:dyDescent="0.25"/>
    <row r="1845" ht="13.5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20.25" customHeight="1" x14ac:dyDescent="0.25"/>
    <row r="1851" ht="13.5" customHeight="1" x14ac:dyDescent="0.25"/>
    <row r="1853" ht="13.5" customHeight="1" x14ac:dyDescent="0.25"/>
    <row r="1854" ht="13.5" customHeight="1" x14ac:dyDescent="0.25"/>
    <row r="1855" ht="13.5" customHeight="1" x14ac:dyDescent="0.25"/>
    <row r="1856" ht="13.5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20.25" customHeight="1" x14ac:dyDescent="0.25"/>
    <row r="1862" ht="13.5" customHeight="1" x14ac:dyDescent="0.25"/>
    <row r="1863" ht="13.5" customHeight="1" x14ac:dyDescent="0.25"/>
    <row r="1864" ht="13.5" customHeight="1" x14ac:dyDescent="0.25"/>
    <row r="1865" ht="13.5" customHeight="1" x14ac:dyDescent="0.25"/>
    <row r="1866" ht="13.5" customHeight="1" x14ac:dyDescent="0.25"/>
    <row r="1867" ht="13.5" customHeight="1" x14ac:dyDescent="0.25"/>
    <row r="1868" ht="13.5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20.25" customHeight="1" x14ac:dyDescent="0.25"/>
    <row r="1874" ht="13.5" customHeight="1" x14ac:dyDescent="0.25"/>
    <row r="1876" ht="13.5" customHeight="1" x14ac:dyDescent="0.25"/>
    <row r="1877" ht="13.5" customHeight="1" x14ac:dyDescent="0.25"/>
    <row r="1878" ht="13.5" customHeight="1" x14ac:dyDescent="0.25"/>
    <row r="1879" ht="13.5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20.25" customHeight="1" x14ac:dyDescent="0.25"/>
    <row r="1885" ht="13.5" customHeight="1" x14ac:dyDescent="0.25"/>
    <row r="1886" ht="13.5" customHeight="1" x14ac:dyDescent="0.25"/>
    <row r="1887" ht="13.5" customHeight="1" x14ac:dyDescent="0.25"/>
    <row r="1888" ht="13.5" customHeight="1" x14ac:dyDescent="0.25"/>
    <row r="1889" ht="13.5" customHeight="1" x14ac:dyDescent="0.25"/>
    <row r="1890" ht="13.5" customHeight="1" x14ac:dyDescent="0.25"/>
    <row r="1891" ht="13.5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20.25" customHeight="1" x14ac:dyDescent="0.25"/>
    <row r="1897" ht="13.5" customHeight="1" x14ac:dyDescent="0.25"/>
    <row r="1899" ht="13.5" customHeight="1" x14ac:dyDescent="0.25"/>
    <row r="1900" ht="13.5" customHeight="1" x14ac:dyDescent="0.25"/>
    <row r="1901" ht="13.5" customHeight="1" x14ac:dyDescent="0.25"/>
    <row r="1902" ht="13.5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20.25" customHeight="1" x14ac:dyDescent="0.25"/>
    <row r="1908" ht="13.5" customHeight="1" x14ac:dyDescent="0.25"/>
    <row r="1909" ht="13.5" customHeight="1" x14ac:dyDescent="0.25"/>
    <row r="1910" ht="13.5" customHeight="1" x14ac:dyDescent="0.25"/>
    <row r="1911" ht="13.5" customHeight="1" x14ac:dyDescent="0.25"/>
    <row r="1912" ht="13.5" customHeight="1" x14ac:dyDescent="0.25"/>
    <row r="1913" ht="13.5" customHeight="1" x14ac:dyDescent="0.25"/>
    <row r="1914" ht="13.5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20.25" customHeight="1" x14ac:dyDescent="0.25"/>
    <row r="1920" ht="13.5" customHeight="1" x14ac:dyDescent="0.25"/>
    <row r="1922" ht="13.5" customHeight="1" x14ac:dyDescent="0.25"/>
    <row r="1923" ht="13.5" customHeight="1" x14ac:dyDescent="0.25"/>
    <row r="1924" ht="13.5" customHeight="1" x14ac:dyDescent="0.25"/>
    <row r="1925" ht="13.5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20.25" customHeight="1" x14ac:dyDescent="0.25"/>
    <row r="1931" ht="13.5" customHeight="1" x14ac:dyDescent="0.25"/>
    <row r="1932" ht="13.5" customHeight="1" x14ac:dyDescent="0.25"/>
    <row r="1933" ht="13.5" customHeight="1" x14ac:dyDescent="0.25"/>
    <row r="1934" ht="13.5" customHeight="1" x14ac:dyDescent="0.25"/>
    <row r="1935" ht="13.5" customHeight="1" x14ac:dyDescent="0.25"/>
    <row r="1936" ht="13.5" customHeight="1" x14ac:dyDescent="0.25"/>
    <row r="1937" ht="13.5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20.25" customHeight="1" x14ac:dyDescent="0.25"/>
    <row r="1943" ht="13.5" customHeight="1" x14ac:dyDescent="0.25"/>
    <row r="1945" ht="13.5" customHeight="1" x14ac:dyDescent="0.25"/>
    <row r="1946" ht="13.5" customHeight="1" x14ac:dyDescent="0.25"/>
    <row r="1947" ht="13.5" customHeight="1" x14ac:dyDescent="0.25"/>
    <row r="1948" ht="13.5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20.25" customHeight="1" x14ac:dyDescent="0.25"/>
    <row r="1954" ht="13.5" customHeight="1" x14ac:dyDescent="0.25"/>
    <row r="1955" ht="13.5" customHeight="1" x14ac:dyDescent="0.25"/>
    <row r="1956" ht="13.5" customHeight="1" x14ac:dyDescent="0.25"/>
    <row r="1957" ht="13.5" customHeight="1" x14ac:dyDescent="0.25"/>
    <row r="1958" ht="13.5" customHeight="1" x14ac:dyDescent="0.25"/>
    <row r="1959" ht="13.5" customHeight="1" x14ac:dyDescent="0.25"/>
    <row r="1960" ht="13.5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20.25" customHeight="1" x14ac:dyDescent="0.25"/>
    <row r="1966" ht="13.5" customHeight="1" x14ac:dyDescent="0.25"/>
    <row r="1968" ht="13.5" customHeight="1" x14ac:dyDescent="0.25"/>
    <row r="1969" ht="13.5" customHeight="1" x14ac:dyDescent="0.25"/>
    <row r="1970" ht="13.5" customHeight="1" x14ac:dyDescent="0.25"/>
    <row r="1971" ht="13.5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20.25" customHeight="1" x14ac:dyDescent="0.25"/>
    <row r="1977" ht="13.5" customHeight="1" x14ac:dyDescent="0.25"/>
    <row r="1978" ht="13.5" customHeight="1" x14ac:dyDescent="0.25"/>
    <row r="1979" ht="13.5" customHeight="1" x14ac:dyDescent="0.25"/>
    <row r="1980" ht="13.5" customHeight="1" x14ac:dyDescent="0.25"/>
    <row r="1981" ht="13.5" customHeight="1" x14ac:dyDescent="0.25"/>
    <row r="1982" ht="13.5" customHeight="1" x14ac:dyDescent="0.25"/>
    <row r="1983" ht="13.5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20.25" customHeight="1" x14ac:dyDescent="0.25"/>
    <row r="1989" ht="13.5" customHeight="1" x14ac:dyDescent="0.25"/>
    <row r="1991" ht="13.5" customHeight="1" x14ac:dyDescent="0.25"/>
    <row r="1992" ht="13.5" customHeight="1" x14ac:dyDescent="0.25"/>
    <row r="1993" ht="13.5" customHeight="1" x14ac:dyDescent="0.25"/>
    <row r="1994" ht="13.5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20.25" customHeight="1" x14ac:dyDescent="0.25"/>
    <row r="2000" ht="13.5" customHeight="1" x14ac:dyDescent="0.25"/>
    <row r="2001" ht="13.5" customHeight="1" x14ac:dyDescent="0.25"/>
    <row r="2002" ht="13.5" customHeight="1" x14ac:dyDescent="0.25"/>
    <row r="2003" ht="13.5" customHeight="1" x14ac:dyDescent="0.25"/>
    <row r="2004" ht="13.5" customHeight="1" x14ac:dyDescent="0.25"/>
    <row r="2005" ht="13.5" customHeight="1" x14ac:dyDescent="0.25"/>
    <row r="2006" ht="13.5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20.25" customHeight="1" x14ac:dyDescent="0.25"/>
    <row r="2012" ht="13.5" customHeight="1" x14ac:dyDescent="0.25"/>
    <row r="2014" ht="13.5" customHeight="1" x14ac:dyDescent="0.25"/>
    <row r="2015" ht="13.5" customHeight="1" x14ac:dyDescent="0.25"/>
    <row r="2016" ht="13.5" customHeight="1" x14ac:dyDescent="0.25"/>
    <row r="2017" ht="13.5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20.25" customHeight="1" x14ac:dyDescent="0.25"/>
    <row r="2023" ht="13.5" customHeight="1" x14ac:dyDescent="0.25"/>
    <row r="2024" ht="13.5" customHeight="1" x14ac:dyDescent="0.25"/>
    <row r="2025" ht="13.5" customHeight="1" x14ac:dyDescent="0.25"/>
    <row r="2026" ht="13.5" customHeight="1" x14ac:dyDescent="0.25"/>
    <row r="2027" ht="13.5" customHeight="1" x14ac:dyDescent="0.25"/>
    <row r="2028" ht="13.5" customHeight="1" x14ac:dyDescent="0.25"/>
    <row r="2029" ht="13.5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20.25" customHeight="1" x14ac:dyDescent="0.25"/>
    <row r="2035" ht="13.5" customHeight="1" x14ac:dyDescent="0.25"/>
    <row r="2037" ht="13.5" customHeight="1" x14ac:dyDescent="0.25"/>
    <row r="2038" ht="13.5" customHeight="1" x14ac:dyDescent="0.25"/>
    <row r="2039" ht="13.5" customHeight="1" x14ac:dyDescent="0.25"/>
    <row r="2040" ht="13.5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20.25" customHeight="1" x14ac:dyDescent="0.25"/>
    <row r="2046" ht="13.5" customHeight="1" x14ac:dyDescent="0.25"/>
    <row r="2047" ht="13.5" customHeight="1" x14ac:dyDescent="0.25"/>
    <row r="2048" ht="13.5" customHeight="1" x14ac:dyDescent="0.25"/>
    <row r="2049" ht="13.5" customHeight="1" x14ac:dyDescent="0.25"/>
    <row r="2050" ht="13.5" customHeight="1" x14ac:dyDescent="0.25"/>
    <row r="2051" ht="13.5" customHeight="1" x14ac:dyDescent="0.25"/>
    <row r="2052" ht="13.5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20.25" customHeight="1" x14ac:dyDescent="0.25"/>
    <row r="2058" ht="13.5" customHeight="1" x14ac:dyDescent="0.25"/>
    <row r="2060" ht="13.5" customHeight="1" x14ac:dyDescent="0.25"/>
    <row r="2061" ht="13.5" customHeight="1" x14ac:dyDescent="0.25"/>
    <row r="2062" ht="13.5" customHeight="1" x14ac:dyDescent="0.25"/>
    <row r="2063" ht="13.5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20.25" customHeight="1" x14ac:dyDescent="0.25"/>
    <row r="2069" ht="13.5" customHeight="1" x14ac:dyDescent="0.25"/>
    <row r="2070" ht="13.5" customHeight="1" x14ac:dyDescent="0.25"/>
    <row r="2071" ht="13.5" customHeight="1" x14ac:dyDescent="0.25"/>
    <row r="2072" ht="13.5" customHeight="1" x14ac:dyDescent="0.25"/>
    <row r="2073" ht="13.5" customHeight="1" x14ac:dyDescent="0.25"/>
    <row r="2074" ht="13.5" customHeight="1" x14ac:dyDescent="0.25"/>
    <row r="2075" ht="13.5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20.25" customHeight="1" x14ac:dyDescent="0.25"/>
    <row r="2081" ht="13.5" customHeight="1" x14ac:dyDescent="0.25"/>
    <row r="2083" ht="13.5" customHeight="1" x14ac:dyDescent="0.25"/>
    <row r="2084" ht="13.5" customHeight="1" x14ac:dyDescent="0.25"/>
    <row r="2085" ht="13.5" customHeight="1" x14ac:dyDescent="0.25"/>
    <row r="2086" ht="13.5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20.25" customHeight="1" x14ac:dyDescent="0.25"/>
    <row r="2092" ht="13.5" customHeight="1" x14ac:dyDescent="0.25"/>
    <row r="2093" ht="13.5" customHeight="1" x14ac:dyDescent="0.25"/>
    <row r="2094" ht="13.5" customHeight="1" x14ac:dyDescent="0.25"/>
    <row r="2095" ht="13.5" customHeight="1" x14ac:dyDescent="0.25"/>
    <row r="2096" ht="13.5" customHeight="1" x14ac:dyDescent="0.25"/>
    <row r="2097" ht="13.5" customHeight="1" x14ac:dyDescent="0.25"/>
    <row r="2098" ht="13.5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20.25" customHeight="1" x14ac:dyDescent="0.25"/>
    <row r="2104" ht="13.5" customHeight="1" x14ac:dyDescent="0.25"/>
    <row r="2106" ht="13.5" customHeight="1" x14ac:dyDescent="0.25"/>
    <row r="2107" ht="13.5" customHeight="1" x14ac:dyDescent="0.25"/>
    <row r="2108" ht="13.5" customHeight="1" x14ac:dyDescent="0.25"/>
    <row r="2109" ht="13.5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20.25" customHeight="1" x14ac:dyDescent="0.25"/>
    <row r="2115" ht="13.5" customHeight="1" x14ac:dyDescent="0.25"/>
    <row r="2116" ht="13.5" customHeight="1" x14ac:dyDescent="0.25"/>
    <row r="2117" ht="13.5" customHeight="1" x14ac:dyDescent="0.25"/>
    <row r="2118" ht="13.5" customHeight="1" x14ac:dyDescent="0.25"/>
    <row r="2119" ht="13.5" customHeight="1" x14ac:dyDescent="0.25"/>
    <row r="2120" ht="13.5" customHeight="1" x14ac:dyDescent="0.25"/>
    <row r="2121" ht="13.5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20.25" customHeight="1" x14ac:dyDescent="0.25"/>
    <row r="2127" ht="13.5" customHeight="1" x14ac:dyDescent="0.25"/>
    <row r="2129" ht="13.5" customHeight="1" x14ac:dyDescent="0.25"/>
    <row r="2130" ht="13.5" customHeight="1" x14ac:dyDescent="0.25"/>
    <row r="2131" ht="13.5" customHeight="1" x14ac:dyDescent="0.25"/>
    <row r="2132" ht="13.5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20.25" customHeight="1" x14ac:dyDescent="0.25"/>
    <row r="2138" ht="13.5" customHeight="1" x14ac:dyDescent="0.25"/>
    <row r="2139" ht="13.5" customHeight="1" x14ac:dyDescent="0.25"/>
    <row r="2140" ht="13.5" customHeight="1" x14ac:dyDescent="0.25"/>
    <row r="2141" ht="13.5" customHeight="1" x14ac:dyDescent="0.25"/>
    <row r="2142" ht="13.5" customHeight="1" x14ac:dyDescent="0.25"/>
    <row r="2143" ht="13.5" customHeight="1" x14ac:dyDescent="0.25"/>
    <row r="2144" ht="13.5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20.25" customHeight="1" x14ac:dyDescent="0.25"/>
    <row r="2150" ht="13.5" customHeight="1" x14ac:dyDescent="0.25"/>
    <row r="2152" ht="13.5" customHeight="1" x14ac:dyDescent="0.25"/>
    <row r="2153" ht="13.5" customHeight="1" x14ac:dyDescent="0.25"/>
    <row r="2154" ht="13.5" customHeight="1" x14ac:dyDescent="0.25"/>
    <row r="2155" ht="13.5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20.25" customHeight="1" x14ac:dyDescent="0.25"/>
    <row r="2161" ht="13.5" customHeight="1" x14ac:dyDescent="0.25"/>
    <row r="2162" ht="13.5" customHeight="1" x14ac:dyDescent="0.25"/>
    <row r="2163" ht="13.5" customHeight="1" x14ac:dyDescent="0.25"/>
    <row r="2164" ht="13.5" customHeight="1" x14ac:dyDescent="0.25"/>
    <row r="2165" ht="13.5" customHeight="1" x14ac:dyDescent="0.25"/>
    <row r="2166" ht="13.5" customHeight="1" x14ac:dyDescent="0.25"/>
    <row r="2167" ht="13.5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20.25" customHeight="1" x14ac:dyDescent="0.25"/>
    <row r="2173" ht="13.5" customHeight="1" x14ac:dyDescent="0.25"/>
    <row r="2175" ht="13.5" customHeight="1" x14ac:dyDescent="0.25"/>
    <row r="2176" ht="13.5" customHeight="1" x14ac:dyDescent="0.25"/>
    <row r="2177" ht="13.5" customHeight="1" x14ac:dyDescent="0.25"/>
    <row r="2178" ht="13.5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20.25" customHeight="1" x14ac:dyDescent="0.25"/>
    <row r="2184" ht="13.5" customHeight="1" x14ac:dyDescent="0.25"/>
    <row r="2185" ht="13.5" customHeight="1" x14ac:dyDescent="0.25"/>
    <row r="2186" ht="13.5" customHeight="1" x14ac:dyDescent="0.25"/>
    <row r="2187" ht="13.5" customHeight="1" x14ac:dyDescent="0.25"/>
    <row r="2188" ht="13.5" customHeight="1" x14ac:dyDescent="0.25"/>
    <row r="2189" ht="13.5" customHeight="1" x14ac:dyDescent="0.25"/>
    <row r="2190" ht="13.5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20.25" customHeight="1" x14ac:dyDescent="0.25"/>
    <row r="2196" ht="13.5" customHeight="1" x14ac:dyDescent="0.25"/>
    <row r="2198" ht="13.5" customHeight="1" x14ac:dyDescent="0.25"/>
    <row r="2199" ht="13.5" customHeight="1" x14ac:dyDescent="0.25"/>
    <row r="2200" ht="13.5" customHeight="1" x14ac:dyDescent="0.25"/>
    <row r="2201" ht="13.5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20.25" customHeight="1" x14ac:dyDescent="0.25"/>
    <row r="2207" ht="13.5" customHeight="1" x14ac:dyDescent="0.25"/>
    <row r="2208" ht="13.5" customHeight="1" x14ac:dyDescent="0.25"/>
    <row r="2209" ht="13.5" customHeight="1" x14ac:dyDescent="0.25"/>
    <row r="2210" ht="13.5" customHeight="1" x14ac:dyDescent="0.25"/>
    <row r="2211" ht="13.5" customHeight="1" x14ac:dyDescent="0.25"/>
    <row r="2212" ht="13.5" customHeight="1" x14ac:dyDescent="0.25"/>
    <row r="2213" ht="13.5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20.25" customHeight="1" x14ac:dyDescent="0.25"/>
    <row r="2219" ht="13.5" customHeight="1" x14ac:dyDescent="0.25"/>
    <row r="2221" ht="13.5" customHeight="1" x14ac:dyDescent="0.25"/>
    <row r="2222" ht="13.5" customHeight="1" x14ac:dyDescent="0.25"/>
    <row r="2223" ht="13.5" customHeight="1" x14ac:dyDescent="0.25"/>
    <row r="2224" ht="13.5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20.25" customHeight="1" x14ac:dyDescent="0.25"/>
    <row r="2230" ht="13.5" customHeight="1" x14ac:dyDescent="0.25"/>
    <row r="2231" ht="13.5" customHeight="1" x14ac:dyDescent="0.25"/>
    <row r="2232" ht="13.5" customHeight="1" x14ac:dyDescent="0.25"/>
    <row r="2233" ht="13.5" customHeight="1" x14ac:dyDescent="0.25"/>
    <row r="2234" ht="13.5" customHeight="1" x14ac:dyDescent="0.25"/>
    <row r="2235" ht="13.5" customHeight="1" x14ac:dyDescent="0.25"/>
    <row r="2236" ht="13.5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20.25" customHeight="1" x14ac:dyDescent="0.25"/>
    <row r="2242" ht="13.5" customHeight="1" x14ac:dyDescent="0.25"/>
    <row r="2244" ht="13.5" customHeight="1" x14ac:dyDescent="0.25"/>
    <row r="2245" ht="13.5" customHeight="1" x14ac:dyDescent="0.25"/>
    <row r="2246" ht="13.5" customHeight="1" x14ac:dyDescent="0.25"/>
    <row r="2247" ht="13.5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20.25" customHeight="1" x14ac:dyDescent="0.25"/>
    <row r="2253" ht="13.5" customHeight="1" x14ac:dyDescent="0.25"/>
    <row r="2254" ht="13.5" customHeight="1" x14ac:dyDescent="0.25"/>
    <row r="2255" ht="13.5" customHeight="1" x14ac:dyDescent="0.25"/>
    <row r="2256" ht="13.5" customHeight="1" x14ac:dyDescent="0.25"/>
    <row r="2257" ht="13.5" customHeight="1" x14ac:dyDescent="0.25"/>
    <row r="2258" ht="13.5" customHeight="1" x14ac:dyDescent="0.25"/>
    <row r="2259" ht="13.5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20.25" customHeight="1" x14ac:dyDescent="0.25"/>
    <row r="2265" ht="13.5" customHeight="1" x14ac:dyDescent="0.25"/>
    <row r="2267" ht="13.5" customHeight="1" x14ac:dyDescent="0.25"/>
    <row r="2268" ht="13.5" customHeight="1" x14ac:dyDescent="0.25"/>
    <row r="2269" ht="13.5" customHeight="1" x14ac:dyDescent="0.25"/>
    <row r="2270" ht="13.5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20.25" customHeight="1" x14ac:dyDescent="0.25"/>
    <row r="2276" ht="13.5" customHeight="1" x14ac:dyDescent="0.25"/>
    <row r="2277" ht="13.5" customHeight="1" x14ac:dyDescent="0.25"/>
    <row r="2278" ht="13.5" customHeight="1" x14ac:dyDescent="0.25"/>
    <row r="2279" ht="13.5" customHeight="1" x14ac:dyDescent="0.25"/>
    <row r="2280" ht="13.5" customHeight="1" x14ac:dyDescent="0.25"/>
    <row r="2281" ht="13.5" customHeight="1" x14ac:dyDescent="0.25"/>
    <row r="2282" ht="13.5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20.25" customHeight="1" x14ac:dyDescent="0.25"/>
    <row r="2288" ht="13.5" customHeight="1" x14ac:dyDescent="0.25"/>
    <row r="2290" ht="13.5" customHeight="1" x14ac:dyDescent="0.25"/>
    <row r="2291" ht="13.5" customHeight="1" x14ac:dyDescent="0.25"/>
    <row r="2292" ht="13.5" customHeight="1" x14ac:dyDescent="0.25"/>
    <row r="2293" ht="13.5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20.25" customHeight="1" x14ac:dyDescent="0.25"/>
    <row r="2299" ht="13.5" customHeight="1" x14ac:dyDescent="0.25"/>
    <row r="2300" ht="13.5" customHeight="1" x14ac:dyDescent="0.25"/>
    <row r="2301" ht="13.5" customHeight="1" x14ac:dyDescent="0.25"/>
    <row r="2302" ht="13.5" customHeight="1" x14ac:dyDescent="0.25"/>
    <row r="2303" ht="13.5" customHeight="1" x14ac:dyDescent="0.25"/>
    <row r="2304" ht="13.5" customHeight="1" x14ac:dyDescent="0.25"/>
    <row r="2305" ht="13.5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20.25" customHeight="1" x14ac:dyDescent="0.25"/>
    <row r="2311" ht="13.5" customHeight="1" x14ac:dyDescent="0.25"/>
    <row r="2313" ht="13.5" customHeight="1" x14ac:dyDescent="0.25"/>
    <row r="2314" ht="13.5" customHeight="1" x14ac:dyDescent="0.25"/>
    <row r="2315" ht="13.5" customHeight="1" x14ac:dyDescent="0.25"/>
    <row r="2316" ht="13.5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20.25" customHeight="1" x14ac:dyDescent="0.25"/>
    <row r="2322" ht="13.5" customHeight="1" x14ac:dyDescent="0.25"/>
    <row r="2323" ht="13.5" customHeight="1" x14ac:dyDescent="0.25"/>
    <row r="2324" ht="13.5" customHeight="1" x14ac:dyDescent="0.25"/>
    <row r="2325" ht="13.5" customHeight="1" x14ac:dyDescent="0.25"/>
    <row r="2326" ht="13.5" customHeight="1" x14ac:dyDescent="0.25"/>
    <row r="2327" ht="13.5" customHeight="1" x14ac:dyDescent="0.25"/>
    <row r="2328" ht="13.5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20.25" customHeight="1" x14ac:dyDescent="0.25"/>
    <row r="2334" ht="13.5" customHeight="1" x14ac:dyDescent="0.25"/>
    <row r="2336" ht="13.5" customHeight="1" x14ac:dyDescent="0.25"/>
    <row r="2337" ht="13.5" customHeight="1" x14ac:dyDescent="0.25"/>
    <row r="2338" ht="13.5" customHeight="1" x14ac:dyDescent="0.25"/>
    <row r="2339" ht="13.5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20.25" customHeight="1" x14ac:dyDescent="0.25"/>
    <row r="2345" ht="13.5" customHeight="1" x14ac:dyDescent="0.25"/>
    <row r="2346" ht="13.5" customHeight="1" x14ac:dyDescent="0.25"/>
    <row r="2347" ht="13.5" customHeight="1" x14ac:dyDescent="0.25"/>
    <row r="2348" ht="13.5" customHeight="1" x14ac:dyDescent="0.25"/>
    <row r="2349" ht="13.5" customHeight="1" x14ac:dyDescent="0.25"/>
    <row r="2350" ht="13.5" customHeight="1" x14ac:dyDescent="0.25"/>
    <row r="2351" ht="13.5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20.25" customHeight="1" x14ac:dyDescent="0.25"/>
    <row r="2357" ht="13.5" customHeight="1" x14ac:dyDescent="0.25"/>
    <row r="2359" ht="13.5" customHeight="1" x14ac:dyDescent="0.25"/>
    <row r="2360" ht="13.5" customHeight="1" x14ac:dyDescent="0.25"/>
    <row r="2361" ht="13.5" customHeight="1" x14ac:dyDescent="0.25"/>
    <row r="2362" ht="13.5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20.25" customHeight="1" x14ac:dyDescent="0.25"/>
    <row r="2368" ht="13.5" customHeight="1" x14ac:dyDescent="0.25"/>
    <row r="2369" ht="13.5" customHeight="1" x14ac:dyDescent="0.25"/>
    <row r="2370" ht="13.5" customHeight="1" x14ac:dyDescent="0.25"/>
    <row r="2371" ht="13.5" customHeight="1" x14ac:dyDescent="0.25"/>
    <row r="2372" ht="13.5" customHeight="1" x14ac:dyDescent="0.25"/>
    <row r="2373" ht="13.5" customHeight="1" x14ac:dyDescent="0.25"/>
    <row r="2374" ht="13.5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20.25" customHeight="1" x14ac:dyDescent="0.25"/>
    <row r="2380" ht="13.5" customHeight="1" x14ac:dyDescent="0.25"/>
    <row r="2382" ht="13.5" customHeight="1" x14ac:dyDescent="0.25"/>
    <row r="2383" ht="13.5" customHeight="1" x14ac:dyDescent="0.25"/>
    <row r="2384" ht="13.5" customHeight="1" x14ac:dyDescent="0.25"/>
    <row r="2385" ht="13.5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20.25" customHeight="1" x14ac:dyDescent="0.25"/>
    <row r="2391" ht="13.5" customHeight="1" x14ac:dyDescent="0.25"/>
    <row r="2392" ht="13.5" customHeight="1" x14ac:dyDescent="0.25"/>
    <row r="2393" ht="13.5" customHeight="1" x14ac:dyDescent="0.25"/>
    <row r="2394" ht="13.5" customHeight="1" x14ac:dyDescent="0.25"/>
    <row r="2395" ht="13.5" customHeight="1" x14ac:dyDescent="0.25"/>
    <row r="2396" ht="13.5" customHeight="1" x14ac:dyDescent="0.25"/>
    <row r="2397" ht="13.5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20.25" customHeight="1" x14ac:dyDescent="0.25"/>
    <row r="2403" ht="13.5" customHeight="1" x14ac:dyDescent="0.25"/>
    <row r="2405" ht="13.5" customHeight="1" x14ac:dyDescent="0.25"/>
    <row r="2406" ht="13.5" customHeight="1" x14ac:dyDescent="0.25"/>
    <row r="2407" ht="13.5" customHeight="1" x14ac:dyDescent="0.25"/>
    <row r="2408" ht="13.5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20.25" customHeight="1" x14ac:dyDescent="0.25"/>
    <row r="2414" ht="13.5" customHeight="1" x14ac:dyDescent="0.25"/>
    <row r="2415" ht="13.5" customHeight="1" x14ac:dyDescent="0.25"/>
    <row r="2416" ht="13.5" customHeight="1" x14ac:dyDescent="0.25"/>
    <row r="2417" ht="13.5" customHeight="1" x14ac:dyDescent="0.25"/>
    <row r="2418" ht="13.5" customHeight="1" x14ac:dyDescent="0.25"/>
    <row r="2419" ht="13.5" customHeight="1" x14ac:dyDescent="0.25"/>
    <row r="2420" ht="13.5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20.25" customHeight="1" x14ac:dyDescent="0.25"/>
    <row r="2426" ht="13.5" customHeight="1" x14ac:dyDescent="0.25"/>
    <row r="2428" ht="13.5" customHeight="1" x14ac:dyDescent="0.25"/>
    <row r="2429" ht="13.5" customHeight="1" x14ac:dyDescent="0.25"/>
    <row r="2430" ht="13.5" customHeight="1" x14ac:dyDescent="0.25"/>
    <row r="2431" ht="13.5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20.25" customHeight="1" x14ac:dyDescent="0.25"/>
    <row r="2437" ht="13.5" customHeight="1" x14ac:dyDescent="0.25"/>
    <row r="2438" ht="13.5" customHeight="1" x14ac:dyDescent="0.25"/>
    <row r="2439" ht="13.5" customHeight="1" x14ac:dyDescent="0.25"/>
    <row r="2440" ht="13.5" customHeight="1" x14ac:dyDescent="0.25"/>
    <row r="2441" ht="13.5" customHeight="1" x14ac:dyDescent="0.25"/>
    <row r="2442" ht="13.5" customHeight="1" x14ac:dyDescent="0.25"/>
    <row r="2443" ht="13.5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20.25" customHeight="1" x14ac:dyDescent="0.25"/>
    <row r="2449" ht="13.5" customHeight="1" x14ac:dyDescent="0.25"/>
    <row r="2451" ht="13.5" customHeight="1" x14ac:dyDescent="0.25"/>
    <row r="2452" ht="13.5" customHeight="1" x14ac:dyDescent="0.25"/>
    <row r="2453" ht="13.5" customHeight="1" x14ac:dyDescent="0.25"/>
    <row r="2454" ht="13.5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20.25" customHeight="1" x14ac:dyDescent="0.25"/>
    <row r="2460" ht="13.5" customHeight="1" x14ac:dyDescent="0.25"/>
    <row r="2461" ht="13.5" customHeight="1" x14ac:dyDescent="0.25"/>
    <row r="2462" ht="13.5" customHeight="1" x14ac:dyDescent="0.25"/>
    <row r="2463" ht="13.5" customHeight="1" x14ac:dyDescent="0.25"/>
    <row r="2464" ht="13.5" customHeight="1" x14ac:dyDescent="0.25"/>
    <row r="2465" ht="13.5" customHeight="1" x14ac:dyDescent="0.25"/>
    <row r="2466" ht="13.5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20.25" customHeight="1" x14ac:dyDescent="0.25"/>
    <row r="2472" ht="13.5" customHeight="1" x14ac:dyDescent="0.25"/>
    <row r="2474" ht="13.5" customHeight="1" x14ac:dyDescent="0.25"/>
    <row r="2475" ht="13.5" customHeight="1" x14ac:dyDescent="0.25"/>
    <row r="2476" ht="13.5" customHeight="1" x14ac:dyDescent="0.25"/>
    <row r="2477" ht="13.5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20.25" customHeight="1" x14ac:dyDescent="0.25"/>
    <row r="2483" ht="13.5" customHeight="1" x14ac:dyDescent="0.25"/>
    <row r="2484" ht="13.5" customHeight="1" x14ac:dyDescent="0.25"/>
    <row r="2485" ht="13.5" customHeight="1" x14ac:dyDescent="0.25"/>
    <row r="2486" ht="13.5" customHeight="1" x14ac:dyDescent="0.25"/>
    <row r="2487" ht="13.5" customHeight="1" x14ac:dyDescent="0.25"/>
    <row r="2488" ht="13.5" customHeight="1" x14ac:dyDescent="0.25"/>
    <row r="2489" ht="13.5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20.25" customHeight="1" x14ac:dyDescent="0.25"/>
    <row r="2495" ht="13.5" customHeight="1" x14ac:dyDescent="0.25"/>
    <row r="2497" ht="13.5" customHeight="1" x14ac:dyDescent="0.25"/>
    <row r="2498" ht="13.5" customHeight="1" x14ac:dyDescent="0.25"/>
    <row r="2499" ht="13.5" customHeight="1" x14ac:dyDescent="0.25"/>
    <row r="2500" ht="13.5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20.25" customHeight="1" x14ac:dyDescent="0.25"/>
    <row r="2506" ht="13.5" customHeight="1" x14ac:dyDescent="0.25"/>
    <row r="2507" ht="13.5" customHeight="1" x14ac:dyDescent="0.25"/>
    <row r="2508" ht="13.5" customHeight="1" x14ac:dyDescent="0.25"/>
    <row r="2509" ht="13.5" customHeight="1" x14ac:dyDescent="0.25"/>
    <row r="2510" ht="13.5" customHeight="1" x14ac:dyDescent="0.25"/>
    <row r="2511" ht="13.5" customHeight="1" x14ac:dyDescent="0.25"/>
    <row r="2512" ht="13.5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20.25" customHeight="1" x14ac:dyDescent="0.25"/>
    <row r="2518" ht="13.5" customHeight="1" x14ac:dyDescent="0.25"/>
    <row r="2520" ht="13.5" customHeight="1" x14ac:dyDescent="0.25"/>
    <row r="2521" ht="13.5" customHeight="1" x14ac:dyDescent="0.25"/>
    <row r="2522" ht="13.5" customHeight="1" x14ac:dyDescent="0.25"/>
    <row r="2523" ht="13.5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20.25" customHeight="1" x14ac:dyDescent="0.25"/>
    <row r="2529" ht="13.5" customHeight="1" x14ac:dyDescent="0.25"/>
    <row r="2530" ht="13.5" customHeight="1" x14ac:dyDescent="0.25"/>
    <row r="2531" ht="13.5" customHeight="1" x14ac:dyDescent="0.25"/>
    <row r="2532" ht="13.5" customHeight="1" x14ac:dyDescent="0.25"/>
    <row r="2533" ht="13.5" customHeight="1" x14ac:dyDescent="0.25"/>
    <row r="2534" ht="13.5" customHeight="1" x14ac:dyDescent="0.25"/>
    <row r="2535" ht="13.5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20.25" customHeight="1" x14ac:dyDescent="0.25"/>
    <row r="2541" ht="13.5" customHeight="1" x14ac:dyDescent="0.25"/>
    <row r="2543" ht="13.5" customHeight="1" x14ac:dyDescent="0.25"/>
    <row r="2544" ht="13.5" customHeight="1" x14ac:dyDescent="0.25"/>
    <row r="2545" ht="13.5" customHeight="1" x14ac:dyDescent="0.25"/>
    <row r="2546" ht="13.5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20.25" customHeight="1" x14ac:dyDescent="0.25"/>
    <row r="2552" ht="13.5" customHeight="1" x14ac:dyDescent="0.25"/>
    <row r="2553" ht="13.5" customHeight="1" x14ac:dyDescent="0.25"/>
    <row r="2554" ht="13.5" customHeight="1" x14ac:dyDescent="0.25"/>
    <row r="2555" ht="13.5" customHeight="1" x14ac:dyDescent="0.25"/>
    <row r="2556" ht="13.5" customHeight="1" x14ac:dyDescent="0.25"/>
    <row r="2557" ht="13.5" customHeight="1" x14ac:dyDescent="0.25"/>
    <row r="2558" ht="13.5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20.25" customHeight="1" x14ac:dyDescent="0.25"/>
    <row r="2564" ht="13.5" customHeight="1" x14ac:dyDescent="0.25"/>
    <row r="2566" ht="13.5" customHeight="1" x14ac:dyDescent="0.25"/>
    <row r="2567" ht="13.5" customHeight="1" x14ac:dyDescent="0.25"/>
    <row r="2568" ht="13.5" customHeight="1" x14ac:dyDescent="0.25"/>
    <row r="2569" ht="13.5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20.25" customHeight="1" x14ac:dyDescent="0.25"/>
    <row r="2575" ht="13.5" customHeight="1" x14ac:dyDescent="0.25"/>
    <row r="2576" ht="13.5" customHeight="1" x14ac:dyDescent="0.25"/>
    <row r="2577" ht="13.5" customHeight="1" x14ac:dyDescent="0.25"/>
    <row r="2578" ht="13.5" customHeight="1" x14ac:dyDescent="0.25"/>
    <row r="2579" ht="13.5" customHeight="1" x14ac:dyDescent="0.25"/>
    <row r="2580" ht="13.5" customHeight="1" x14ac:dyDescent="0.25"/>
    <row r="2581" ht="13.5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20.25" customHeight="1" x14ac:dyDescent="0.25"/>
    <row r="2587" ht="13.5" customHeight="1" x14ac:dyDescent="0.25"/>
    <row r="2589" ht="13.5" customHeight="1" x14ac:dyDescent="0.25"/>
    <row r="2590" ht="13.5" customHeight="1" x14ac:dyDescent="0.25"/>
    <row r="2591" ht="13.5" customHeight="1" x14ac:dyDescent="0.25"/>
    <row r="2592" ht="13.5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20.25" customHeight="1" x14ac:dyDescent="0.25"/>
    <row r="2598" ht="13.5" customHeight="1" x14ac:dyDescent="0.25"/>
    <row r="2599" ht="13.5" customHeight="1" x14ac:dyDescent="0.25"/>
    <row r="2600" ht="13.5" customHeight="1" x14ac:dyDescent="0.25"/>
    <row r="2601" ht="13.5" customHeight="1" x14ac:dyDescent="0.25"/>
    <row r="2602" ht="13.5" customHeight="1" x14ac:dyDescent="0.25"/>
    <row r="2603" ht="13.5" customHeight="1" x14ac:dyDescent="0.25"/>
    <row r="2604" ht="13.5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20.25" customHeight="1" x14ac:dyDescent="0.25"/>
    <row r="2610" ht="13.5" customHeight="1" x14ac:dyDescent="0.25"/>
    <row r="2612" ht="13.5" customHeight="1" x14ac:dyDescent="0.25"/>
    <row r="2613" ht="13.5" customHeight="1" x14ac:dyDescent="0.25"/>
    <row r="2614" ht="13.5" customHeight="1" x14ac:dyDescent="0.25"/>
    <row r="2615" ht="13.5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20.25" customHeight="1" x14ac:dyDescent="0.25"/>
    <row r="2621" ht="13.5" customHeight="1" x14ac:dyDescent="0.25"/>
    <row r="2622" ht="13.5" customHeight="1" x14ac:dyDescent="0.25"/>
    <row r="2623" ht="13.5" customHeight="1" x14ac:dyDescent="0.25"/>
    <row r="2624" ht="13.5" customHeight="1" x14ac:dyDescent="0.25"/>
    <row r="2625" ht="13.5" customHeight="1" x14ac:dyDescent="0.25"/>
    <row r="2626" ht="13.5" customHeight="1" x14ac:dyDescent="0.25"/>
    <row r="2627" ht="13.5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20.25" customHeight="1" x14ac:dyDescent="0.25"/>
    <row r="2633" ht="13.5" customHeight="1" x14ac:dyDescent="0.25"/>
    <row r="2635" ht="13.5" customHeight="1" x14ac:dyDescent="0.25"/>
    <row r="2636" ht="13.5" customHeight="1" x14ac:dyDescent="0.25"/>
    <row r="2637" ht="13.5" customHeight="1" x14ac:dyDescent="0.25"/>
    <row r="2638" ht="13.5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20.25" customHeight="1" x14ac:dyDescent="0.25"/>
    <row r="2644" ht="13.5" customHeight="1" x14ac:dyDescent="0.25"/>
    <row r="2645" ht="13.5" customHeight="1" x14ac:dyDescent="0.25"/>
    <row r="2646" ht="13.5" customHeight="1" x14ac:dyDescent="0.25"/>
    <row r="2647" ht="13.5" customHeight="1" x14ac:dyDescent="0.25"/>
    <row r="2648" ht="13.5" customHeight="1" x14ac:dyDescent="0.25"/>
    <row r="2649" ht="13.5" customHeight="1" x14ac:dyDescent="0.25"/>
    <row r="2650" ht="13.5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20.25" customHeight="1" x14ac:dyDescent="0.25"/>
    <row r="2656" ht="13.5" customHeight="1" x14ac:dyDescent="0.25"/>
    <row r="2658" ht="13.5" customHeight="1" x14ac:dyDescent="0.25"/>
    <row r="2659" ht="13.5" customHeight="1" x14ac:dyDescent="0.25"/>
    <row r="2660" ht="13.5" customHeight="1" x14ac:dyDescent="0.25"/>
    <row r="2661" ht="13.5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20.25" customHeight="1" x14ac:dyDescent="0.25"/>
    <row r="2667" ht="13.5" customHeight="1" x14ac:dyDescent="0.25"/>
    <row r="2668" ht="13.5" customHeight="1" x14ac:dyDescent="0.25"/>
    <row r="2669" ht="13.5" customHeight="1" x14ac:dyDescent="0.25"/>
    <row r="2670" ht="13.5" customHeight="1" x14ac:dyDescent="0.25"/>
    <row r="2671" ht="13.5" customHeight="1" x14ac:dyDescent="0.25"/>
    <row r="2672" ht="13.5" customHeight="1" x14ac:dyDescent="0.25"/>
    <row r="2673" ht="13.5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20.25" customHeight="1" x14ac:dyDescent="0.25"/>
    <row r="2679" ht="13.5" customHeight="1" x14ac:dyDescent="0.25"/>
    <row r="2681" ht="13.5" customHeight="1" x14ac:dyDescent="0.25"/>
    <row r="2682" ht="13.5" customHeight="1" x14ac:dyDescent="0.25"/>
    <row r="2683" ht="13.5" customHeight="1" x14ac:dyDescent="0.25"/>
    <row r="2684" ht="13.5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20.25" customHeight="1" x14ac:dyDescent="0.25"/>
    <row r="2690" ht="13.5" customHeight="1" x14ac:dyDescent="0.25"/>
    <row r="2691" ht="13.5" customHeight="1" x14ac:dyDescent="0.25"/>
    <row r="2692" ht="13.5" customHeight="1" x14ac:dyDescent="0.25"/>
    <row r="2693" ht="13.5" customHeight="1" x14ac:dyDescent="0.25"/>
    <row r="2694" ht="13.5" customHeight="1" x14ac:dyDescent="0.25"/>
    <row r="2695" ht="13.5" customHeight="1" x14ac:dyDescent="0.25"/>
    <row r="2696" ht="13.5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20.25" customHeight="1" x14ac:dyDescent="0.25"/>
    <row r="2702" ht="13.5" customHeight="1" x14ac:dyDescent="0.25"/>
    <row r="2704" ht="13.5" customHeight="1" x14ac:dyDescent="0.25"/>
    <row r="2705" ht="13.5" customHeight="1" x14ac:dyDescent="0.25"/>
    <row r="2706" ht="13.5" customHeight="1" x14ac:dyDescent="0.25"/>
    <row r="2707" ht="13.5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20.25" customHeight="1" x14ac:dyDescent="0.25"/>
    <row r="2713" ht="13.5" customHeight="1" x14ac:dyDescent="0.25"/>
    <row r="2714" ht="13.5" customHeight="1" x14ac:dyDescent="0.25"/>
    <row r="2715" ht="13.5" customHeight="1" x14ac:dyDescent="0.25"/>
    <row r="2716" ht="13.5" customHeight="1" x14ac:dyDescent="0.25"/>
    <row r="2717" ht="13.5" customHeight="1" x14ac:dyDescent="0.25"/>
    <row r="2718" ht="13.5" customHeight="1" x14ac:dyDescent="0.25"/>
    <row r="2719" ht="13.5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20.25" customHeight="1" x14ac:dyDescent="0.25"/>
    <row r="2725" ht="13.5" customHeight="1" x14ac:dyDescent="0.25"/>
    <row r="2727" ht="13.5" customHeight="1" x14ac:dyDescent="0.25"/>
    <row r="2728" ht="13.5" customHeight="1" x14ac:dyDescent="0.25"/>
    <row r="2729" ht="13.5" customHeight="1" x14ac:dyDescent="0.25"/>
    <row r="2730" ht="13.5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20.25" customHeight="1" x14ac:dyDescent="0.25"/>
    <row r="2736" ht="13.5" customHeight="1" x14ac:dyDescent="0.25"/>
    <row r="2737" ht="13.5" customHeight="1" x14ac:dyDescent="0.25"/>
    <row r="2738" ht="13.5" customHeight="1" x14ac:dyDescent="0.25"/>
    <row r="2739" ht="13.5" customHeight="1" x14ac:dyDescent="0.25"/>
    <row r="2740" ht="13.5" customHeight="1" x14ac:dyDescent="0.25"/>
    <row r="2741" ht="13.5" customHeight="1" x14ac:dyDescent="0.25"/>
    <row r="2742" ht="13.5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20.25" customHeight="1" x14ac:dyDescent="0.25"/>
    <row r="2748" ht="13.5" customHeight="1" x14ac:dyDescent="0.25"/>
    <row r="2750" ht="13.5" customHeight="1" x14ac:dyDescent="0.25"/>
    <row r="2751" ht="13.5" customHeight="1" x14ac:dyDescent="0.25"/>
    <row r="2752" ht="13.5" customHeight="1" x14ac:dyDescent="0.25"/>
    <row r="2753" ht="13.5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20.25" customHeight="1" x14ac:dyDescent="0.25"/>
    <row r="2759" ht="13.5" customHeight="1" x14ac:dyDescent="0.25"/>
    <row r="2760" ht="13.5" customHeight="1" x14ac:dyDescent="0.25"/>
    <row r="2761" ht="13.5" customHeight="1" x14ac:dyDescent="0.25"/>
    <row r="2762" ht="13.5" customHeight="1" x14ac:dyDescent="0.25"/>
    <row r="2763" ht="13.5" customHeight="1" x14ac:dyDescent="0.25"/>
    <row r="2764" ht="13.5" customHeight="1" x14ac:dyDescent="0.25"/>
    <row r="2765" ht="13.5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20.25" customHeight="1" x14ac:dyDescent="0.25"/>
    <row r="2771" ht="13.5" customHeight="1" x14ac:dyDescent="0.25"/>
    <row r="2773" ht="13.5" customHeight="1" x14ac:dyDescent="0.25"/>
    <row r="2774" ht="13.5" customHeight="1" x14ac:dyDescent="0.25"/>
    <row r="2775" ht="13.5" customHeight="1" x14ac:dyDescent="0.25"/>
    <row r="2776" ht="13.5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20.25" customHeight="1" x14ac:dyDescent="0.25"/>
    <row r="2782" ht="13.5" customHeight="1" x14ac:dyDescent="0.25"/>
    <row r="2783" ht="13.5" customHeight="1" x14ac:dyDescent="0.25"/>
    <row r="2784" ht="13.5" customHeight="1" x14ac:dyDescent="0.25"/>
    <row r="2785" ht="13.5" customHeight="1" x14ac:dyDescent="0.25"/>
    <row r="2786" ht="13.5" customHeight="1" x14ac:dyDescent="0.25"/>
    <row r="2787" ht="13.5" customHeight="1" x14ac:dyDescent="0.25"/>
    <row r="2788" ht="13.5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20.25" customHeight="1" x14ac:dyDescent="0.25"/>
    <row r="2794" ht="13.5" customHeight="1" x14ac:dyDescent="0.25"/>
    <row r="2796" ht="13.5" customHeight="1" x14ac:dyDescent="0.25"/>
    <row r="2797" ht="13.5" customHeight="1" x14ac:dyDescent="0.25"/>
    <row r="2798" ht="13.5" customHeight="1" x14ac:dyDescent="0.25"/>
    <row r="2799" ht="13.5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20.25" customHeight="1" x14ac:dyDescent="0.25"/>
    <row r="2805" ht="13.5" customHeight="1" x14ac:dyDescent="0.25"/>
    <row r="2806" ht="13.5" customHeight="1" x14ac:dyDescent="0.25"/>
    <row r="2807" ht="13.5" customHeight="1" x14ac:dyDescent="0.25"/>
    <row r="2808" ht="13.5" customHeight="1" x14ac:dyDescent="0.25"/>
    <row r="2809" ht="13.5" customHeight="1" x14ac:dyDescent="0.25"/>
    <row r="2810" ht="13.5" customHeight="1" x14ac:dyDescent="0.25"/>
    <row r="2811" ht="13.5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20.25" customHeight="1" x14ac:dyDescent="0.25"/>
    <row r="2817" ht="13.5" customHeight="1" x14ac:dyDescent="0.25"/>
    <row r="2819" ht="13.5" customHeight="1" x14ac:dyDescent="0.25"/>
    <row r="2820" ht="13.5" customHeight="1" x14ac:dyDescent="0.25"/>
    <row r="2821" ht="13.5" customHeight="1" x14ac:dyDescent="0.25"/>
    <row r="2822" ht="13.5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20.25" customHeight="1" x14ac:dyDescent="0.25"/>
    <row r="2828" ht="13.5" customHeight="1" x14ac:dyDescent="0.25"/>
    <row r="2829" ht="13.5" customHeight="1" x14ac:dyDescent="0.25"/>
    <row r="2830" ht="13.5" customHeight="1" x14ac:dyDescent="0.25"/>
    <row r="2831" ht="13.5" customHeight="1" x14ac:dyDescent="0.25"/>
    <row r="2832" ht="13.5" customHeight="1" x14ac:dyDescent="0.25"/>
    <row r="2833" ht="13.5" customHeight="1" x14ac:dyDescent="0.25"/>
    <row r="2834" ht="13.5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20.25" customHeight="1" x14ac:dyDescent="0.25"/>
    <row r="2840" ht="13.5" customHeight="1" x14ac:dyDescent="0.25"/>
    <row r="2842" ht="13.5" customHeight="1" x14ac:dyDescent="0.25"/>
    <row r="2843" ht="13.5" customHeight="1" x14ac:dyDescent="0.25"/>
    <row r="2844" ht="13.5" customHeight="1" x14ac:dyDescent="0.25"/>
    <row r="2845" ht="13.5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20.25" customHeight="1" x14ac:dyDescent="0.25"/>
    <row r="2851" ht="13.5" customHeight="1" x14ac:dyDescent="0.25"/>
    <row r="2852" ht="13.5" customHeight="1" x14ac:dyDescent="0.25"/>
    <row r="2853" ht="13.5" customHeight="1" x14ac:dyDescent="0.25"/>
    <row r="2854" ht="13.5" customHeight="1" x14ac:dyDescent="0.25"/>
    <row r="2855" ht="13.5" customHeight="1" x14ac:dyDescent="0.25"/>
    <row r="2856" ht="13.5" customHeight="1" x14ac:dyDescent="0.25"/>
    <row r="2857" ht="13.5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20.25" customHeight="1" x14ac:dyDescent="0.25"/>
    <row r="2863" ht="13.5" customHeight="1" x14ac:dyDescent="0.25"/>
    <row r="2865" ht="13.5" customHeight="1" x14ac:dyDescent="0.25"/>
    <row r="2866" ht="13.5" customHeight="1" x14ac:dyDescent="0.25"/>
    <row r="2867" ht="13.5" customHeight="1" x14ac:dyDescent="0.25"/>
    <row r="2868" ht="13.5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20.25" customHeight="1" x14ac:dyDescent="0.25"/>
    <row r="2874" ht="13.5" customHeight="1" x14ac:dyDescent="0.25"/>
    <row r="2875" ht="13.5" customHeight="1" x14ac:dyDescent="0.25"/>
    <row r="2876" ht="13.5" customHeight="1" x14ac:dyDescent="0.25"/>
    <row r="2877" ht="13.5" customHeight="1" x14ac:dyDescent="0.25"/>
    <row r="2878" ht="13.5" customHeight="1" x14ac:dyDescent="0.25"/>
    <row r="2879" ht="13.5" customHeight="1" x14ac:dyDescent="0.25"/>
    <row r="2880" ht="13.5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20.25" customHeight="1" x14ac:dyDescent="0.25"/>
    <row r="2886" ht="13.5" customHeight="1" x14ac:dyDescent="0.25"/>
    <row r="2888" ht="13.5" customHeight="1" x14ac:dyDescent="0.25"/>
    <row r="2889" ht="13.5" customHeight="1" x14ac:dyDescent="0.25"/>
    <row r="2890" ht="13.5" customHeight="1" x14ac:dyDescent="0.25"/>
    <row r="2891" ht="13.5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20.25" customHeight="1" x14ac:dyDescent="0.25"/>
    <row r="2897" ht="13.5" customHeight="1" x14ac:dyDescent="0.25"/>
    <row r="2898" ht="13.5" customHeight="1" x14ac:dyDescent="0.25"/>
    <row r="2899" ht="13.5" customHeight="1" x14ac:dyDescent="0.25"/>
    <row r="2900" ht="13.5" customHeight="1" x14ac:dyDescent="0.25"/>
    <row r="2901" ht="13.5" customHeight="1" x14ac:dyDescent="0.25"/>
    <row r="2902" ht="13.5" customHeight="1" x14ac:dyDescent="0.25"/>
    <row r="2903" ht="13.5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20.25" customHeight="1" x14ac:dyDescent="0.25"/>
    <row r="2909" ht="13.5" customHeight="1" x14ac:dyDescent="0.25"/>
    <row r="2911" ht="13.5" customHeight="1" x14ac:dyDescent="0.25"/>
    <row r="2912" ht="13.5" customHeight="1" x14ac:dyDescent="0.25"/>
    <row r="2913" ht="13.5" customHeight="1" x14ac:dyDescent="0.25"/>
    <row r="2914" ht="13.5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20.25" customHeight="1" x14ac:dyDescent="0.25"/>
    <row r="2920" ht="13.5" customHeight="1" x14ac:dyDescent="0.25"/>
    <row r="2921" ht="13.5" customHeight="1" x14ac:dyDescent="0.25"/>
    <row r="2922" ht="13.5" customHeight="1" x14ac:dyDescent="0.25"/>
    <row r="2923" ht="13.5" customHeight="1" x14ac:dyDescent="0.25"/>
    <row r="2924" ht="13.5" customHeight="1" x14ac:dyDescent="0.25"/>
    <row r="2925" ht="13.5" customHeight="1" x14ac:dyDescent="0.25"/>
    <row r="2926" ht="13.5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20.25" customHeight="1" x14ac:dyDescent="0.25"/>
    <row r="2932" ht="13.5" customHeight="1" x14ac:dyDescent="0.25"/>
    <row r="2934" ht="13.5" customHeight="1" x14ac:dyDescent="0.25"/>
    <row r="2935" ht="13.5" customHeight="1" x14ac:dyDescent="0.25"/>
    <row r="2936" ht="13.5" customHeight="1" x14ac:dyDescent="0.25"/>
    <row r="2937" ht="13.5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20.25" customHeight="1" x14ac:dyDescent="0.25"/>
    <row r="2943" ht="13.5" customHeight="1" x14ac:dyDescent="0.25"/>
    <row r="2944" ht="13.5" customHeight="1" x14ac:dyDescent="0.25"/>
    <row r="2945" ht="13.5" customHeight="1" x14ac:dyDescent="0.25"/>
    <row r="2946" ht="13.5" customHeight="1" x14ac:dyDescent="0.25"/>
    <row r="2947" ht="13.5" customHeight="1" x14ac:dyDescent="0.25"/>
    <row r="2948" ht="13.5" customHeight="1" x14ac:dyDescent="0.25"/>
    <row r="2949" ht="13.5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20.25" customHeight="1" x14ac:dyDescent="0.25"/>
    <row r="2955" ht="13.5" customHeight="1" x14ac:dyDescent="0.25"/>
    <row r="2957" ht="13.5" customHeight="1" x14ac:dyDescent="0.25"/>
    <row r="2958" ht="13.5" customHeight="1" x14ac:dyDescent="0.25"/>
    <row r="2959" ht="13.5" customHeight="1" x14ac:dyDescent="0.25"/>
    <row r="2960" ht="13.5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20.25" customHeight="1" x14ac:dyDescent="0.25"/>
    <row r="2966" ht="13.5" customHeight="1" x14ac:dyDescent="0.25"/>
    <row r="2967" ht="13.5" customHeight="1" x14ac:dyDescent="0.25"/>
    <row r="2968" ht="13.5" customHeight="1" x14ac:dyDescent="0.25"/>
    <row r="2969" ht="13.5" customHeight="1" x14ac:dyDescent="0.25"/>
    <row r="2970" ht="13.5" customHeight="1" x14ac:dyDescent="0.25"/>
    <row r="2971" ht="13.5" customHeight="1" x14ac:dyDescent="0.25"/>
    <row r="2972" ht="13.5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20.25" customHeight="1" x14ac:dyDescent="0.25"/>
    <row r="2978" ht="13.5" customHeight="1" x14ac:dyDescent="0.25"/>
    <row r="2980" ht="13.5" customHeight="1" x14ac:dyDescent="0.25"/>
    <row r="2981" ht="13.5" customHeight="1" x14ac:dyDescent="0.25"/>
    <row r="2982" ht="13.5" customHeight="1" x14ac:dyDescent="0.25"/>
    <row r="2983" ht="13.5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20.25" customHeight="1" x14ac:dyDescent="0.25"/>
    <row r="2989" ht="13.5" customHeight="1" x14ac:dyDescent="0.25"/>
    <row r="2990" ht="13.5" customHeight="1" x14ac:dyDescent="0.25"/>
    <row r="2991" ht="13.5" customHeight="1" x14ac:dyDescent="0.25"/>
    <row r="2992" ht="13.5" customHeight="1" x14ac:dyDescent="0.25"/>
    <row r="2993" ht="13.5" customHeight="1" x14ac:dyDescent="0.25"/>
    <row r="2994" ht="13.5" customHeight="1" x14ac:dyDescent="0.25"/>
    <row r="2995" ht="13.5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20.25" customHeight="1" x14ac:dyDescent="0.25"/>
    <row r="3001" ht="13.5" customHeight="1" x14ac:dyDescent="0.25"/>
    <row r="3003" ht="13.5" customHeight="1" x14ac:dyDescent="0.25"/>
    <row r="3004" ht="13.5" customHeight="1" x14ac:dyDescent="0.25"/>
    <row r="3005" ht="13.5" customHeight="1" x14ac:dyDescent="0.25"/>
    <row r="3006" ht="13.5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20.25" customHeight="1" x14ac:dyDescent="0.25"/>
    <row r="3012" ht="13.5" customHeight="1" x14ac:dyDescent="0.25"/>
    <row r="3013" ht="13.5" customHeight="1" x14ac:dyDescent="0.25"/>
    <row r="3014" ht="13.5" customHeight="1" x14ac:dyDescent="0.25"/>
    <row r="3015" ht="13.5" customHeight="1" x14ac:dyDescent="0.25"/>
    <row r="3016" ht="13.5" customHeight="1" x14ac:dyDescent="0.25"/>
    <row r="3017" ht="13.5" customHeight="1" x14ac:dyDescent="0.25"/>
    <row r="3018" ht="13.5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20.25" customHeight="1" x14ac:dyDescent="0.25"/>
    <row r="3024" ht="13.5" customHeight="1" x14ac:dyDescent="0.25"/>
    <row r="3026" ht="13.5" customHeight="1" x14ac:dyDescent="0.25"/>
    <row r="3027" ht="13.5" customHeight="1" x14ac:dyDescent="0.25"/>
    <row r="3028" ht="13.5" customHeight="1" x14ac:dyDescent="0.25"/>
    <row r="3029" ht="13.5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20.25" customHeight="1" x14ac:dyDescent="0.25"/>
    <row r="3035" ht="13.5" customHeight="1" x14ac:dyDescent="0.25"/>
    <row r="3036" ht="13.5" customHeight="1" x14ac:dyDescent="0.25"/>
    <row r="3037" ht="13.5" customHeight="1" x14ac:dyDescent="0.25"/>
    <row r="3038" ht="13.5" customHeight="1" x14ac:dyDescent="0.25"/>
    <row r="3039" ht="13.5" customHeight="1" x14ac:dyDescent="0.25"/>
    <row r="3040" ht="13.5" customHeight="1" x14ac:dyDescent="0.25"/>
    <row r="3041" ht="13.5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20.25" customHeight="1" x14ac:dyDescent="0.25"/>
    <row r="3047" ht="13.5" customHeight="1" x14ac:dyDescent="0.25"/>
    <row r="3049" ht="13.5" customHeight="1" x14ac:dyDescent="0.25"/>
    <row r="3050" ht="13.5" customHeight="1" x14ac:dyDescent="0.25"/>
    <row r="3051" ht="13.5" customHeight="1" x14ac:dyDescent="0.25"/>
    <row r="3052" ht="13.5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20.25" customHeight="1" x14ac:dyDescent="0.25"/>
    <row r="3058" ht="13.5" customHeight="1" x14ac:dyDescent="0.25"/>
    <row r="3059" ht="13.5" customHeight="1" x14ac:dyDescent="0.25"/>
    <row r="3060" ht="13.5" customHeight="1" x14ac:dyDescent="0.25"/>
    <row r="3061" ht="13.5" customHeight="1" x14ac:dyDescent="0.25"/>
    <row r="3062" ht="13.5" customHeight="1" x14ac:dyDescent="0.25"/>
    <row r="3063" ht="13.5" customHeight="1" x14ac:dyDescent="0.25"/>
    <row r="3064" ht="13.5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20.25" customHeight="1" x14ac:dyDescent="0.25"/>
    <row r="3070" ht="13.5" customHeight="1" x14ac:dyDescent="0.25"/>
    <row r="3072" ht="13.5" customHeight="1" x14ac:dyDescent="0.25"/>
    <row r="3073" ht="13.5" customHeight="1" x14ac:dyDescent="0.25"/>
    <row r="3074" ht="13.5" customHeight="1" x14ac:dyDescent="0.25"/>
    <row r="3075" ht="13.5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20.25" customHeight="1" x14ac:dyDescent="0.25"/>
    <row r="3081" ht="13.5" customHeight="1" x14ac:dyDescent="0.25"/>
    <row r="3082" ht="13.5" customHeight="1" x14ac:dyDescent="0.25"/>
    <row r="3083" ht="13.5" customHeight="1" x14ac:dyDescent="0.25"/>
    <row r="3084" ht="13.5" customHeight="1" x14ac:dyDescent="0.25"/>
    <row r="3085" ht="13.5" customHeight="1" x14ac:dyDescent="0.25"/>
    <row r="3086" ht="13.5" customHeight="1" x14ac:dyDescent="0.25"/>
    <row r="3087" ht="13.5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20.25" customHeight="1" x14ac:dyDescent="0.25"/>
    <row r="3093" ht="13.5" customHeight="1" x14ac:dyDescent="0.25"/>
    <row r="3095" ht="13.5" customHeight="1" x14ac:dyDescent="0.25"/>
    <row r="3096" ht="13.5" customHeight="1" x14ac:dyDescent="0.25"/>
    <row r="3097" ht="13.5" customHeight="1" x14ac:dyDescent="0.25"/>
    <row r="3098" ht="13.5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20.25" customHeight="1" x14ac:dyDescent="0.25"/>
    <row r="3104" ht="13.5" customHeight="1" x14ac:dyDescent="0.25"/>
    <row r="3105" ht="13.5" customHeight="1" x14ac:dyDescent="0.25"/>
    <row r="3106" ht="13.5" customHeight="1" x14ac:dyDescent="0.25"/>
    <row r="3107" ht="13.5" customHeight="1" x14ac:dyDescent="0.25"/>
    <row r="3108" ht="13.5" customHeight="1" x14ac:dyDescent="0.25"/>
    <row r="3109" ht="13.5" customHeight="1" x14ac:dyDescent="0.25"/>
    <row r="3110" ht="13.5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20.25" customHeight="1" x14ac:dyDescent="0.25"/>
    <row r="3116" ht="13.5" customHeight="1" x14ac:dyDescent="0.25"/>
    <row r="3118" ht="13.5" customHeight="1" x14ac:dyDescent="0.25"/>
    <row r="3119" ht="13.5" customHeight="1" x14ac:dyDescent="0.25"/>
    <row r="3120" ht="13.5" customHeight="1" x14ac:dyDescent="0.25"/>
    <row r="3121" ht="13.5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20.25" customHeight="1" x14ac:dyDescent="0.25"/>
    <row r="3127" ht="13.5" customHeight="1" x14ac:dyDescent="0.25"/>
    <row r="3128" ht="13.5" customHeight="1" x14ac:dyDescent="0.25"/>
    <row r="3129" ht="13.5" customHeight="1" x14ac:dyDescent="0.25"/>
    <row r="3130" ht="13.5" customHeight="1" x14ac:dyDescent="0.25"/>
    <row r="3131" ht="13.5" customHeight="1" x14ac:dyDescent="0.25"/>
    <row r="3132" ht="13.5" customHeight="1" x14ac:dyDescent="0.25"/>
    <row r="3133" ht="13.5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20.25" customHeight="1" x14ac:dyDescent="0.25"/>
    <row r="3139" ht="13.5" customHeight="1" x14ac:dyDescent="0.25"/>
    <row r="3141" ht="13.5" customHeight="1" x14ac:dyDescent="0.25"/>
    <row r="3142" ht="13.5" customHeight="1" x14ac:dyDescent="0.25"/>
    <row r="3143" ht="13.5" customHeight="1" x14ac:dyDescent="0.25"/>
    <row r="3144" ht="13.5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20.25" customHeight="1" x14ac:dyDescent="0.25"/>
    <row r="3150" ht="13.5" customHeight="1" x14ac:dyDescent="0.25"/>
    <row r="3151" ht="13.5" customHeight="1" x14ac:dyDescent="0.25"/>
    <row r="3152" ht="13.5" customHeight="1" x14ac:dyDescent="0.25"/>
    <row r="3153" ht="13.5" customHeight="1" x14ac:dyDescent="0.25"/>
    <row r="3154" ht="13.5" customHeight="1" x14ac:dyDescent="0.25"/>
    <row r="3155" ht="13.5" customHeight="1" x14ac:dyDescent="0.25"/>
    <row r="3156" ht="13.5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20.25" customHeight="1" x14ac:dyDescent="0.25"/>
    <row r="3162" ht="13.5" customHeight="1" x14ac:dyDescent="0.25"/>
    <row r="3164" ht="13.5" customHeight="1" x14ac:dyDescent="0.25"/>
    <row r="3165" ht="13.5" customHeight="1" x14ac:dyDescent="0.25"/>
    <row r="3166" ht="13.5" customHeight="1" x14ac:dyDescent="0.25"/>
    <row r="3167" ht="13.5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20.25" customHeight="1" x14ac:dyDescent="0.25"/>
    <row r="3173" ht="13.5" customHeight="1" x14ac:dyDescent="0.25"/>
    <row r="3174" ht="13.5" customHeight="1" x14ac:dyDescent="0.25"/>
    <row r="3175" ht="13.5" customHeight="1" x14ac:dyDescent="0.25"/>
    <row r="3176" ht="13.5" customHeight="1" x14ac:dyDescent="0.25"/>
    <row r="3177" ht="13.5" customHeight="1" x14ac:dyDescent="0.25"/>
    <row r="3178" ht="13.5" customHeight="1" x14ac:dyDescent="0.25"/>
    <row r="3179" ht="13.5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20.25" customHeight="1" x14ac:dyDescent="0.25"/>
    <row r="3185" ht="13.5" customHeight="1" x14ac:dyDescent="0.25"/>
    <row r="3187" ht="13.5" customHeight="1" x14ac:dyDescent="0.25"/>
    <row r="3188" ht="13.5" customHeight="1" x14ac:dyDescent="0.25"/>
    <row r="3189" ht="13.5" customHeight="1" x14ac:dyDescent="0.25"/>
    <row r="3190" ht="13.5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20.25" customHeight="1" x14ac:dyDescent="0.25"/>
    <row r="3196" ht="13.5" customHeight="1" x14ac:dyDescent="0.25"/>
    <row r="3197" ht="13.5" customHeight="1" x14ac:dyDescent="0.25"/>
    <row r="3198" ht="13.5" customHeight="1" x14ac:dyDescent="0.25"/>
    <row r="3199" ht="13.5" customHeight="1" x14ac:dyDescent="0.25"/>
    <row r="3200" ht="13.5" customHeight="1" x14ac:dyDescent="0.25"/>
    <row r="3201" ht="13.5" customHeight="1" x14ac:dyDescent="0.25"/>
    <row r="3202" ht="13.5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20.25" customHeight="1" x14ac:dyDescent="0.25"/>
    <row r="3208" ht="13.5" customHeight="1" x14ac:dyDescent="0.25"/>
    <row r="3210" ht="13.5" customHeight="1" x14ac:dyDescent="0.25"/>
    <row r="3211" ht="13.5" customHeight="1" x14ac:dyDescent="0.25"/>
    <row r="3212" ht="13.5" customHeight="1" x14ac:dyDescent="0.25"/>
    <row r="3213" ht="13.5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20.25" customHeight="1" x14ac:dyDescent="0.25"/>
    <row r="3219" ht="13.5" customHeight="1" x14ac:dyDescent="0.25"/>
    <row r="3220" ht="13.5" customHeight="1" x14ac:dyDescent="0.25"/>
    <row r="3221" ht="13.5" customHeight="1" x14ac:dyDescent="0.25"/>
    <row r="3222" ht="13.5" customHeight="1" x14ac:dyDescent="0.25"/>
    <row r="3223" ht="13.5" customHeight="1" x14ac:dyDescent="0.25"/>
    <row r="3224" ht="13.5" customHeight="1" x14ac:dyDescent="0.25"/>
    <row r="3225" ht="13.5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20.25" customHeight="1" x14ac:dyDescent="0.25"/>
    <row r="3231" ht="13.5" customHeight="1" x14ac:dyDescent="0.25"/>
    <row r="3233" ht="13.5" customHeight="1" x14ac:dyDescent="0.25"/>
    <row r="3234" ht="13.5" customHeight="1" x14ac:dyDescent="0.25"/>
    <row r="3235" ht="13.5" customHeight="1" x14ac:dyDescent="0.25"/>
    <row r="3236" ht="13.5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20.25" customHeight="1" x14ac:dyDescent="0.25"/>
    <row r="3242" ht="13.5" customHeight="1" x14ac:dyDescent="0.25"/>
    <row r="3243" ht="13.5" customHeight="1" x14ac:dyDescent="0.25"/>
    <row r="3244" ht="13.5" customHeight="1" x14ac:dyDescent="0.25"/>
    <row r="3245" ht="13.5" customHeight="1" x14ac:dyDescent="0.25"/>
    <row r="3246" ht="13.5" customHeight="1" x14ac:dyDescent="0.25"/>
    <row r="3247" ht="13.5" customHeight="1" x14ac:dyDescent="0.25"/>
    <row r="3248" ht="13.5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20.25" customHeight="1" x14ac:dyDescent="0.25"/>
    <row r="3254" ht="13.5" customHeight="1" x14ac:dyDescent="0.25"/>
    <row r="3256" ht="13.5" customHeight="1" x14ac:dyDescent="0.25"/>
    <row r="3257" ht="13.5" customHeight="1" x14ac:dyDescent="0.25"/>
    <row r="3258" ht="13.5" customHeight="1" x14ac:dyDescent="0.25"/>
    <row r="3259" ht="13.5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20.25" customHeight="1" x14ac:dyDescent="0.25"/>
    <row r="3265" ht="13.5" customHeight="1" x14ac:dyDescent="0.25"/>
    <row r="3266" ht="13.5" customHeight="1" x14ac:dyDescent="0.25"/>
    <row r="3267" ht="13.5" customHeight="1" x14ac:dyDescent="0.25"/>
    <row r="3268" ht="13.5" customHeight="1" x14ac:dyDescent="0.25"/>
    <row r="3269" ht="13.5" customHeight="1" x14ac:dyDescent="0.25"/>
    <row r="3270" ht="13.5" customHeight="1" x14ac:dyDescent="0.25"/>
    <row r="3271" ht="13.5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20.25" customHeight="1" x14ac:dyDescent="0.25"/>
    <row r="3277" ht="13.5" customHeight="1" x14ac:dyDescent="0.25"/>
    <row r="3279" ht="13.5" customHeight="1" x14ac:dyDescent="0.25"/>
    <row r="3280" ht="13.5" customHeight="1" x14ac:dyDescent="0.25"/>
    <row r="3281" ht="13.5" customHeight="1" x14ac:dyDescent="0.25"/>
    <row r="3282" ht="13.5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20.25" customHeight="1" x14ac:dyDescent="0.25"/>
    <row r="3288" ht="13.5" customHeight="1" x14ac:dyDescent="0.25"/>
    <row r="3289" ht="13.5" customHeight="1" x14ac:dyDescent="0.25"/>
    <row r="3290" ht="13.5" customHeight="1" x14ac:dyDescent="0.25"/>
    <row r="3291" ht="13.5" customHeight="1" x14ac:dyDescent="0.25"/>
    <row r="3292" ht="13.5" customHeight="1" x14ac:dyDescent="0.25"/>
    <row r="3293" ht="13.5" customHeight="1" x14ac:dyDescent="0.25"/>
    <row r="3294" ht="13.5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20.25" customHeight="1" x14ac:dyDescent="0.25"/>
    <row r="3300" ht="13.5" customHeight="1" x14ac:dyDescent="0.25"/>
    <row r="3302" ht="13.5" customHeight="1" x14ac:dyDescent="0.25"/>
    <row r="3303" ht="13.5" customHeight="1" x14ac:dyDescent="0.25"/>
    <row r="3304" ht="13.5" customHeight="1" x14ac:dyDescent="0.25"/>
    <row r="3305" ht="13.5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20.25" customHeight="1" x14ac:dyDescent="0.25"/>
    <row r="3311" ht="13.5" customHeight="1" x14ac:dyDescent="0.25"/>
    <row r="3312" ht="13.5" customHeight="1" x14ac:dyDescent="0.25"/>
    <row r="3313" ht="13.5" customHeight="1" x14ac:dyDescent="0.25"/>
    <row r="3314" ht="13.5" customHeight="1" x14ac:dyDescent="0.25"/>
    <row r="3315" ht="13.5" customHeight="1" x14ac:dyDescent="0.25"/>
    <row r="3316" ht="13.5" customHeight="1" x14ac:dyDescent="0.25"/>
    <row r="3317" ht="13.5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20.25" customHeight="1" x14ac:dyDescent="0.25"/>
    <row r="3323" ht="13.5" customHeight="1" x14ac:dyDescent="0.25"/>
    <row r="3325" ht="13.5" customHeight="1" x14ac:dyDescent="0.25"/>
    <row r="3326" ht="13.5" customHeight="1" x14ac:dyDescent="0.25"/>
    <row r="3327" ht="13.5" customHeight="1" x14ac:dyDescent="0.25"/>
    <row r="3328" ht="13.5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20.25" customHeight="1" x14ac:dyDescent="0.25"/>
    <row r="3334" ht="13.5" customHeight="1" x14ac:dyDescent="0.25"/>
    <row r="3335" ht="13.5" customHeight="1" x14ac:dyDescent="0.25"/>
    <row r="3336" ht="13.5" customHeight="1" x14ac:dyDescent="0.25"/>
    <row r="3337" ht="13.5" customHeight="1" x14ac:dyDescent="0.25"/>
    <row r="3338" ht="13.5" customHeight="1" x14ac:dyDescent="0.25"/>
    <row r="3339" ht="13.5" customHeight="1" x14ac:dyDescent="0.25"/>
    <row r="3340" ht="13.5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20.25" customHeight="1" x14ac:dyDescent="0.25"/>
    <row r="3346" ht="13.5" customHeight="1" x14ac:dyDescent="0.25"/>
    <row r="3348" ht="13.5" customHeight="1" x14ac:dyDescent="0.25"/>
    <row r="3349" ht="13.5" customHeight="1" x14ac:dyDescent="0.25"/>
    <row r="3350" ht="13.5" customHeight="1" x14ac:dyDescent="0.25"/>
    <row r="3351" ht="13.5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20.25" customHeight="1" x14ac:dyDescent="0.25"/>
    <row r="3357" ht="13.5" customHeight="1" x14ac:dyDescent="0.25"/>
    <row r="3358" ht="13.5" customHeight="1" x14ac:dyDescent="0.25"/>
    <row r="3359" ht="13.5" customHeight="1" x14ac:dyDescent="0.25"/>
    <row r="3360" ht="13.5" customHeight="1" x14ac:dyDescent="0.25"/>
    <row r="3361" ht="13.5" customHeight="1" x14ac:dyDescent="0.25"/>
    <row r="3362" ht="13.5" customHeight="1" x14ac:dyDescent="0.25"/>
    <row r="3363" ht="13.5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20.25" customHeight="1" x14ac:dyDescent="0.25"/>
    <row r="3369" ht="13.5" customHeight="1" x14ac:dyDescent="0.25"/>
    <row r="3371" ht="13.5" customHeight="1" x14ac:dyDescent="0.25"/>
    <row r="3372" ht="13.5" customHeight="1" x14ac:dyDescent="0.25"/>
    <row r="3373" ht="13.5" customHeight="1" x14ac:dyDescent="0.25"/>
    <row r="3374" ht="13.5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20.25" customHeight="1" x14ac:dyDescent="0.25"/>
    <row r="3380" ht="13.5" customHeight="1" x14ac:dyDescent="0.25"/>
    <row r="3381" ht="13.5" customHeight="1" x14ac:dyDescent="0.25"/>
    <row r="3382" ht="13.5" customHeight="1" x14ac:dyDescent="0.25"/>
    <row r="3383" ht="13.5" customHeight="1" x14ac:dyDescent="0.25"/>
    <row r="3384" ht="13.5" customHeight="1" x14ac:dyDescent="0.25"/>
    <row r="3385" ht="13.5" customHeight="1" x14ac:dyDescent="0.25"/>
    <row r="3386" ht="13.5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20.25" customHeight="1" x14ac:dyDescent="0.25"/>
    <row r="3392" ht="13.5" customHeight="1" x14ac:dyDescent="0.25"/>
    <row r="3394" ht="13.5" customHeight="1" x14ac:dyDescent="0.25"/>
    <row r="3395" ht="13.5" customHeight="1" x14ac:dyDescent="0.25"/>
    <row r="3396" ht="13.5" customHeight="1" x14ac:dyDescent="0.25"/>
    <row r="3397" ht="13.5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20.25" customHeight="1" x14ac:dyDescent="0.25"/>
    <row r="3403" ht="13.5" customHeight="1" x14ac:dyDescent="0.25"/>
    <row r="3404" ht="13.5" customHeight="1" x14ac:dyDescent="0.25"/>
    <row r="3405" ht="13.5" customHeight="1" x14ac:dyDescent="0.25"/>
    <row r="3406" ht="13.5" customHeight="1" x14ac:dyDescent="0.25"/>
    <row r="3407" ht="13.5" customHeight="1" x14ac:dyDescent="0.25"/>
    <row r="3408" ht="13.5" customHeight="1" x14ac:dyDescent="0.25"/>
    <row r="3409" ht="13.5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20.25" customHeight="1" x14ac:dyDescent="0.25"/>
    <row r="3415" ht="13.5" customHeight="1" x14ac:dyDescent="0.25"/>
    <row r="3417" ht="13.5" customHeight="1" x14ac:dyDescent="0.25"/>
    <row r="3418" ht="13.5" customHeight="1" x14ac:dyDescent="0.25"/>
    <row r="3419" ht="13.5" customHeight="1" x14ac:dyDescent="0.25"/>
    <row r="3420" ht="13.5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20.25" customHeight="1" x14ac:dyDescent="0.25"/>
    <row r="3426" ht="13.5" customHeight="1" x14ac:dyDescent="0.25"/>
    <row r="3427" ht="13.5" customHeight="1" x14ac:dyDescent="0.25"/>
    <row r="3428" ht="13.5" customHeight="1" x14ac:dyDescent="0.25"/>
    <row r="3429" ht="13.5" customHeight="1" x14ac:dyDescent="0.25"/>
    <row r="3430" ht="13.5" customHeight="1" x14ac:dyDescent="0.25"/>
    <row r="3431" ht="13.5" customHeight="1" x14ac:dyDescent="0.25"/>
    <row r="3432" ht="13.5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20.25" customHeight="1" x14ac:dyDescent="0.25"/>
    <row r="3438" ht="13.5" customHeight="1" x14ac:dyDescent="0.25"/>
    <row r="3440" ht="13.5" customHeight="1" x14ac:dyDescent="0.25"/>
    <row r="3441" ht="13.5" customHeight="1" x14ac:dyDescent="0.25"/>
    <row r="3442" ht="13.5" customHeight="1" x14ac:dyDescent="0.25"/>
    <row r="3443" ht="13.5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20.25" customHeight="1" x14ac:dyDescent="0.25"/>
    <row r="3449" ht="13.5" customHeight="1" x14ac:dyDescent="0.25"/>
    <row r="3450" ht="13.5" customHeight="1" x14ac:dyDescent="0.25"/>
    <row r="3451" ht="13.5" customHeight="1" x14ac:dyDescent="0.25"/>
    <row r="3452" ht="13.5" customHeight="1" x14ac:dyDescent="0.25"/>
    <row r="3453" ht="13.5" customHeight="1" x14ac:dyDescent="0.25"/>
    <row r="3454" ht="13.5" customHeight="1" x14ac:dyDescent="0.25"/>
    <row r="3455" ht="13.5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20.25" customHeight="1" x14ac:dyDescent="0.25"/>
    <row r="3461" ht="13.5" customHeight="1" x14ac:dyDescent="0.25"/>
    <row r="3463" ht="13.5" customHeight="1" x14ac:dyDescent="0.25"/>
    <row r="3464" ht="13.5" customHeight="1" x14ac:dyDescent="0.25"/>
    <row r="3465" ht="13.5" customHeight="1" x14ac:dyDescent="0.25"/>
    <row r="3466" ht="13.5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20.25" customHeight="1" x14ac:dyDescent="0.25"/>
    <row r="3472" ht="13.5" customHeight="1" x14ac:dyDescent="0.25"/>
    <row r="3473" ht="13.5" customHeight="1" x14ac:dyDescent="0.25"/>
    <row r="3474" ht="13.5" customHeight="1" x14ac:dyDescent="0.25"/>
    <row r="3475" ht="13.5" customHeight="1" x14ac:dyDescent="0.25"/>
    <row r="3476" ht="13.5" customHeight="1" x14ac:dyDescent="0.25"/>
    <row r="3477" ht="13.5" customHeight="1" x14ac:dyDescent="0.25"/>
    <row r="3478" ht="13.5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20.25" customHeight="1" x14ac:dyDescent="0.25"/>
    <row r="3484" ht="13.5" customHeight="1" x14ac:dyDescent="0.25"/>
    <row r="3486" ht="13.5" customHeight="1" x14ac:dyDescent="0.25"/>
    <row r="3487" ht="13.5" customHeight="1" x14ac:dyDescent="0.25"/>
    <row r="3488" ht="13.5" customHeight="1" x14ac:dyDescent="0.25"/>
    <row r="3489" ht="13.5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20.25" customHeight="1" x14ac:dyDescent="0.25"/>
    <row r="3495" ht="13.5" customHeight="1" x14ac:dyDescent="0.25"/>
    <row r="3496" ht="13.5" customHeight="1" x14ac:dyDescent="0.25"/>
    <row r="3497" ht="13.5" customHeight="1" x14ac:dyDescent="0.25"/>
    <row r="3498" ht="13.5" customHeight="1" x14ac:dyDescent="0.25"/>
    <row r="3499" ht="13.5" customHeight="1" x14ac:dyDescent="0.25"/>
    <row r="3500" ht="13.5" customHeight="1" x14ac:dyDescent="0.25"/>
    <row r="3501" ht="13.5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20.25" customHeight="1" x14ac:dyDescent="0.25"/>
    <row r="3507" ht="13.5" customHeight="1" x14ac:dyDescent="0.25"/>
    <row r="3509" ht="13.5" customHeight="1" x14ac:dyDescent="0.25"/>
    <row r="3510" ht="13.5" customHeight="1" x14ac:dyDescent="0.25"/>
    <row r="3511" ht="13.5" customHeight="1" x14ac:dyDescent="0.25"/>
    <row r="3512" ht="13.5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20.25" customHeight="1" x14ac:dyDescent="0.25"/>
    <row r="3518" ht="13.5" customHeight="1" x14ac:dyDescent="0.25"/>
    <row r="3519" ht="13.5" customHeight="1" x14ac:dyDescent="0.25"/>
    <row r="3520" ht="13.5" customHeight="1" x14ac:dyDescent="0.25"/>
    <row r="3521" ht="13.5" customHeight="1" x14ac:dyDescent="0.25"/>
    <row r="3522" ht="13.5" customHeight="1" x14ac:dyDescent="0.25"/>
    <row r="3523" ht="13.5" customHeight="1" x14ac:dyDescent="0.25"/>
    <row r="3524" ht="13.5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20.25" customHeight="1" x14ac:dyDescent="0.25"/>
    <row r="3530" ht="13.5" customHeight="1" x14ac:dyDescent="0.25"/>
    <row r="3532" ht="13.5" customHeight="1" x14ac:dyDescent="0.25"/>
    <row r="3533" ht="13.5" customHeight="1" x14ac:dyDescent="0.25"/>
    <row r="3534" ht="13.5" customHeight="1" x14ac:dyDescent="0.25"/>
    <row r="3535" ht="13.5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20.25" customHeight="1" x14ac:dyDescent="0.25"/>
    <row r="3541" ht="13.5" customHeight="1" x14ac:dyDescent="0.25"/>
    <row r="3542" ht="13.5" customHeight="1" x14ac:dyDescent="0.25"/>
    <row r="3543" ht="13.5" customHeight="1" x14ac:dyDescent="0.25"/>
    <row r="3544" ht="13.5" customHeight="1" x14ac:dyDescent="0.25"/>
    <row r="3545" ht="13.5" customHeight="1" x14ac:dyDescent="0.25"/>
    <row r="3546" ht="13.5" customHeight="1" x14ac:dyDescent="0.25"/>
    <row r="3547" ht="13.5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20.25" customHeight="1" x14ac:dyDescent="0.25"/>
    <row r="3553" ht="13.5" customHeight="1" x14ac:dyDescent="0.25"/>
    <row r="3555" ht="13.5" customHeight="1" x14ac:dyDescent="0.25"/>
    <row r="3556" ht="13.5" customHeight="1" x14ac:dyDescent="0.25"/>
    <row r="3557" ht="13.5" customHeight="1" x14ac:dyDescent="0.25"/>
    <row r="3558" ht="13.5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20.25" customHeight="1" x14ac:dyDescent="0.25"/>
    <row r="3564" ht="13.5" customHeight="1" x14ac:dyDescent="0.25"/>
    <row r="3565" ht="13.5" customHeight="1" x14ac:dyDescent="0.25"/>
    <row r="3566" ht="13.5" customHeight="1" x14ac:dyDescent="0.25"/>
    <row r="3567" ht="13.5" customHeight="1" x14ac:dyDescent="0.25"/>
    <row r="3568" ht="13.5" customHeight="1" x14ac:dyDescent="0.25"/>
    <row r="3569" ht="13.5" customHeight="1" x14ac:dyDescent="0.25"/>
    <row r="3570" ht="13.5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20.25" customHeight="1" x14ac:dyDescent="0.25"/>
    <row r="3576" ht="13.5" customHeight="1" x14ac:dyDescent="0.25"/>
    <row r="3578" ht="13.5" customHeight="1" x14ac:dyDescent="0.25"/>
    <row r="3579" ht="13.5" customHeight="1" x14ac:dyDescent="0.25"/>
    <row r="3580" ht="13.5" customHeight="1" x14ac:dyDescent="0.25"/>
    <row r="3581" ht="13.5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20.25" customHeight="1" x14ac:dyDescent="0.25"/>
    <row r="3587" ht="13.5" customHeight="1" x14ac:dyDescent="0.25"/>
    <row r="3588" ht="13.5" customHeight="1" x14ac:dyDescent="0.25"/>
    <row r="3589" ht="13.5" customHeight="1" x14ac:dyDescent="0.25"/>
    <row r="3590" ht="13.5" customHeight="1" x14ac:dyDescent="0.25"/>
    <row r="3591" ht="13.5" customHeight="1" x14ac:dyDescent="0.25"/>
    <row r="3592" ht="13.5" customHeight="1" x14ac:dyDescent="0.25"/>
    <row r="3593" ht="13.5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20.25" customHeight="1" x14ac:dyDescent="0.25"/>
    <row r="3599" ht="13.5" customHeight="1" x14ac:dyDescent="0.25"/>
    <row r="3601" ht="13.5" customHeight="1" x14ac:dyDescent="0.25"/>
    <row r="3602" ht="13.5" customHeight="1" x14ac:dyDescent="0.25"/>
    <row r="3603" ht="13.5" customHeight="1" x14ac:dyDescent="0.25"/>
    <row r="3604" ht="13.5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20.25" customHeight="1" x14ac:dyDescent="0.25"/>
    <row r="3610" ht="13.5" customHeight="1" x14ac:dyDescent="0.25"/>
    <row r="3611" ht="13.5" customHeight="1" x14ac:dyDescent="0.25"/>
    <row r="3612" ht="13.5" customHeight="1" x14ac:dyDescent="0.25"/>
    <row r="3613" ht="13.5" customHeight="1" x14ac:dyDescent="0.25"/>
    <row r="3614" ht="13.5" customHeight="1" x14ac:dyDescent="0.25"/>
    <row r="3615" ht="13.5" customHeight="1" x14ac:dyDescent="0.25"/>
    <row r="3616" ht="13.5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20.25" customHeight="1" x14ac:dyDescent="0.25"/>
    <row r="3622" ht="13.5" customHeight="1" x14ac:dyDescent="0.25"/>
    <row r="3624" ht="13.5" customHeight="1" x14ac:dyDescent="0.25"/>
    <row r="3625" ht="13.5" customHeight="1" x14ac:dyDescent="0.25"/>
    <row r="3626" ht="13.5" customHeight="1" x14ac:dyDescent="0.25"/>
    <row r="3627" ht="13.5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20.25" customHeight="1" x14ac:dyDescent="0.25"/>
    <row r="3633" ht="13.5" customHeight="1" x14ac:dyDescent="0.25"/>
    <row r="3634" ht="13.5" customHeight="1" x14ac:dyDescent="0.25"/>
    <row r="3635" ht="13.5" customHeight="1" x14ac:dyDescent="0.25"/>
    <row r="3636" ht="13.5" customHeight="1" x14ac:dyDescent="0.25"/>
    <row r="3637" ht="13.5" customHeight="1" x14ac:dyDescent="0.25"/>
    <row r="3638" ht="13.5" customHeight="1" x14ac:dyDescent="0.25"/>
    <row r="3639" ht="13.5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20.25" customHeight="1" x14ac:dyDescent="0.25"/>
    <row r="3645" ht="13.5" customHeight="1" x14ac:dyDescent="0.25"/>
    <row r="3647" ht="13.5" customHeight="1" x14ac:dyDescent="0.25"/>
    <row r="3648" ht="13.5" customHeight="1" x14ac:dyDescent="0.25"/>
    <row r="3649" ht="13.5" customHeight="1" x14ac:dyDescent="0.25"/>
    <row r="3650" ht="13.5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20.25" customHeight="1" x14ac:dyDescent="0.25"/>
    <row r="3656" ht="13.5" customHeight="1" x14ac:dyDescent="0.25"/>
    <row r="3657" ht="13.5" customHeight="1" x14ac:dyDescent="0.25"/>
    <row r="3658" ht="13.5" customHeight="1" x14ac:dyDescent="0.25"/>
    <row r="3659" ht="13.5" customHeight="1" x14ac:dyDescent="0.25"/>
    <row r="3660" ht="13.5" customHeight="1" x14ac:dyDescent="0.25"/>
    <row r="3661" ht="13.5" customHeight="1" x14ac:dyDescent="0.25"/>
    <row r="3662" ht="13.5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20.25" customHeight="1" x14ac:dyDescent="0.25"/>
    <row r="3668" ht="13.5" customHeight="1" x14ac:dyDescent="0.25"/>
    <row r="3670" ht="13.5" customHeight="1" x14ac:dyDescent="0.25"/>
    <row r="3671" ht="13.5" customHeight="1" x14ac:dyDescent="0.25"/>
    <row r="3672" ht="13.5" customHeight="1" x14ac:dyDescent="0.25"/>
    <row r="3673" ht="13.5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20.25" customHeight="1" x14ac:dyDescent="0.25"/>
    <row r="3679" ht="13.5" customHeight="1" x14ac:dyDescent="0.25"/>
    <row r="3680" ht="13.5" customHeight="1" x14ac:dyDescent="0.25"/>
    <row r="3681" ht="13.5" customHeight="1" x14ac:dyDescent="0.25"/>
    <row r="3682" ht="13.5" customHeight="1" x14ac:dyDescent="0.25"/>
    <row r="3683" ht="13.5" customHeight="1" x14ac:dyDescent="0.25"/>
    <row r="3684" ht="13.5" customHeight="1" x14ac:dyDescent="0.25"/>
    <row r="3685" ht="13.5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20.25" customHeight="1" x14ac:dyDescent="0.25"/>
    <row r="3691" ht="13.5" customHeight="1" x14ac:dyDescent="0.25"/>
    <row r="3693" ht="13.5" customHeight="1" x14ac:dyDescent="0.25"/>
    <row r="3694" ht="13.5" customHeight="1" x14ac:dyDescent="0.25"/>
    <row r="3695" ht="13.5" customHeight="1" x14ac:dyDescent="0.25"/>
    <row r="3696" ht="13.5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20.25" customHeight="1" x14ac:dyDescent="0.25"/>
    <row r="3702" ht="13.5" customHeight="1" x14ac:dyDescent="0.25"/>
    <row r="3703" ht="13.5" customHeight="1" x14ac:dyDescent="0.25"/>
    <row r="3704" ht="13.5" customHeight="1" x14ac:dyDescent="0.25"/>
    <row r="3705" ht="13.5" customHeight="1" x14ac:dyDescent="0.25"/>
    <row r="3706" ht="13.5" customHeight="1" x14ac:dyDescent="0.25"/>
    <row r="3707" ht="13.5" customHeight="1" x14ac:dyDescent="0.25"/>
    <row r="3708" ht="13.5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20.25" customHeight="1" x14ac:dyDescent="0.25"/>
    <row r="3714" ht="13.5" customHeight="1" x14ac:dyDescent="0.25"/>
    <row r="3716" ht="13.5" customHeight="1" x14ac:dyDescent="0.25"/>
    <row r="3717" ht="13.5" customHeight="1" x14ac:dyDescent="0.25"/>
    <row r="3718" ht="13.5" customHeight="1" x14ac:dyDescent="0.25"/>
    <row r="3719" ht="13.5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20.25" customHeight="1" x14ac:dyDescent="0.25"/>
    <row r="3725" ht="13.5" customHeight="1" x14ac:dyDescent="0.25"/>
    <row r="3726" ht="13.5" customHeight="1" x14ac:dyDescent="0.25"/>
    <row r="3727" ht="13.5" customHeight="1" x14ac:dyDescent="0.25"/>
    <row r="3728" ht="13.5" customHeight="1" x14ac:dyDescent="0.25"/>
    <row r="3729" ht="13.5" customHeight="1" x14ac:dyDescent="0.25"/>
    <row r="3730" ht="13.5" customHeight="1" x14ac:dyDescent="0.25"/>
    <row r="3731" ht="13.5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20.25" customHeight="1" x14ac:dyDescent="0.25"/>
    <row r="3737" ht="13.5" customHeight="1" x14ac:dyDescent="0.25"/>
    <row r="3739" ht="13.5" customHeight="1" x14ac:dyDescent="0.25"/>
    <row r="3740" ht="13.5" customHeight="1" x14ac:dyDescent="0.25"/>
    <row r="3741" ht="13.5" customHeight="1" x14ac:dyDescent="0.25"/>
    <row r="3742" ht="13.5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20.25" customHeight="1" x14ac:dyDescent="0.25"/>
    <row r="3748" ht="13.5" customHeight="1" x14ac:dyDescent="0.25"/>
    <row r="3749" ht="13.5" customHeight="1" x14ac:dyDescent="0.25"/>
    <row r="3750" ht="13.5" customHeight="1" x14ac:dyDescent="0.25"/>
    <row r="3751" ht="13.5" customHeight="1" x14ac:dyDescent="0.25"/>
    <row r="3752" ht="13.5" customHeight="1" x14ac:dyDescent="0.25"/>
    <row r="3753" ht="13.5" customHeight="1" x14ac:dyDescent="0.25"/>
    <row r="3754" ht="13.5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20.25" customHeight="1" x14ac:dyDescent="0.25"/>
    <row r="3760" ht="13.5" customHeight="1" x14ac:dyDescent="0.25"/>
    <row r="3762" ht="13.5" customHeight="1" x14ac:dyDescent="0.25"/>
    <row r="3763" ht="13.5" customHeight="1" x14ac:dyDescent="0.25"/>
    <row r="3764" ht="13.5" customHeight="1" x14ac:dyDescent="0.25"/>
    <row r="3765" ht="13.5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20.25" customHeight="1" x14ac:dyDescent="0.25"/>
    <row r="3771" ht="13.5" customHeight="1" x14ac:dyDescent="0.25"/>
    <row r="3772" ht="13.5" customHeight="1" x14ac:dyDescent="0.25"/>
    <row r="3773" ht="13.5" customHeight="1" x14ac:dyDescent="0.25"/>
    <row r="3774" ht="13.5" customHeight="1" x14ac:dyDescent="0.25"/>
    <row r="3775" ht="13.5" customHeight="1" x14ac:dyDescent="0.25"/>
    <row r="3776" ht="13.5" customHeight="1" x14ac:dyDescent="0.25"/>
    <row r="3777" ht="13.5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20.25" customHeight="1" x14ac:dyDescent="0.25"/>
    <row r="3783" ht="13.5" customHeight="1" x14ac:dyDescent="0.25"/>
    <row r="3785" ht="13.5" customHeight="1" x14ac:dyDescent="0.25"/>
    <row r="3786" ht="13.5" customHeight="1" x14ac:dyDescent="0.25"/>
    <row r="3787" ht="13.5" customHeight="1" x14ac:dyDescent="0.25"/>
    <row r="3788" ht="13.5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20.25" customHeight="1" x14ac:dyDescent="0.25"/>
    <row r="3794" ht="13.5" customHeight="1" x14ac:dyDescent="0.25"/>
    <row r="3795" ht="13.5" customHeight="1" x14ac:dyDescent="0.25"/>
    <row r="3796" ht="13.5" customHeight="1" x14ac:dyDescent="0.25"/>
    <row r="3797" ht="13.5" customHeight="1" x14ac:dyDescent="0.25"/>
    <row r="3798" ht="13.5" customHeight="1" x14ac:dyDescent="0.25"/>
    <row r="3799" ht="13.5" customHeight="1" x14ac:dyDescent="0.25"/>
    <row r="3800" ht="13.5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20.25" customHeight="1" x14ac:dyDescent="0.25"/>
    <row r="3806" ht="13.5" customHeight="1" x14ac:dyDescent="0.25"/>
    <row r="3808" ht="13.5" customHeight="1" x14ac:dyDescent="0.25"/>
    <row r="3809" ht="13.5" customHeight="1" x14ac:dyDescent="0.25"/>
    <row r="3810" ht="13.5" customHeight="1" x14ac:dyDescent="0.25"/>
    <row r="3811" ht="13.5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20.25" customHeight="1" x14ac:dyDescent="0.25"/>
    <row r="3817" ht="13.5" customHeight="1" x14ac:dyDescent="0.25"/>
    <row r="3818" ht="13.5" customHeight="1" x14ac:dyDescent="0.25"/>
    <row r="3819" ht="13.5" customHeight="1" x14ac:dyDescent="0.25"/>
    <row r="3820" ht="13.5" customHeight="1" x14ac:dyDescent="0.25"/>
    <row r="3821" ht="13.5" customHeight="1" x14ac:dyDescent="0.25"/>
    <row r="3822" ht="13.5" customHeight="1" x14ac:dyDescent="0.25"/>
    <row r="3823" ht="13.5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20.25" customHeight="1" x14ac:dyDescent="0.25"/>
    <row r="3829" ht="13.5" customHeight="1" x14ac:dyDescent="0.25"/>
    <row r="3831" ht="13.5" customHeight="1" x14ac:dyDescent="0.25"/>
    <row r="3832" ht="13.5" customHeight="1" x14ac:dyDescent="0.25"/>
    <row r="3833" ht="13.5" customHeight="1" x14ac:dyDescent="0.25"/>
    <row r="3834" ht="13.5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20.25" customHeight="1" x14ac:dyDescent="0.25"/>
    <row r="3840" ht="13.5" customHeight="1" x14ac:dyDescent="0.25"/>
    <row r="3841" ht="13.5" customHeight="1" x14ac:dyDescent="0.25"/>
    <row r="3842" ht="13.5" customHeight="1" x14ac:dyDescent="0.25"/>
    <row r="3843" ht="13.5" customHeight="1" x14ac:dyDescent="0.25"/>
    <row r="3844" ht="13.5" customHeight="1" x14ac:dyDescent="0.25"/>
    <row r="3845" ht="13.5" customHeight="1" x14ac:dyDescent="0.25"/>
    <row r="3846" ht="13.5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20.25" customHeight="1" x14ac:dyDescent="0.25"/>
    <row r="3852" ht="13.5" customHeight="1" x14ac:dyDescent="0.25"/>
    <row r="3854" ht="13.5" customHeight="1" x14ac:dyDescent="0.25"/>
    <row r="3855" ht="13.5" customHeight="1" x14ac:dyDescent="0.25"/>
    <row r="3856" ht="13.5" customHeight="1" x14ac:dyDescent="0.25"/>
    <row r="3857" ht="13.5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20.25" customHeight="1" x14ac:dyDescent="0.25"/>
    <row r="3863" ht="13.5" customHeight="1" x14ac:dyDescent="0.25"/>
    <row r="3864" ht="13.5" customHeight="1" x14ac:dyDescent="0.25"/>
    <row r="3865" ht="13.5" customHeight="1" x14ac:dyDescent="0.25"/>
    <row r="3866" ht="13.5" customHeight="1" x14ac:dyDescent="0.25"/>
    <row r="3867" ht="13.5" customHeight="1" x14ac:dyDescent="0.25"/>
    <row r="3868" ht="13.5" customHeight="1" x14ac:dyDescent="0.25"/>
    <row r="3869" ht="13.5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20.25" customHeight="1" x14ac:dyDescent="0.25"/>
    <row r="3875" ht="13.5" customHeight="1" x14ac:dyDescent="0.25"/>
    <row r="3877" ht="13.5" customHeight="1" x14ac:dyDescent="0.25"/>
    <row r="3878" ht="13.5" customHeight="1" x14ac:dyDescent="0.25"/>
    <row r="3879" ht="13.5" customHeight="1" x14ac:dyDescent="0.25"/>
    <row r="3880" ht="13.5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20.25" customHeight="1" x14ac:dyDescent="0.25"/>
    <row r="3886" ht="13.5" customHeight="1" x14ac:dyDescent="0.25"/>
    <row r="3887" ht="13.5" customHeight="1" x14ac:dyDescent="0.25"/>
    <row r="3888" ht="13.5" customHeight="1" x14ac:dyDescent="0.25"/>
    <row r="3889" ht="13.5" customHeight="1" x14ac:dyDescent="0.25"/>
    <row r="3890" ht="13.5" customHeight="1" x14ac:dyDescent="0.25"/>
    <row r="3891" ht="13.5" customHeight="1" x14ac:dyDescent="0.25"/>
    <row r="3892" ht="13.5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20.25" customHeight="1" x14ac:dyDescent="0.25"/>
    <row r="3898" ht="13.5" customHeight="1" x14ac:dyDescent="0.25"/>
    <row r="3900" ht="13.5" customHeight="1" x14ac:dyDescent="0.25"/>
    <row r="3901" ht="13.5" customHeight="1" x14ac:dyDescent="0.25"/>
    <row r="3902" ht="13.5" customHeight="1" x14ac:dyDescent="0.25"/>
    <row r="3903" ht="13.5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20.25" customHeight="1" x14ac:dyDescent="0.25"/>
    <row r="3909" ht="13.5" customHeight="1" x14ac:dyDescent="0.25"/>
    <row r="3910" ht="13.5" customHeight="1" x14ac:dyDescent="0.25"/>
    <row r="3911" ht="13.5" customHeight="1" x14ac:dyDescent="0.25"/>
    <row r="3912" ht="13.5" customHeight="1" x14ac:dyDescent="0.25"/>
    <row r="3913" ht="13.5" customHeight="1" x14ac:dyDescent="0.25"/>
    <row r="3914" ht="13.5" customHeight="1" x14ac:dyDescent="0.25"/>
    <row r="3915" ht="13.5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20.25" customHeight="1" x14ac:dyDescent="0.25"/>
    <row r="3921" ht="13.5" customHeight="1" x14ac:dyDescent="0.25"/>
    <row r="3923" ht="13.5" customHeight="1" x14ac:dyDescent="0.25"/>
    <row r="3924" ht="13.5" customHeight="1" x14ac:dyDescent="0.25"/>
    <row r="3925" ht="13.5" customHeight="1" x14ac:dyDescent="0.25"/>
    <row r="3926" ht="13.5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20.25" customHeight="1" x14ac:dyDescent="0.25"/>
    <row r="3932" ht="13.5" customHeight="1" x14ac:dyDescent="0.25"/>
    <row r="3933" ht="13.5" customHeight="1" x14ac:dyDescent="0.25"/>
    <row r="3934" ht="13.5" customHeight="1" x14ac:dyDescent="0.25"/>
    <row r="3935" ht="13.5" customHeight="1" x14ac:dyDescent="0.25"/>
    <row r="3936" ht="13.5" customHeight="1" x14ac:dyDescent="0.25"/>
    <row r="3937" ht="13.5" customHeight="1" x14ac:dyDescent="0.25"/>
    <row r="3938" ht="13.5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20.25" customHeight="1" x14ac:dyDescent="0.25"/>
    <row r="3944" ht="13.5" customHeight="1" x14ac:dyDescent="0.25"/>
    <row r="3946" ht="13.5" customHeight="1" x14ac:dyDescent="0.25"/>
    <row r="3947" ht="13.5" customHeight="1" x14ac:dyDescent="0.25"/>
    <row r="3948" ht="13.5" customHeight="1" x14ac:dyDescent="0.25"/>
    <row r="3949" ht="13.5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20.25" customHeight="1" x14ac:dyDescent="0.25"/>
    <row r="3955" ht="13.5" customHeight="1" x14ac:dyDescent="0.25"/>
    <row r="3956" ht="13.5" customHeight="1" x14ac:dyDescent="0.25"/>
    <row r="3957" ht="13.5" customHeight="1" x14ac:dyDescent="0.25"/>
    <row r="3958" ht="13.5" customHeight="1" x14ac:dyDescent="0.25"/>
    <row r="3959" ht="13.5" customHeight="1" x14ac:dyDescent="0.25"/>
    <row r="3960" ht="13.5" customHeight="1" x14ac:dyDescent="0.25"/>
    <row r="3961" ht="13.5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20.25" customHeight="1" x14ac:dyDescent="0.25"/>
    <row r="3967" ht="13.5" customHeight="1" x14ac:dyDescent="0.25"/>
    <row r="3969" ht="13.5" customHeight="1" x14ac:dyDescent="0.25"/>
    <row r="3970" ht="13.5" customHeight="1" x14ac:dyDescent="0.25"/>
    <row r="3971" ht="13.5" customHeight="1" x14ac:dyDescent="0.25"/>
    <row r="3972" ht="13.5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20.25" customHeight="1" x14ac:dyDescent="0.25"/>
    <row r="3978" ht="13.5" customHeight="1" x14ac:dyDescent="0.25"/>
    <row r="3979" ht="13.5" customHeight="1" x14ac:dyDescent="0.25"/>
    <row r="3980" ht="13.5" customHeight="1" x14ac:dyDescent="0.25"/>
    <row r="3981" ht="13.5" customHeight="1" x14ac:dyDescent="0.25"/>
    <row r="3982" ht="13.5" customHeight="1" x14ac:dyDescent="0.25"/>
    <row r="3983" ht="13.5" customHeight="1" x14ac:dyDescent="0.25"/>
    <row r="3984" ht="13.5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20.25" customHeight="1" x14ac:dyDescent="0.25"/>
    <row r="3990" ht="13.5" customHeight="1" x14ac:dyDescent="0.25"/>
    <row r="3992" ht="13.5" customHeight="1" x14ac:dyDescent="0.25"/>
    <row r="3993" ht="13.5" customHeight="1" x14ac:dyDescent="0.25"/>
    <row r="3994" ht="13.5" customHeight="1" x14ac:dyDescent="0.25"/>
    <row r="3995" ht="13.5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20.25" customHeight="1" x14ac:dyDescent="0.25"/>
    <row r="4001" ht="13.5" customHeight="1" x14ac:dyDescent="0.25"/>
    <row r="4002" ht="13.5" customHeight="1" x14ac:dyDescent="0.25"/>
    <row r="4003" ht="13.5" customHeight="1" x14ac:dyDescent="0.25"/>
    <row r="4004" ht="13.5" customHeight="1" x14ac:dyDescent="0.25"/>
    <row r="4005" ht="13.5" customHeight="1" x14ac:dyDescent="0.25"/>
    <row r="4006" ht="13.5" customHeight="1" x14ac:dyDescent="0.25"/>
    <row r="4007" ht="13.5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20.25" customHeight="1" x14ac:dyDescent="0.25"/>
    <row r="4013" ht="13.5" customHeight="1" x14ac:dyDescent="0.25"/>
    <row r="4015" ht="13.5" customHeight="1" x14ac:dyDescent="0.25"/>
    <row r="4016" ht="13.5" customHeight="1" x14ac:dyDescent="0.25"/>
    <row r="4017" ht="13.5" customHeight="1" x14ac:dyDescent="0.25"/>
    <row r="4018" ht="13.5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20.25" customHeight="1" x14ac:dyDescent="0.25"/>
    <row r="4024" ht="13.5" customHeight="1" x14ac:dyDescent="0.25"/>
    <row r="4025" ht="13.5" customHeight="1" x14ac:dyDescent="0.25"/>
    <row r="4026" ht="13.5" customHeight="1" x14ac:dyDescent="0.25"/>
    <row r="4027" ht="13.5" customHeight="1" x14ac:dyDescent="0.25"/>
    <row r="4028" ht="13.5" customHeight="1" x14ac:dyDescent="0.25"/>
    <row r="4029" ht="13.5" customHeight="1" x14ac:dyDescent="0.25"/>
    <row r="4030" ht="13.5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20.25" customHeight="1" x14ac:dyDescent="0.25"/>
    <row r="4036" ht="13.5" customHeight="1" x14ac:dyDescent="0.25"/>
    <row r="4038" ht="13.5" customHeight="1" x14ac:dyDescent="0.25"/>
    <row r="4039" ht="13.5" customHeight="1" x14ac:dyDescent="0.25"/>
    <row r="4040" ht="13.5" customHeight="1" x14ac:dyDescent="0.25"/>
    <row r="4041" ht="13.5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20.25" customHeight="1" x14ac:dyDescent="0.25"/>
    <row r="4047" ht="13.5" customHeight="1" x14ac:dyDescent="0.25"/>
    <row r="4048" ht="13.5" customHeight="1" x14ac:dyDescent="0.25"/>
    <row r="4049" ht="13.5" customHeight="1" x14ac:dyDescent="0.25"/>
    <row r="4050" ht="13.5" customHeight="1" x14ac:dyDescent="0.25"/>
    <row r="4051" ht="13.5" customHeight="1" x14ac:dyDescent="0.25"/>
    <row r="4052" ht="13.5" customHeight="1" x14ac:dyDescent="0.25"/>
    <row r="4053" ht="13.5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20.25" customHeight="1" x14ac:dyDescent="0.25"/>
    <row r="4059" ht="13.5" customHeight="1" x14ac:dyDescent="0.25"/>
    <row r="4061" ht="13.5" customHeight="1" x14ac:dyDescent="0.25"/>
    <row r="4062" ht="13.5" customHeight="1" x14ac:dyDescent="0.25"/>
    <row r="4063" ht="13.5" customHeight="1" x14ac:dyDescent="0.25"/>
    <row r="4064" ht="13.5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20.25" customHeight="1" x14ac:dyDescent="0.25"/>
    <row r="4070" ht="13.5" customHeight="1" x14ac:dyDescent="0.25"/>
    <row r="4071" ht="13.5" customHeight="1" x14ac:dyDescent="0.25"/>
    <row r="4072" ht="13.5" customHeight="1" x14ac:dyDescent="0.25"/>
    <row r="4073" ht="13.5" customHeight="1" x14ac:dyDescent="0.25"/>
    <row r="4074" ht="13.5" customHeight="1" x14ac:dyDescent="0.25"/>
    <row r="4075" ht="13.5" customHeight="1" x14ac:dyDescent="0.25"/>
    <row r="4076" ht="13.5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20.25" customHeight="1" x14ac:dyDescent="0.25"/>
    <row r="4082" ht="13.5" customHeight="1" x14ac:dyDescent="0.25"/>
    <row r="4084" ht="13.5" customHeight="1" x14ac:dyDescent="0.25"/>
    <row r="4085" ht="13.5" customHeight="1" x14ac:dyDescent="0.25"/>
    <row r="4086" ht="13.5" customHeight="1" x14ac:dyDescent="0.25"/>
    <row r="4087" ht="13.5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20.25" customHeight="1" x14ac:dyDescent="0.25"/>
    <row r="4093" ht="13.5" customHeight="1" x14ac:dyDescent="0.25"/>
    <row r="4094" ht="13.5" customHeight="1" x14ac:dyDescent="0.25"/>
    <row r="4095" ht="13.5" customHeight="1" x14ac:dyDescent="0.25"/>
    <row r="4096" ht="13.5" customHeight="1" x14ac:dyDescent="0.25"/>
    <row r="4097" ht="13.5" customHeight="1" x14ac:dyDescent="0.25"/>
    <row r="4098" ht="13.5" customHeight="1" x14ac:dyDescent="0.25"/>
    <row r="4099" ht="13.5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20.25" customHeight="1" x14ac:dyDescent="0.25"/>
    <row r="4105" ht="13.5" customHeight="1" x14ac:dyDescent="0.25"/>
    <row r="4107" ht="13.5" customHeight="1" x14ac:dyDescent="0.25"/>
    <row r="4108" ht="13.5" customHeight="1" x14ac:dyDescent="0.25"/>
    <row r="4109" ht="13.5" customHeight="1" x14ac:dyDescent="0.25"/>
    <row r="4110" ht="13.5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20.25" customHeight="1" x14ac:dyDescent="0.25"/>
    <row r="4116" ht="13.5" customHeight="1" x14ac:dyDescent="0.25"/>
    <row r="4117" ht="13.5" customHeight="1" x14ac:dyDescent="0.25"/>
    <row r="4118" ht="13.5" customHeight="1" x14ac:dyDescent="0.25"/>
    <row r="4119" ht="13.5" customHeight="1" x14ac:dyDescent="0.25"/>
    <row r="4120" ht="13.5" customHeight="1" x14ac:dyDescent="0.25"/>
    <row r="4121" ht="13.5" customHeight="1" x14ac:dyDescent="0.25"/>
    <row r="4122" ht="13.5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20.25" customHeight="1" x14ac:dyDescent="0.25"/>
    <row r="4128" ht="13.5" customHeight="1" x14ac:dyDescent="0.25"/>
    <row r="4130" ht="13.5" customHeight="1" x14ac:dyDescent="0.25"/>
    <row r="4131" ht="13.5" customHeight="1" x14ac:dyDescent="0.25"/>
    <row r="4132" ht="13.5" customHeight="1" x14ac:dyDescent="0.25"/>
    <row r="4133" ht="13.5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20.25" customHeight="1" x14ac:dyDescent="0.25"/>
    <row r="4139" ht="13.5" customHeight="1" x14ac:dyDescent="0.25"/>
    <row r="4140" ht="13.5" customHeight="1" x14ac:dyDescent="0.25"/>
    <row r="4141" ht="13.5" customHeight="1" x14ac:dyDescent="0.25"/>
    <row r="4142" ht="13.5" customHeight="1" x14ac:dyDescent="0.25"/>
    <row r="4143" ht="13.5" customHeight="1" x14ac:dyDescent="0.25"/>
    <row r="4144" ht="13.5" customHeight="1" x14ac:dyDescent="0.25"/>
    <row r="4145" ht="13.5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20.25" customHeight="1" x14ac:dyDescent="0.25"/>
    <row r="4151" ht="13.5" customHeight="1" x14ac:dyDescent="0.25"/>
    <row r="4153" ht="13.5" customHeight="1" x14ac:dyDescent="0.25"/>
    <row r="4154" ht="13.5" customHeight="1" x14ac:dyDescent="0.25"/>
    <row r="4155" ht="13.5" customHeight="1" x14ac:dyDescent="0.25"/>
    <row r="4156" ht="13.5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20.25" customHeight="1" x14ac:dyDescent="0.25"/>
    <row r="4162" ht="13.5" customHeight="1" x14ac:dyDescent="0.25"/>
    <row r="4163" ht="13.5" customHeight="1" x14ac:dyDescent="0.25"/>
    <row r="4164" ht="13.5" customHeight="1" x14ac:dyDescent="0.25"/>
    <row r="4165" ht="13.5" customHeight="1" x14ac:dyDescent="0.25"/>
    <row r="4166" ht="13.5" customHeight="1" x14ac:dyDescent="0.25"/>
    <row r="4167" ht="13.5" customHeight="1" x14ac:dyDescent="0.25"/>
    <row r="4168" ht="13.5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20.25" customHeight="1" x14ac:dyDescent="0.25"/>
    <row r="4174" ht="13.5" customHeight="1" x14ac:dyDescent="0.25"/>
    <row r="4176" ht="13.5" customHeight="1" x14ac:dyDescent="0.25"/>
    <row r="4177" ht="13.5" customHeight="1" x14ac:dyDescent="0.25"/>
    <row r="4178" ht="13.5" customHeight="1" x14ac:dyDescent="0.25"/>
    <row r="4179" ht="13.5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20.25" customHeight="1" x14ac:dyDescent="0.25"/>
    <row r="4185" ht="13.5" customHeight="1" x14ac:dyDescent="0.25"/>
    <row r="4186" ht="13.5" customHeight="1" x14ac:dyDescent="0.25"/>
    <row r="4187" ht="13.5" customHeight="1" x14ac:dyDescent="0.25"/>
    <row r="4188" ht="13.5" customHeight="1" x14ac:dyDescent="0.25"/>
    <row r="4189" ht="13.5" customHeight="1" x14ac:dyDescent="0.25"/>
    <row r="4190" ht="13.5" customHeight="1" x14ac:dyDescent="0.25"/>
    <row r="4191" ht="13.5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20.25" customHeight="1" x14ac:dyDescent="0.25"/>
    <row r="4197" ht="13.5" customHeight="1" x14ac:dyDescent="0.25"/>
    <row r="4199" ht="13.5" customHeight="1" x14ac:dyDescent="0.25"/>
    <row r="4200" ht="13.5" customHeight="1" x14ac:dyDescent="0.25"/>
    <row r="4201" ht="13.5" customHeight="1" x14ac:dyDescent="0.25"/>
    <row r="4202" ht="13.5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20.25" customHeight="1" x14ac:dyDescent="0.25"/>
    <row r="4208" ht="13.5" customHeight="1" x14ac:dyDescent="0.25"/>
    <row r="4209" ht="13.5" customHeight="1" x14ac:dyDescent="0.25"/>
    <row r="4210" ht="13.5" customHeight="1" x14ac:dyDescent="0.25"/>
    <row r="4211" ht="13.5" customHeight="1" x14ac:dyDescent="0.25"/>
    <row r="4212" ht="13.5" customHeight="1" x14ac:dyDescent="0.25"/>
    <row r="4213" ht="13.5" customHeight="1" x14ac:dyDescent="0.25"/>
    <row r="4214" ht="13.5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20.25" customHeight="1" x14ac:dyDescent="0.25"/>
    <row r="4220" ht="13.5" customHeight="1" x14ac:dyDescent="0.25"/>
    <row r="4222" ht="13.5" customHeight="1" x14ac:dyDescent="0.25"/>
    <row r="4223" ht="13.5" customHeight="1" x14ac:dyDescent="0.25"/>
    <row r="4224" ht="13.5" customHeight="1" x14ac:dyDescent="0.25"/>
    <row r="4225" ht="13.5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20.25" customHeight="1" x14ac:dyDescent="0.25"/>
    <row r="4231" ht="13.5" customHeight="1" x14ac:dyDescent="0.25"/>
    <row r="4232" ht="13.5" customHeight="1" x14ac:dyDescent="0.25"/>
    <row r="4233" ht="13.5" customHeight="1" x14ac:dyDescent="0.25"/>
    <row r="4234" ht="13.5" customHeight="1" x14ac:dyDescent="0.25"/>
    <row r="4235" ht="13.5" customHeight="1" x14ac:dyDescent="0.25"/>
    <row r="4236" ht="13.5" customHeight="1" x14ac:dyDescent="0.25"/>
    <row r="4237" ht="13.5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20.25" customHeight="1" x14ac:dyDescent="0.25"/>
    <row r="4243" ht="13.5" customHeight="1" x14ac:dyDescent="0.25"/>
    <row r="4245" ht="13.5" customHeight="1" x14ac:dyDescent="0.25"/>
    <row r="4246" ht="13.5" customHeight="1" x14ac:dyDescent="0.25"/>
    <row r="4247" ht="13.5" customHeight="1" x14ac:dyDescent="0.25"/>
    <row r="4248" ht="13.5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20.25" customHeight="1" x14ac:dyDescent="0.25"/>
    <row r="4254" ht="13.5" customHeight="1" x14ac:dyDescent="0.25"/>
    <row r="4255" ht="13.5" customHeight="1" x14ac:dyDescent="0.25"/>
    <row r="4256" ht="13.5" customHeight="1" x14ac:dyDescent="0.25"/>
    <row r="4257" ht="13.5" customHeight="1" x14ac:dyDescent="0.25"/>
    <row r="4258" ht="13.5" customHeight="1" x14ac:dyDescent="0.25"/>
    <row r="4259" ht="13.5" customHeight="1" x14ac:dyDescent="0.25"/>
    <row r="4260" ht="13.5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20.25" customHeight="1" x14ac:dyDescent="0.25"/>
    <row r="4266" ht="13.5" customHeight="1" x14ac:dyDescent="0.25"/>
    <row r="4268" ht="13.5" customHeight="1" x14ac:dyDescent="0.25"/>
    <row r="4269" ht="13.5" customHeight="1" x14ac:dyDescent="0.25"/>
    <row r="4270" ht="13.5" customHeight="1" x14ac:dyDescent="0.25"/>
    <row r="4271" ht="13.5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20.25" customHeight="1" x14ac:dyDescent="0.25"/>
    <row r="4277" ht="13.5" customHeight="1" x14ac:dyDescent="0.25"/>
    <row r="4278" ht="13.5" customHeight="1" x14ac:dyDescent="0.25"/>
    <row r="4279" ht="13.5" customHeight="1" x14ac:dyDescent="0.25"/>
    <row r="4280" ht="13.5" customHeight="1" x14ac:dyDescent="0.25"/>
    <row r="4281" ht="13.5" customHeight="1" x14ac:dyDescent="0.25"/>
    <row r="4282" ht="13.5" customHeight="1" x14ac:dyDescent="0.25"/>
    <row r="4283" ht="13.5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20.25" customHeight="1" x14ac:dyDescent="0.25"/>
    <row r="4289" ht="13.5" customHeight="1" x14ac:dyDescent="0.25"/>
    <row r="4291" ht="13.5" customHeight="1" x14ac:dyDescent="0.25"/>
    <row r="4292" ht="13.5" customHeight="1" x14ac:dyDescent="0.25"/>
    <row r="4293" ht="13.5" customHeight="1" x14ac:dyDescent="0.25"/>
    <row r="4294" ht="13.5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20.25" customHeight="1" x14ac:dyDescent="0.25"/>
    <row r="4300" ht="13.5" customHeight="1" x14ac:dyDescent="0.25"/>
    <row r="4301" ht="13.5" customHeight="1" x14ac:dyDescent="0.25"/>
    <row r="4302" ht="13.5" customHeight="1" x14ac:dyDescent="0.25"/>
    <row r="4303" ht="13.5" customHeight="1" x14ac:dyDescent="0.25"/>
    <row r="4304" ht="13.5" customHeight="1" x14ac:dyDescent="0.25"/>
    <row r="4305" ht="13.5" customHeight="1" x14ac:dyDescent="0.25"/>
    <row r="4306" ht="13.5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20.25" customHeight="1" x14ac:dyDescent="0.25"/>
    <row r="4312" ht="13.5" customHeight="1" x14ac:dyDescent="0.25"/>
    <row r="4314" ht="13.5" customHeight="1" x14ac:dyDescent="0.25"/>
    <row r="4315" ht="13.5" customHeight="1" x14ac:dyDescent="0.25"/>
    <row r="4316" ht="13.5" customHeight="1" x14ac:dyDescent="0.25"/>
    <row r="4317" ht="13.5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20.25" customHeight="1" x14ac:dyDescent="0.25"/>
    <row r="4323" ht="13.5" customHeight="1" x14ac:dyDescent="0.25"/>
    <row r="4324" ht="13.5" customHeight="1" x14ac:dyDescent="0.25"/>
    <row r="4325" ht="13.5" customHeight="1" x14ac:dyDescent="0.25"/>
    <row r="4326" ht="13.5" customHeight="1" x14ac:dyDescent="0.25"/>
    <row r="4327" ht="13.5" customHeight="1" x14ac:dyDescent="0.25"/>
    <row r="4328" ht="13.5" customHeight="1" x14ac:dyDescent="0.25"/>
    <row r="4329" ht="13.5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20.25" customHeight="1" x14ac:dyDescent="0.25"/>
    <row r="4335" ht="13.5" customHeight="1" x14ac:dyDescent="0.25"/>
    <row r="4337" ht="13.5" customHeight="1" x14ac:dyDescent="0.25"/>
    <row r="4338" ht="13.5" customHeight="1" x14ac:dyDescent="0.25"/>
    <row r="4339" ht="13.5" customHeight="1" x14ac:dyDescent="0.25"/>
    <row r="4340" ht="13.5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20.25" customHeight="1" x14ac:dyDescent="0.25"/>
    <row r="4346" ht="13.5" customHeight="1" x14ac:dyDescent="0.25"/>
    <row r="4347" ht="13.5" customHeight="1" x14ac:dyDescent="0.25"/>
    <row r="4348" ht="13.5" customHeight="1" x14ac:dyDescent="0.25"/>
    <row r="4349" ht="13.5" customHeight="1" x14ac:dyDescent="0.25"/>
    <row r="4350" ht="13.5" customHeight="1" x14ac:dyDescent="0.25"/>
    <row r="4351" ht="13.5" customHeight="1" x14ac:dyDescent="0.25"/>
    <row r="4352" ht="13.5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20.25" customHeight="1" x14ac:dyDescent="0.25"/>
    <row r="4358" ht="13.5" customHeight="1" x14ac:dyDescent="0.25"/>
    <row r="4360" ht="13.5" customHeight="1" x14ac:dyDescent="0.25"/>
    <row r="4361" ht="13.5" customHeight="1" x14ac:dyDescent="0.25"/>
    <row r="4362" ht="13.5" customHeight="1" x14ac:dyDescent="0.25"/>
    <row r="4363" ht="13.5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20.25" customHeight="1" x14ac:dyDescent="0.25"/>
    <row r="4369" ht="13.5" customHeight="1" x14ac:dyDescent="0.25"/>
    <row r="4370" ht="13.5" customHeight="1" x14ac:dyDescent="0.25"/>
    <row r="4371" ht="13.5" customHeight="1" x14ac:dyDescent="0.25"/>
    <row r="4372" ht="13.5" customHeight="1" x14ac:dyDescent="0.25"/>
    <row r="4373" ht="13.5" customHeight="1" x14ac:dyDescent="0.25"/>
    <row r="4374" ht="13.5" customHeight="1" x14ac:dyDescent="0.25"/>
    <row r="4375" ht="13.5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20.25" customHeight="1" x14ac:dyDescent="0.25"/>
    <row r="4381" ht="13.5" customHeight="1" x14ac:dyDescent="0.25"/>
    <row r="4383" ht="13.5" customHeight="1" x14ac:dyDescent="0.25"/>
    <row r="4384" ht="13.5" customHeight="1" x14ac:dyDescent="0.25"/>
    <row r="4385" ht="13.5" customHeight="1" x14ac:dyDescent="0.25"/>
    <row r="4386" ht="13.5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20.25" customHeight="1" x14ac:dyDescent="0.25"/>
    <row r="4392" ht="13.5" customHeight="1" x14ac:dyDescent="0.25"/>
    <row r="4393" ht="13.5" customHeight="1" x14ac:dyDescent="0.25"/>
    <row r="4394" ht="13.5" customHeight="1" x14ac:dyDescent="0.25"/>
    <row r="4395" ht="13.5" customHeight="1" x14ac:dyDescent="0.25"/>
    <row r="4396" ht="13.5" customHeight="1" x14ac:dyDescent="0.25"/>
    <row r="4397" ht="13.5" customHeight="1" x14ac:dyDescent="0.25"/>
    <row r="4398" ht="13.5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20.25" customHeight="1" x14ac:dyDescent="0.25"/>
    <row r="4404" ht="13.5" customHeight="1" x14ac:dyDescent="0.25"/>
    <row r="4406" ht="13.5" customHeight="1" x14ac:dyDescent="0.25"/>
    <row r="4407" ht="13.5" customHeight="1" x14ac:dyDescent="0.25"/>
    <row r="4408" ht="13.5" customHeight="1" x14ac:dyDescent="0.25"/>
    <row r="4409" ht="13.5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20.25" customHeight="1" x14ac:dyDescent="0.25"/>
    <row r="4415" ht="13.5" customHeight="1" x14ac:dyDescent="0.25"/>
    <row r="4416" ht="13.5" customHeight="1" x14ac:dyDescent="0.25"/>
    <row r="4417" ht="13.5" customHeight="1" x14ac:dyDescent="0.25"/>
    <row r="4418" ht="13.5" customHeight="1" x14ac:dyDescent="0.25"/>
    <row r="4419" ht="13.5" customHeight="1" x14ac:dyDescent="0.25"/>
    <row r="4420" ht="13.5" customHeight="1" x14ac:dyDescent="0.25"/>
    <row r="4421" ht="13.5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20.25" customHeight="1" x14ac:dyDescent="0.25"/>
    <row r="4427" ht="13.5" customHeight="1" x14ac:dyDescent="0.25"/>
    <row r="4429" ht="13.5" customHeight="1" x14ac:dyDescent="0.25"/>
    <row r="4430" ht="13.5" customHeight="1" x14ac:dyDescent="0.25"/>
    <row r="4431" ht="13.5" customHeight="1" x14ac:dyDescent="0.25"/>
    <row r="4432" ht="13.5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20.25" customHeight="1" x14ac:dyDescent="0.25"/>
    <row r="4438" ht="13.5" customHeight="1" x14ac:dyDescent="0.25"/>
    <row r="4439" ht="13.5" customHeight="1" x14ac:dyDescent="0.25"/>
    <row r="4440" ht="13.5" customHeight="1" x14ac:dyDescent="0.25"/>
    <row r="4441" ht="13.5" customHeight="1" x14ac:dyDescent="0.25"/>
    <row r="4442" ht="13.5" customHeight="1" x14ac:dyDescent="0.25"/>
    <row r="4443" ht="13.5" customHeight="1" x14ac:dyDescent="0.25"/>
    <row r="4444" ht="13.5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20.25" customHeight="1" x14ac:dyDescent="0.25"/>
    <row r="4450" ht="13.5" customHeight="1" x14ac:dyDescent="0.25"/>
    <row r="4452" ht="13.5" customHeight="1" x14ac:dyDescent="0.25"/>
    <row r="4453" ht="13.5" customHeight="1" x14ac:dyDescent="0.25"/>
    <row r="4454" ht="13.5" customHeight="1" x14ac:dyDescent="0.25"/>
    <row r="4455" ht="13.5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20.25" customHeight="1" x14ac:dyDescent="0.25"/>
    <row r="4461" ht="13.5" customHeight="1" x14ac:dyDescent="0.25"/>
    <row r="4462" ht="13.5" customHeight="1" x14ac:dyDescent="0.25"/>
    <row r="4463" ht="13.5" customHeight="1" x14ac:dyDescent="0.25"/>
    <row r="4464" ht="13.5" customHeight="1" x14ac:dyDescent="0.25"/>
    <row r="4465" ht="13.5" customHeight="1" x14ac:dyDescent="0.25"/>
    <row r="4466" ht="13.5" customHeight="1" x14ac:dyDescent="0.25"/>
    <row r="4467" ht="13.5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20.25" customHeight="1" x14ac:dyDescent="0.25"/>
    <row r="4473" ht="13.5" customHeight="1" x14ac:dyDescent="0.25"/>
    <row r="4475" ht="13.5" customHeight="1" x14ac:dyDescent="0.25"/>
    <row r="4476" ht="13.5" customHeight="1" x14ac:dyDescent="0.25"/>
    <row r="4477" ht="13.5" customHeight="1" x14ac:dyDescent="0.25"/>
    <row r="4478" ht="13.5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20.25" customHeight="1" x14ac:dyDescent="0.25"/>
    <row r="4484" ht="13.5" customHeight="1" x14ac:dyDescent="0.25"/>
    <row r="4485" ht="13.5" customHeight="1" x14ac:dyDescent="0.25"/>
    <row r="4486" ht="13.5" customHeight="1" x14ac:dyDescent="0.25"/>
    <row r="4487" ht="13.5" customHeight="1" x14ac:dyDescent="0.25"/>
    <row r="4488" ht="13.5" customHeight="1" x14ac:dyDescent="0.25"/>
    <row r="4489" ht="13.5" customHeight="1" x14ac:dyDescent="0.25"/>
    <row r="4490" ht="13.5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20.25" customHeight="1" x14ac:dyDescent="0.25"/>
    <row r="4496" ht="13.5" customHeight="1" x14ac:dyDescent="0.25"/>
    <row r="4498" ht="13.5" customHeight="1" x14ac:dyDescent="0.25"/>
    <row r="4499" ht="13.5" customHeight="1" x14ac:dyDescent="0.25"/>
    <row r="4500" ht="13.5" customHeight="1" x14ac:dyDescent="0.25"/>
    <row r="4501" ht="13.5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20.25" customHeight="1" x14ac:dyDescent="0.25"/>
    <row r="4507" ht="13.5" customHeight="1" x14ac:dyDescent="0.25"/>
    <row r="4508" ht="13.5" customHeight="1" x14ac:dyDescent="0.25"/>
    <row r="4509" ht="13.5" customHeight="1" x14ac:dyDescent="0.25"/>
    <row r="4510" ht="13.5" customHeight="1" x14ac:dyDescent="0.25"/>
    <row r="4511" ht="13.5" customHeight="1" x14ac:dyDescent="0.25"/>
    <row r="4512" ht="13.5" customHeight="1" x14ac:dyDescent="0.25"/>
    <row r="4513" ht="13.5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20.25" customHeight="1" x14ac:dyDescent="0.25"/>
    <row r="4519" ht="13.5" customHeight="1" x14ac:dyDescent="0.25"/>
    <row r="4521" ht="13.5" customHeight="1" x14ac:dyDescent="0.25"/>
    <row r="4522" ht="13.5" customHeight="1" x14ac:dyDescent="0.25"/>
    <row r="4523" ht="13.5" customHeight="1" x14ac:dyDescent="0.25"/>
    <row r="4524" ht="13.5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20.25" customHeight="1" x14ac:dyDescent="0.25"/>
    <row r="4530" ht="13.5" customHeight="1" x14ac:dyDescent="0.25"/>
    <row r="4531" ht="13.5" customHeight="1" x14ac:dyDescent="0.25"/>
    <row r="4532" ht="13.5" customHeight="1" x14ac:dyDescent="0.25"/>
    <row r="4533" ht="13.5" customHeight="1" x14ac:dyDescent="0.25"/>
    <row r="4534" ht="13.5" customHeight="1" x14ac:dyDescent="0.25"/>
    <row r="4535" ht="13.5" customHeight="1" x14ac:dyDescent="0.25"/>
    <row r="4536" ht="13.5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20.25" customHeight="1" x14ac:dyDescent="0.25"/>
    <row r="4542" ht="13.5" customHeight="1" x14ac:dyDescent="0.25"/>
    <row r="4544" ht="13.5" customHeight="1" x14ac:dyDescent="0.25"/>
    <row r="4545" ht="13.5" customHeight="1" x14ac:dyDescent="0.25"/>
    <row r="4546" ht="13.5" customHeight="1" x14ac:dyDescent="0.25"/>
    <row r="4547" ht="13.5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20.25" customHeight="1" x14ac:dyDescent="0.25"/>
    <row r="4553" ht="13.5" customHeight="1" x14ac:dyDescent="0.25"/>
    <row r="4554" ht="13.5" customHeight="1" x14ac:dyDescent="0.25"/>
    <row r="4555" ht="13.5" customHeight="1" x14ac:dyDescent="0.25"/>
    <row r="4556" ht="13.5" customHeight="1" x14ac:dyDescent="0.25"/>
    <row r="4557" ht="13.5" customHeight="1" x14ac:dyDescent="0.25"/>
    <row r="4558" ht="13.5" customHeight="1" x14ac:dyDescent="0.25"/>
    <row r="4559" ht="13.5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20.25" customHeight="1" x14ac:dyDescent="0.25"/>
    <row r="4565" ht="13.5" customHeight="1" x14ac:dyDescent="0.25"/>
    <row r="4567" ht="13.5" customHeight="1" x14ac:dyDescent="0.25"/>
    <row r="4568" ht="13.5" customHeight="1" x14ac:dyDescent="0.25"/>
    <row r="4569" ht="13.5" customHeight="1" x14ac:dyDescent="0.25"/>
    <row r="4570" ht="13.5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20.25" customHeight="1" x14ac:dyDescent="0.25"/>
    <row r="4576" ht="13.5" customHeight="1" x14ac:dyDescent="0.25"/>
    <row r="4577" ht="13.5" customHeight="1" x14ac:dyDescent="0.25"/>
    <row r="4578" ht="13.5" customHeight="1" x14ac:dyDescent="0.25"/>
    <row r="4579" ht="13.5" customHeight="1" x14ac:dyDescent="0.25"/>
    <row r="4580" ht="13.5" customHeight="1" x14ac:dyDescent="0.25"/>
    <row r="4581" ht="13.5" customHeight="1" x14ac:dyDescent="0.25"/>
    <row r="4582" ht="13.5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20.25" customHeight="1" x14ac:dyDescent="0.25"/>
    <row r="4588" ht="13.5" customHeight="1" x14ac:dyDescent="0.25"/>
    <row r="4590" ht="13.5" customHeight="1" x14ac:dyDescent="0.25"/>
    <row r="4591" ht="13.5" customHeight="1" x14ac:dyDescent="0.25"/>
    <row r="4592" ht="13.5" customHeight="1" x14ac:dyDescent="0.25"/>
    <row r="4593" ht="13.5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20.25" customHeight="1" x14ac:dyDescent="0.25"/>
    <row r="4599" ht="13.5" customHeight="1" x14ac:dyDescent="0.25"/>
    <row r="4600" ht="13.5" customHeight="1" x14ac:dyDescent="0.25"/>
    <row r="4601" ht="13.5" customHeight="1" x14ac:dyDescent="0.25"/>
    <row r="4602" ht="13.5" customHeight="1" x14ac:dyDescent="0.25"/>
    <row r="4603" ht="13.5" customHeight="1" x14ac:dyDescent="0.25"/>
    <row r="4604" ht="13.5" customHeight="1" x14ac:dyDescent="0.25"/>
    <row r="4605" ht="13.5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20.25" customHeight="1" x14ac:dyDescent="0.25"/>
    <row r="4611" ht="13.5" customHeight="1" x14ac:dyDescent="0.25"/>
    <row r="4613" ht="13.5" customHeight="1" x14ac:dyDescent="0.25"/>
    <row r="4614" ht="13.5" customHeight="1" x14ac:dyDescent="0.25"/>
    <row r="4615" ht="13.5" customHeight="1" x14ac:dyDescent="0.25"/>
    <row r="4616" ht="13.5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20.25" customHeight="1" x14ac:dyDescent="0.25"/>
    <row r="4622" ht="13.5" customHeight="1" x14ac:dyDescent="0.25"/>
    <row r="4623" ht="13.5" customHeight="1" x14ac:dyDescent="0.25"/>
    <row r="4624" ht="13.5" customHeight="1" x14ac:dyDescent="0.25"/>
    <row r="4625" ht="13.5" customHeight="1" x14ac:dyDescent="0.25"/>
    <row r="4626" ht="13.5" customHeight="1" x14ac:dyDescent="0.25"/>
    <row r="4627" ht="13.5" customHeight="1" x14ac:dyDescent="0.25"/>
    <row r="4628" ht="13.5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20.25" customHeight="1" x14ac:dyDescent="0.25"/>
    <row r="4634" ht="13.5" customHeight="1" x14ac:dyDescent="0.25"/>
    <row r="4636" ht="13.5" customHeight="1" x14ac:dyDescent="0.25"/>
    <row r="4637" ht="13.5" customHeight="1" x14ac:dyDescent="0.25"/>
    <row r="4638" ht="13.5" customHeight="1" x14ac:dyDescent="0.25"/>
    <row r="4639" ht="13.5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20.25" customHeight="1" x14ac:dyDescent="0.25"/>
    <row r="4645" ht="13.5" customHeight="1" x14ac:dyDescent="0.25"/>
    <row r="4646" ht="13.5" customHeight="1" x14ac:dyDescent="0.25"/>
    <row r="4647" ht="13.5" customHeight="1" x14ac:dyDescent="0.25"/>
    <row r="4648" ht="13.5" customHeight="1" x14ac:dyDescent="0.25"/>
    <row r="4649" ht="13.5" customHeight="1" x14ac:dyDescent="0.25"/>
    <row r="4650" ht="13.5" customHeight="1" x14ac:dyDescent="0.25"/>
    <row r="4651" ht="13.5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20.25" customHeight="1" x14ac:dyDescent="0.25"/>
    <row r="4657" ht="13.5" customHeight="1" x14ac:dyDescent="0.25"/>
    <row r="4659" ht="13.5" customHeight="1" x14ac:dyDescent="0.25"/>
    <row r="4660" ht="13.5" customHeight="1" x14ac:dyDescent="0.25"/>
    <row r="4661" ht="13.5" customHeight="1" x14ac:dyDescent="0.25"/>
    <row r="4662" ht="13.5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20.25" customHeight="1" x14ac:dyDescent="0.25"/>
    <row r="4668" ht="13.5" customHeight="1" x14ac:dyDescent="0.25"/>
    <row r="4669" ht="13.5" customHeight="1" x14ac:dyDescent="0.25"/>
    <row r="4670" ht="13.5" customHeight="1" x14ac:dyDescent="0.25"/>
    <row r="4671" ht="13.5" customHeight="1" x14ac:dyDescent="0.25"/>
    <row r="4672" ht="13.5" customHeight="1" x14ac:dyDescent="0.25"/>
    <row r="4673" ht="13.5" customHeight="1" x14ac:dyDescent="0.25"/>
    <row r="4674" ht="13.5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20.25" customHeight="1" x14ac:dyDescent="0.25"/>
    <row r="4680" ht="13.5" customHeight="1" x14ac:dyDescent="0.25"/>
    <row r="4682" ht="13.5" customHeight="1" x14ac:dyDescent="0.25"/>
    <row r="4683" ht="13.5" customHeight="1" x14ac:dyDescent="0.25"/>
    <row r="4684" ht="13.5" customHeight="1" x14ac:dyDescent="0.25"/>
    <row r="4685" ht="13.5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20.25" customHeight="1" x14ac:dyDescent="0.25"/>
    <row r="4691" ht="13.5" customHeight="1" x14ac:dyDescent="0.25"/>
    <row r="4692" ht="13.5" customHeight="1" x14ac:dyDescent="0.25"/>
    <row r="4693" ht="13.5" customHeight="1" x14ac:dyDescent="0.25"/>
    <row r="4694" ht="13.5" customHeight="1" x14ac:dyDescent="0.25"/>
    <row r="4695" ht="13.5" customHeight="1" x14ac:dyDescent="0.25"/>
    <row r="4696" ht="13.5" customHeight="1" x14ac:dyDescent="0.25"/>
    <row r="4697" ht="13.5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20.25" customHeight="1" x14ac:dyDescent="0.25"/>
    <row r="4703" ht="13.5" customHeight="1" x14ac:dyDescent="0.25"/>
    <row r="4705" ht="13.5" customHeight="1" x14ac:dyDescent="0.25"/>
    <row r="4706" ht="13.5" customHeight="1" x14ac:dyDescent="0.25"/>
    <row r="4707" ht="13.5" customHeight="1" x14ac:dyDescent="0.25"/>
    <row r="4708" ht="13.5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20.25" customHeight="1" x14ac:dyDescent="0.25"/>
    <row r="4714" ht="13.5" customHeight="1" x14ac:dyDescent="0.25"/>
    <row r="4715" ht="13.5" customHeight="1" x14ac:dyDescent="0.25"/>
    <row r="4716" ht="13.5" customHeight="1" x14ac:dyDescent="0.25"/>
    <row r="4717" ht="13.5" customHeight="1" x14ac:dyDescent="0.25"/>
    <row r="4718" ht="13.5" customHeight="1" x14ac:dyDescent="0.25"/>
    <row r="4719" ht="13.5" customHeight="1" x14ac:dyDescent="0.25"/>
    <row r="4720" ht="13.5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20.25" customHeight="1" x14ac:dyDescent="0.25"/>
    <row r="4726" ht="13.5" customHeight="1" x14ac:dyDescent="0.25"/>
    <row r="4728" ht="13.5" customHeight="1" x14ac:dyDescent="0.25"/>
    <row r="4729" ht="13.5" customHeight="1" x14ac:dyDescent="0.25"/>
    <row r="4730" ht="13.5" customHeight="1" x14ac:dyDescent="0.25"/>
    <row r="4731" ht="13.5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20.25" customHeight="1" x14ac:dyDescent="0.25"/>
    <row r="4737" ht="13.5" customHeight="1" x14ac:dyDescent="0.25"/>
    <row r="4738" ht="13.5" customHeight="1" x14ac:dyDescent="0.25"/>
    <row r="4739" ht="13.5" customHeight="1" x14ac:dyDescent="0.25"/>
    <row r="4740" ht="13.5" customHeight="1" x14ac:dyDescent="0.25"/>
    <row r="4741" ht="13.5" customHeight="1" x14ac:dyDescent="0.25"/>
    <row r="4742" ht="13.5" customHeight="1" x14ac:dyDescent="0.25"/>
    <row r="4743" ht="13.5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20.25" customHeight="1" x14ac:dyDescent="0.25"/>
    <row r="4749" ht="13.5" customHeight="1" x14ac:dyDescent="0.25"/>
    <row r="4751" ht="13.5" customHeight="1" x14ac:dyDescent="0.25"/>
    <row r="4752" ht="13.5" customHeight="1" x14ac:dyDescent="0.25"/>
    <row r="4753" ht="13.5" customHeight="1" x14ac:dyDescent="0.25"/>
    <row r="4754" ht="13.5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20.25" customHeight="1" x14ac:dyDescent="0.25"/>
    <row r="4760" ht="13.5" customHeight="1" x14ac:dyDescent="0.25"/>
    <row r="4761" ht="13.5" customHeight="1" x14ac:dyDescent="0.25"/>
    <row r="4762" ht="13.5" customHeight="1" x14ac:dyDescent="0.25"/>
    <row r="4763" ht="13.5" customHeight="1" x14ac:dyDescent="0.25"/>
    <row r="4764" ht="13.5" customHeight="1" x14ac:dyDescent="0.25"/>
    <row r="4765" ht="13.5" customHeight="1" x14ac:dyDescent="0.25"/>
    <row r="4766" ht="13.5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20.25" customHeight="1" x14ac:dyDescent="0.25"/>
    <row r="4772" ht="13.5" customHeight="1" x14ac:dyDescent="0.25"/>
    <row r="4774" ht="13.5" customHeight="1" x14ac:dyDescent="0.25"/>
    <row r="4775" ht="13.5" customHeight="1" x14ac:dyDescent="0.25"/>
    <row r="4776" ht="13.5" customHeight="1" x14ac:dyDescent="0.25"/>
    <row r="4777" ht="13.5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20.25" customHeight="1" x14ac:dyDescent="0.25"/>
    <row r="4783" ht="13.5" customHeight="1" x14ac:dyDescent="0.25"/>
    <row r="4784" ht="13.5" customHeight="1" x14ac:dyDescent="0.25"/>
    <row r="4785" ht="13.5" customHeight="1" x14ac:dyDescent="0.25"/>
    <row r="4786" ht="13.5" customHeight="1" x14ac:dyDescent="0.25"/>
    <row r="4787" ht="13.5" customHeight="1" x14ac:dyDescent="0.25"/>
    <row r="4788" ht="13.5" customHeight="1" x14ac:dyDescent="0.25"/>
    <row r="4789" ht="13.5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20.25" customHeight="1" x14ac:dyDescent="0.25"/>
    <row r="4795" ht="13.5" customHeight="1" x14ac:dyDescent="0.25"/>
    <row r="4797" ht="13.5" customHeight="1" x14ac:dyDescent="0.25"/>
    <row r="4798" ht="13.5" customHeight="1" x14ac:dyDescent="0.25"/>
    <row r="4799" ht="13.5" customHeight="1" x14ac:dyDescent="0.25"/>
    <row r="4800" ht="13.5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20.25" customHeight="1" x14ac:dyDescent="0.25"/>
    <row r="4806" ht="13.5" customHeight="1" x14ac:dyDescent="0.25"/>
    <row r="4807" ht="13.5" customHeight="1" x14ac:dyDescent="0.25"/>
    <row r="4808" ht="13.5" customHeight="1" x14ac:dyDescent="0.25"/>
    <row r="4809" ht="13.5" customHeight="1" x14ac:dyDescent="0.25"/>
    <row r="4810" ht="13.5" customHeight="1" x14ac:dyDescent="0.25"/>
    <row r="4811" ht="13.5" customHeight="1" x14ac:dyDescent="0.25"/>
    <row r="4812" ht="13.5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20.25" customHeight="1" x14ac:dyDescent="0.25"/>
    <row r="4818" ht="13.5" customHeight="1" x14ac:dyDescent="0.25"/>
    <row r="4820" ht="13.5" customHeight="1" x14ac:dyDescent="0.25"/>
    <row r="4821" ht="13.5" customHeight="1" x14ac:dyDescent="0.25"/>
    <row r="4822" ht="13.5" customHeight="1" x14ac:dyDescent="0.25"/>
    <row r="4823" ht="13.5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20.25" customHeight="1" x14ac:dyDescent="0.25"/>
    <row r="4829" ht="13.5" customHeight="1" x14ac:dyDescent="0.25"/>
    <row r="4830" ht="13.5" customHeight="1" x14ac:dyDescent="0.25"/>
    <row r="4831" ht="13.5" customHeight="1" x14ac:dyDescent="0.25"/>
    <row r="4832" ht="13.5" customHeight="1" x14ac:dyDescent="0.25"/>
    <row r="4833" ht="13.5" customHeight="1" x14ac:dyDescent="0.25"/>
    <row r="4834" ht="13.5" customHeight="1" x14ac:dyDescent="0.25"/>
    <row r="4835" ht="13.5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20.25" customHeight="1" x14ac:dyDescent="0.25"/>
    <row r="4841" ht="13.5" customHeight="1" x14ac:dyDescent="0.25"/>
    <row r="4843" ht="13.5" customHeight="1" x14ac:dyDescent="0.25"/>
    <row r="4844" ht="13.5" customHeight="1" x14ac:dyDescent="0.25"/>
    <row r="4845" ht="13.5" customHeight="1" x14ac:dyDescent="0.25"/>
    <row r="4846" ht="13.5" customHeight="1" x14ac:dyDescent="0.25"/>
    <row r="4847" ht="12" customHeight="1" x14ac:dyDescent="0.25"/>
    <row r="4848" ht="12" customHeight="1" x14ac:dyDescent="0.25"/>
    <row r="4849" ht="12" customHeight="1" x14ac:dyDescent="0.25"/>
    <row r="4850" ht="12" customHeight="1" x14ac:dyDescent="0.25"/>
    <row r="4851" ht="20.25" customHeight="1" x14ac:dyDescent="0.25"/>
    <row r="4852" ht="13.5" customHeight="1" x14ac:dyDescent="0.25"/>
    <row r="4853" ht="13.5" customHeight="1" x14ac:dyDescent="0.25"/>
    <row r="4854" ht="13.5" customHeight="1" x14ac:dyDescent="0.25"/>
    <row r="4855" ht="13.5" customHeight="1" x14ac:dyDescent="0.25"/>
    <row r="4856" ht="13.5" customHeight="1" x14ac:dyDescent="0.25"/>
    <row r="4857" ht="13.5" customHeight="1" x14ac:dyDescent="0.25"/>
    <row r="4858" ht="13.5" customHeight="1" x14ac:dyDescent="0.25"/>
    <row r="4859" ht="12" customHeight="1" x14ac:dyDescent="0.25"/>
    <row r="4860" ht="12" customHeight="1" x14ac:dyDescent="0.25"/>
    <row r="4861" ht="12" customHeight="1" x14ac:dyDescent="0.25"/>
    <row r="4862" ht="12" customHeight="1" x14ac:dyDescent="0.25"/>
    <row r="4863" ht="20.25" customHeight="1" x14ac:dyDescent="0.25"/>
    <row r="4864" ht="13.5" customHeight="1" x14ac:dyDescent="0.25"/>
    <row r="4866" ht="13.5" customHeight="1" x14ac:dyDescent="0.25"/>
    <row r="4867" ht="13.5" customHeight="1" x14ac:dyDescent="0.25"/>
    <row r="4868" ht="13.5" customHeight="1" x14ac:dyDescent="0.25"/>
    <row r="4869" ht="13.5" customHeight="1" x14ac:dyDescent="0.25"/>
    <row r="4870" ht="12" customHeight="1" x14ac:dyDescent="0.25"/>
    <row r="4871" ht="12" customHeight="1" x14ac:dyDescent="0.25"/>
    <row r="4872" ht="12" customHeight="1" x14ac:dyDescent="0.25"/>
    <row r="4873" ht="12" customHeight="1" x14ac:dyDescent="0.25"/>
    <row r="4874" ht="20.25" customHeight="1" x14ac:dyDescent="0.25"/>
    <row r="4875" ht="13.5" customHeight="1" x14ac:dyDescent="0.25"/>
    <row r="4876" ht="13.5" customHeight="1" x14ac:dyDescent="0.25"/>
    <row r="4877" ht="13.5" customHeight="1" x14ac:dyDescent="0.25"/>
    <row r="4878" ht="13.5" customHeight="1" x14ac:dyDescent="0.25"/>
    <row r="4879" ht="13.5" customHeight="1" x14ac:dyDescent="0.25"/>
    <row r="4880" ht="13.5" customHeight="1" x14ac:dyDescent="0.25"/>
    <row r="4881" ht="13.5" customHeight="1" x14ac:dyDescent="0.25"/>
    <row r="4882" ht="12" customHeight="1" x14ac:dyDescent="0.25"/>
    <row r="4883" ht="12" customHeight="1" x14ac:dyDescent="0.25"/>
    <row r="4884" ht="12" customHeight="1" x14ac:dyDescent="0.25"/>
    <row r="4885" ht="12" customHeight="1" x14ac:dyDescent="0.25"/>
    <row r="4886" ht="20.25" customHeight="1" x14ac:dyDescent="0.25"/>
    <row r="4887" ht="13.5" customHeight="1" x14ac:dyDescent="0.25"/>
    <row r="4889" ht="13.5" customHeight="1" x14ac:dyDescent="0.25"/>
    <row r="4890" ht="13.5" customHeight="1" x14ac:dyDescent="0.25"/>
    <row r="4891" ht="13.5" customHeight="1" x14ac:dyDescent="0.25"/>
    <row r="4892" ht="13.5" customHeight="1" x14ac:dyDescent="0.25"/>
    <row r="4893" ht="12" customHeight="1" x14ac:dyDescent="0.25"/>
    <row r="4894" ht="12" customHeight="1" x14ac:dyDescent="0.25"/>
    <row r="4895" ht="12" customHeight="1" x14ac:dyDescent="0.25"/>
    <row r="4896" ht="12" customHeight="1" x14ac:dyDescent="0.25"/>
    <row r="4897" ht="20.25" customHeight="1" x14ac:dyDescent="0.25"/>
    <row r="4898" ht="13.5" customHeight="1" x14ac:dyDescent="0.25"/>
    <row r="4899" ht="13.5" customHeight="1" x14ac:dyDescent="0.25"/>
    <row r="4900" ht="13.5" customHeight="1" x14ac:dyDescent="0.25"/>
    <row r="4901" ht="13.5" customHeight="1" x14ac:dyDescent="0.25"/>
    <row r="4902" ht="13.5" customHeight="1" x14ac:dyDescent="0.25"/>
    <row r="4903" ht="13.5" customHeight="1" x14ac:dyDescent="0.25"/>
    <row r="4904" ht="13.5" customHeight="1" x14ac:dyDescent="0.25"/>
    <row r="4905" ht="12" customHeight="1" x14ac:dyDescent="0.25"/>
    <row r="4906" ht="12" customHeight="1" x14ac:dyDescent="0.25"/>
    <row r="4907" ht="12" customHeight="1" x14ac:dyDescent="0.25"/>
    <row r="4908" ht="12" customHeight="1" x14ac:dyDescent="0.25"/>
    <row r="4909" ht="20.25" customHeight="1" x14ac:dyDescent="0.25"/>
    <row r="4910" ht="13.5" customHeight="1" x14ac:dyDescent="0.25"/>
    <row r="4912" ht="13.5" customHeight="1" x14ac:dyDescent="0.25"/>
    <row r="4913" ht="13.5" customHeight="1" x14ac:dyDescent="0.25"/>
    <row r="4914" ht="13.5" customHeight="1" x14ac:dyDescent="0.25"/>
    <row r="4915" ht="13.5" customHeight="1" x14ac:dyDescent="0.25"/>
    <row r="4916" ht="12" customHeight="1" x14ac:dyDescent="0.25"/>
    <row r="4917" ht="12" customHeight="1" x14ac:dyDescent="0.25"/>
    <row r="4918" ht="12" customHeight="1" x14ac:dyDescent="0.25"/>
    <row r="4919" ht="12" customHeight="1" x14ac:dyDescent="0.25"/>
    <row r="4920" ht="20.25" customHeight="1" x14ac:dyDescent="0.25"/>
    <row r="4921" ht="13.5" customHeight="1" x14ac:dyDescent="0.25"/>
    <row r="4922" ht="13.5" customHeight="1" x14ac:dyDescent="0.25"/>
    <row r="4923" ht="13.5" customHeight="1" x14ac:dyDescent="0.25"/>
    <row r="4924" ht="13.5" customHeight="1" x14ac:dyDescent="0.25"/>
    <row r="4925" ht="13.5" customHeight="1" x14ac:dyDescent="0.25"/>
    <row r="4926" ht="13.5" customHeight="1" x14ac:dyDescent="0.25"/>
    <row r="4927" ht="13.5" customHeight="1" x14ac:dyDescent="0.25"/>
    <row r="4928" ht="12" customHeight="1" x14ac:dyDescent="0.25"/>
    <row r="4929" ht="12" customHeight="1" x14ac:dyDescent="0.25"/>
    <row r="4930" ht="12" customHeight="1" x14ac:dyDescent="0.25"/>
    <row r="4931" ht="12" customHeight="1" x14ac:dyDescent="0.25"/>
    <row r="4932" ht="20.25" customHeight="1" x14ac:dyDescent="0.25"/>
    <row r="4933" ht="13.5" customHeight="1" x14ac:dyDescent="0.25"/>
    <row r="4935" ht="13.5" customHeight="1" x14ac:dyDescent="0.25"/>
    <row r="4936" ht="13.5" customHeight="1" x14ac:dyDescent="0.25"/>
    <row r="4937" ht="13.5" customHeight="1" x14ac:dyDescent="0.25"/>
    <row r="4938" ht="13.5" customHeight="1" x14ac:dyDescent="0.25"/>
    <row r="4939" ht="12" customHeight="1" x14ac:dyDescent="0.25"/>
    <row r="4940" ht="12" customHeight="1" x14ac:dyDescent="0.25"/>
    <row r="4941" ht="12" customHeight="1" x14ac:dyDescent="0.25"/>
    <row r="4942" ht="12" customHeight="1" x14ac:dyDescent="0.25"/>
    <row r="4943" ht="20.25" customHeight="1" x14ac:dyDescent="0.25"/>
    <row r="4944" ht="13.5" customHeight="1" x14ac:dyDescent="0.25"/>
    <row r="4945" ht="13.5" customHeight="1" x14ac:dyDescent="0.25"/>
    <row r="4946" ht="13.5" customHeight="1" x14ac:dyDescent="0.25"/>
    <row r="4947" ht="13.5" customHeight="1" x14ac:dyDescent="0.25"/>
    <row r="4948" ht="13.5" customHeight="1" x14ac:dyDescent="0.25"/>
    <row r="4949" ht="13.5" customHeight="1" x14ac:dyDescent="0.25"/>
    <row r="4950" ht="13.5" customHeight="1" x14ac:dyDescent="0.25"/>
    <row r="4951" ht="12" customHeight="1" x14ac:dyDescent="0.25"/>
    <row r="4952" ht="12" customHeight="1" x14ac:dyDescent="0.25"/>
    <row r="4953" ht="12" customHeight="1" x14ac:dyDescent="0.25"/>
    <row r="4954" ht="12" customHeight="1" x14ac:dyDescent="0.25"/>
    <row r="4955" ht="20.25" customHeight="1" x14ac:dyDescent="0.25"/>
    <row r="4956" ht="13.5" customHeight="1" x14ac:dyDescent="0.25"/>
    <row r="4958" ht="13.5" customHeight="1" x14ac:dyDescent="0.25"/>
    <row r="4959" ht="13.5" customHeight="1" x14ac:dyDescent="0.25"/>
    <row r="4960" ht="13.5" customHeight="1" x14ac:dyDescent="0.25"/>
    <row r="4961" ht="13.5" customHeight="1" x14ac:dyDescent="0.25"/>
    <row r="4962" ht="12" customHeight="1" x14ac:dyDescent="0.25"/>
    <row r="4963" ht="12" customHeight="1" x14ac:dyDescent="0.25"/>
    <row r="4964" ht="12" customHeight="1" x14ac:dyDescent="0.25"/>
    <row r="4965" ht="12" customHeight="1" x14ac:dyDescent="0.25"/>
    <row r="4966" ht="20.25" customHeight="1" x14ac:dyDescent="0.25"/>
    <row r="4967" ht="13.5" customHeight="1" x14ac:dyDescent="0.25"/>
    <row r="4968" ht="13.5" customHeight="1" x14ac:dyDescent="0.25"/>
    <row r="4969" ht="13.5" customHeight="1" x14ac:dyDescent="0.25"/>
    <row r="4970" ht="13.5" customHeight="1" x14ac:dyDescent="0.25"/>
    <row r="4971" ht="13.5" customHeight="1" x14ac:dyDescent="0.25"/>
    <row r="4972" ht="13.5" customHeight="1" x14ac:dyDescent="0.25"/>
    <row r="4973" ht="13.5" customHeight="1" x14ac:dyDescent="0.25"/>
    <row r="4974" ht="12" customHeight="1" x14ac:dyDescent="0.25"/>
    <row r="4975" ht="12" customHeight="1" x14ac:dyDescent="0.25"/>
    <row r="4976" ht="12" customHeight="1" x14ac:dyDescent="0.25"/>
    <row r="4977" ht="12" customHeight="1" x14ac:dyDescent="0.25"/>
    <row r="4978" ht="20.25" customHeight="1" x14ac:dyDescent="0.25"/>
    <row r="4979" ht="13.5" customHeight="1" x14ac:dyDescent="0.25"/>
    <row r="4981" ht="13.5" customHeight="1" x14ac:dyDescent="0.25"/>
    <row r="4982" ht="13.5" customHeight="1" x14ac:dyDescent="0.25"/>
    <row r="4983" ht="13.5" customHeight="1" x14ac:dyDescent="0.25"/>
    <row r="4984" ht="13.5" customHeight="1" x14ac:dyDescent="0.25"/>
    <row r="4985" ht="12" customHeight="1" x14ac:dyDescent="0.25"/>
    <row r="4986" ht="12" customHeight="1" x14ac:dyDescent="0.25"/>
    <row r="4987" ht="12" customHeight="1" x14ac:dyDescent="0.25"/>
    <row r="4988" ht="12" customHeight="1" x14ac:dyDescent="0.25"/>
    <row r="4989" ht="20.25" customHeight="1" x14ac:dyDescent="0.25"/>
    <row r="4990" ht="13.5" customHeight="1" x14ac:dyDescent="0.25"/>
    <row r="4991" ht="13.5" customHeight="1" x14ac:dyDescent="0.25"/>
    <row r="4992" ht="13.5" customHeight="1" x14ac:dyDescent="0.25"/>
    <row r="4993" ht="13.5" customHeight="1" x14ac:dyDescent="0.25"/>
    <row r="4994" ht="13.5" customHeight="1" x14ac:dyDescent="0.25"/>
    <row r="4995" ht="13.5" customHeight="1" x14ac:dyDescent="0.25"/>
    <row r="4996" ht="13.5" customHeight="1" x14ac:dyDescent="0.25"/>
    <row r="4997" ht="12" customHeight="1" x14ac:dyDescent="0.25"/>
    <row r="4998" ht="12" customHeight="1" x14ac:dyDescent="0.25"/>
    <row r="4999" ht="12" customHeight="1" x14ac:dyDescent="0.25"/>
    <row r="5000" ht="12" customHeight="1" x14ac:dyDescent="0.25"/>
    <row r="5001" ht="20.25" customHeight="1" x14ac:dyDescent="0.25"/>
    <row r="5002" ht="13.5" customHeight="1" x14ac:dyDescent="0.25"/>
    <row r="5004" ht="13.5" customHeight="1" x14ac:dyDescent="0.25"/>
    <row r="5005" ht="13.5" customHeight="1" x14ac:dyDescent="0.25"/>
    <row r="5006" ht="13.5" customHeight="1" x14ac:dyDescent="0.25"/>
    <row r="5007" ht="13.5" customHeight="1" x14ac:dyDescent="0.25"/>
    <row r="5008" ht="12" customHeight="1" x14ac:dyDescent="0.25"/>
    <row r="5009" ht="12" customHeight="1" x14ac:dyDescent="0.25"/>
    <row r="5010" ht="12" customHeight="1" x14ac:dyDescent="0.25"/>
    <row r="5011" ht="12" customHeight="1" x14ac:dyDescent="0.25"/>
    <row r="5012" ht="20.25" customHeight="1" x14ac:dyDescent="0.25"/>
    <row r="5013" ht="13.5" customHeight="1" x14ac:dyDescent="0.25"/>
    <row r="5014" ht="13.5" customHeight="1" x14ac:dyDescent="0.25"/>
    <row r="5015" ht="13.5" customHeight="1" x14ac:dyDescent="0.25"/>
    <row r="5016" ht="13.5" customHeight="1" x14ac:dyDescent="0.25"/>
    <row r="5017" ht="13.5" customHeight="1" x14ac:dyDescent="0.25"/>
    <row r="5018" ht="13.5" customHeight="1" x14ac:dyDescent="0.25"/>
    <row r="5019" ht="13.5" customHeight="1" x14ac:dyDescent="0.25"/>
    <row r="5020" ht="12" customHeight="1" x14ac:dyDescent="0.25"/>
    <row r="5021" ht="12" customHeight="1" x14ac:dyDescent="0.25"/>
    <row r="5022" ht="12" customHeight="1" x14ac:dyDescent="0.25"/>
    <row r="5023" ht="12" customHeight="1" x14ac:dyDescent="0.25"/>
    <row r="5024" ht="20.25" customHeight="1" x14ac:dyDescent="0.25"/>
    <row r="5025" ht="13.5" customHeight="1" x14ac:dyDescent="0.25"/>
    <row r="5027" ht="13.5" customHeight="1" x14ac:dyDescent="0.25"/>
    <row r="5028" ht="13.5" customHeight="1" x14ac:dyDescent="0.25"/>
    <row r="5029" ht="13.5" customHeight="1" x14ac:dyDescent="0.25"/>
    <row r="5030" ht="13.5" customHeight="1" x14ac:dyDescent="0.25"/>
    <row r="5031" ht="12" customHeight="1" x14ac:dyDescent="0.25"/>
    <row r="5032" ht="12" customHeight="1" x14ac:dyDescent="0.25"/>
    <row r="5033" ht="12" customHeight="1" x14ac:dyDescent="0.25"/>
    <row r="5034" ht="12" customHeight="1" x14ac:dyDescent="0.25"/>
    <row r="5035" ht="20.25" customHeight="1" x14ac:dyDescent="0.25"/>
    <row r="5036" ht="13.5" customHeight="1" x14ac:dyDescent="0.25"/>
    <row r="5037" ht="13.5" customHeight="1" x14ac:dyDescent="0.25"/>
    <row r="5038" ht="13.5" customHeight="1" x14ac:dyDescent="0.25"/>
    <row r="5039" ht="13.5" customHeight="1" x14ac:dyDescent="0.25"/>
    <row r="5040" ht="13.5" customHeight="1" x14ac:dyDescent="0.25"/>
    <row r="5041" ht="13.5" customHeight="1" x14ac:dyDescent="0.25"/>
    <row r="5042" ht="13.5" customHeight="1" x14ac:dyDescent="0.25"/>
    <row r="5043" ht="12" customHeight="1" x14ac:dyDescent="0.25"/>
    <row r="5044" ht="12" customHeight="1" x14ac:dyDescent="0.25"/>
    <row r="5045" ht="12" customHeight="1" x14ac:dyDescent="0.25"/>
    <row r="5046" ht="12" customHeight="1" x14ac:dyDescent="0.25"/>
    <row r="5047" ht="20.25" customHeight="1" x14ac:dyDescent="0.25"/>
    <row r="5048" ht="13.5" customHeight="1" x14ac:dyDescent="0.25"/>
    <row r="5050" ht="13.5" customHeight="1" x14ac:dyDescent="0.25"/>
    <row r="5051" ht="13.5" customHeight="1" x14ac:dyDescent="0.25"/>
    <row r="5052" ht="13.5" customHeight="1" x14ac:dyDescent="0.25"/>
    <row r="5053" ht="13.5" customHeight="1" x14ac:dyDescent="0.25"/>
    <row r="5054" ht="12" customHeight="1" x14ac:dyDescent="0.25"/>
    <row r="5055" ht="12" customHeight="1" x14ac:dyDescent="0.25"/>
    <row r="5056" ht="12" customHeight="1" x14ac:dyDescent="0.25"/>
    <row r="5057" ht="12" customHeight="1" x14ac:dyDescent="0.25"/>
    <row r="5058" ht="20.25" customHeight="1" x14ac:dyDescent="0.25"/>
    <row r="5059" ht="13.5" customHeight="1" x14ac:dyDescent="0.25"/>
    <row r="5060" ht="13.5" customHeight="1" x14ac:dyDescent="0.25"/>
    <row r="5061" ht="13.5" customHeight="1" x14ac:dyDescent="0.25"/>
    <row r="5062" ht="13.5" customHeight="1" x14ac:dyDescent="0.25"/>
    <row r="5063" ht="13.5" customHeight="1" x14ac:dyDescent="0.25"/>
    <row r="5064" ht="13.5" customHeight="1" x14ac:dyDescent="0.25"/>
    <row r="5065" ht="13.5" customHeight="1" x14ac:dyDescent="0.25"/>
    <row r="5066" ht="12" customHeight="1" x14ac:dyDescent="0.25"/>
    <row r="5067" ht="12" customHeight="1" x14ac:dyDescent="0.25"/>
    <row r="5068" ht="12" customHeight="1" x14ac:dyDescent="0.25"/>
    <row r="5069" ht="12" customHeight="1" x14ac:dyDescent="0.25"/>
    <row r="5070" ht="20.25" customHeight="1" x14ac:dyDescent="0.25"/>
    <row r="5071" ht="13.5" customHeight="1" x14ac:dyDescent="0.25"/>
    <row r="5073" ht="13.5" customHeight="1" x14ac:dyDescent="0.25"/>
    <row r="5074" ht="13.5" customHeight="1" x14ac:dyDescent="0.25"/>
    <row r="5075" ht="13.5" customHeight="1" x14ac:dyDescent="0.25"/>
    <row r="5076" ht="13.5" customHeight="1" x14ac:dyDescent="0.25"/>
    <row r="5077" ht="12" customHeight="1" x14ac:dyDescent="0.25"/>
    <row r="5078" ht="12" customHeight="1" x14ac:dyDescent="0.25"/>
    <row r="5079" ht="12" customHeight="1" x14ac:dyDescent="0.25"/>
    <row r="5080" ht="12" customHeight="1" x14ac:dyDescent="0.25"/>
    <row r="5081" ht="20.25" customHeight="1" x14ac:dyDescent="0.25"/>
    <row r="5082" ht="13.5" customHeight="1" x14ac:dyDescent="0.25"/>
    <row r="5083" ht="13.5" customHeight="1" x14ac:dyDescent="0.25"/>
    <row r="5084" ht="13.5" customHeight="1" x14ac:dyDescent="0.25"/>
    <row r="5085" ht="13.5" customHeight="1" x14ac:dyDescent="0.25"/>
    <row r="5086" ht="13.5" customHeight="1" x14ac:dyDescent="0.25"/>
    <row r="5087" ht="13.5" customHeight="1" x14ac:dyDescent="0.25"/>
    <row r="5088" ht="13.5" customHeight="1" x14ac:dyDescent="0.25"/>
    <row r="5089" ht="12" customHeight="1" x14ac:dyDescent="0.25"/>
    <row r="5090" ht="12" customHeight="1" x14ac:dyDescent="0.25"/>
    <row r="5091" ht="12" customHeight="1" x14ac:dyDescent="0.25"/>
    <row r="5092" ht="12" customHeight="1" x14ac:dyDescent="0.25"/>
    <row r="5093" ht="20.25" customHeight="1" x14ac:dyDescent="0.25"/>
    <row r="5094" ht="13.5" customHeight="1" x14ac:dyDescent="0.25"/>
    <row r="5096" ht="13.5" customHeight="1" x14ac:dyDescent="0.25"/>
    <row r="5097" ht="13.5" customHeight="1" x14ac:dyDescent="0.25"/>
    <row r="5098" ht="13.5" customHeight="1" x14ac:dyDescent="0.25"/>
    <row r="5099" ht="13.5" customHeight="1" x14ac:dyDescent="0.25"/>
    <row r="5100" ht="12" customHeight="1" x14ac:dyDescent="0.25"/>
    <row r="5101" ht="12" customHeight="1" x14ac:dyDescent="0.25"/>
    <row r="5102" ht="12" customHeight="1" x14ac:dyDescent="0.25"/>
    <row r="5103" ht="12" customHeight="1" x14ac:dyDescent="0.25"/>
    <row r="5104" ht="20.25" customHeight="1" x14ac:dyDescent="0.25"/>
    <row r="5105" ht="13.5" customHeight="1" x14ac:dyDescent="0.25"/>
    <row r="5106" ht="13.5" customHeight="1" x14ac:dyDescent="0.25"/>
    <row r="5107" ht="13.5" customHeight="1" x14ac:dyDescent="0.25"/>
    <row r="5108" ht="13.5" customHeight="1" x14ac:dyDescent="0.25"/>
    <row r="5109" ht="13.5" customHeight="1" x14ac:dyDescent="0.25"/>
    <row r="5110" ht="13.5" customHeight="1" x14ac:dyDescent="0.25"/>
    <row r="5111" ht="13.5" customHeight="1" x14ac:dyDescent="0.25"/>
    <row r="5112" ht="12" customHeight="1" x14ac:dyDescent="0.25"/>
    <row r="5113" ht="12" customHeight="1" x14ac:dyDescent="0.25"/>
    <row r="5114" ht="12" customHeight="1" x14ac:dyDescent="0.25"/>
    <row r="5115" ht="12" customHeight="1" x14ac:dyDescent="0.25"/>
    <row r="5116" ht="20.25" customHeight="1" x14ac:dyDescent="0.25"/>
    <row r="5117" ht="13.5" customHeight="1" x14ac:dyDescent="0.25"/>
    <row r="5119" ht="13.5" customHeight="1" x14ac:dyDescent="0.25"/>
    <row r="5120" ht="13.5" customHeight="1" x14ac:dyDescent="0.25"/>
    <row r="5121" ht="13.5" customHeight="1" x14ac:dyDescent="0.25"/>
    <row r="5122" ht="13.5" customHeight="1" x14ac:dyDescent="0.25"/>
    <row r="5123" ht="12" customHeight="1" x14ac:dyDescent="0.25"/>
    <row r="5124" ht="12" customHeight="1" x14ac:dyDescent="0.25"/>
    <row r="5125" ht="12" customHeight="1" x14ac:dyDescent="0.25"/>
    <row r="5126" ht="12" customHeight="1" x14ac:dyDescent="0.25"/>
    <row r="5127" ht="20.25" customHeight="1" x14ac:dyDescent="0.25"/>
    <row r="5128" ht="13.5" customHeight="1" x14ac:dyDescent="0.25"/>
    <row r="5129" ht="13.5" customHeight="1" x14ac:dyDescent="0.25"/>
    <row r="5130" ht="13.5" customHeight="1" x14ac:dyDescent="0.25"/>
    <row r="5131" ht="13.5" customHeight="1" x14ac:dyDescent="0.25"/>
    <row r="5132" ht="13.5" customHeight="1" x14ac:dyDescent="0.25"/>
    <row r="5133" ht="13.5" customHeight="1" x14ac:dyDescent="0.25"/>
    <row r="5134" ht="13.5" customHeight="1" x14ac:dyDescent="0.25"/>
    <row r="5135" ht="12" customHeight="1" x14ac:dyDescent="0.25"/>
    <row r="5136" ht="12" customHeight="1" x14ac:dyDescent="0.25"/>
    <row r="5137" ht="12" customHeight="1" x14ac:dyDescent="0.25"/>
    <row r="5138" ht="12" customHeight="1" x14ac:dyDescent="0.25"/>
    <row r="5139" ht="20.25" customHeight="1" x14ac:dyDescent="0.25"/>
    <row r="5140" ht="13.5" customHeight="1" x14ac:dyDescent="0.25"/>
    <row r="5142" ht="13.5" customHeight="1" x14ac:dyDescent="0.25"/>
    <row r="5143" ht="13.5" customHeight="1" x14ac:dyDescent="0.25"/>
    <row r="5144" ht="13.5" customHeight="1" x14ac:dyDescent="0.25"/>
    <row r="5145" ht="13.5" customHeight="1" x14ac:dyDescent="0.25"/>
    <row r="5146" ht="12" customHeight="1" x14ac:dyDescent="0.25"/>
    <row r="5147" ht="12" customHeight="1" x14ac:dyDescent="0.25"/>
    <row r="5148" ht="12" customHeight="1" x14ac:dyDescent="0.25"/>
    <row r="5149" ht="12" customHeight="1" x14ac:dyDescent="0.25"/>
    <row r="5150" ht="20.25" customHeight="1" x14ac:dyDescent="0.25"/>
    <row r="5151" ht="13.5" customHeight="1" x14ac:dyDescent="0.25"/>
    <row r="5152" ht="13.5" customHeight="1" x14ac:dyDescent="0.25"/>
    <row r="5153" ht="13.5" customHeight="1" x14ac:dyDescent="0.25"/>
    <row r="5154" ht="13.5" customHeight="1" x14ac:dyDescent="0.25"/>
    <row r="5155" ht="13.5" customHeight="1" x14ac:dyDescent="0.25"/>
    <row r="5156" ht="13.5" customHeight="1" x14ac:dyDescent="0.25"/>
    <row r="5157" ht="13.5" customHeight="1" x14ac:dyDescent="0.25"/>
    <row r="5158" ht="12" customHeight="1" x14ac:dyDescent="0.25"/>
    <row r="5159" ht="12" customHeight="1" x14ac:dyDescent="0.25"/>
    <row r="5160" ht="12" customHeight="1" x14ac:dyDescent="0.25"/>
    <row r="5161" ht="12" customHeight="1" x14ac:dyDescent="0.25"/>
    <row r="5162" ht="20.25" customHeight="1" x14ac:dyDescent="0.25"/>
    <row r="5163" ht="13.5" customHeight="1" x14ac:dyDescent="0.25"/>
    <row r="5165" ht="13.5" customHeight="1" x14ac:dyDescent="0.25"/>
    <row r="5166" ht="13.5" customHeight="1" x14ac:dyDescent="0.25"/>
    <row r="5167" ht="13.5" customHeight="1" x14ac:dyDescent="0.25"/>
    <row r="5168" ht="13.5" customHeight="1" x14ac:dyDescent="0.25"/>
    <row r="5169" ht="12" customHeight="1" x14ac:dyDescent="0.25"/>
    <row r="5170" ht="12" customHeight="1" x14ac:dyDescent="0.25"/>
    <row r="5171" ht="12" customHeight="1" x14ac:dyDescent="0.25"/>
    <row r="5172" ht="12" customHeight="1" x14ac:dyDescent="0.25"/>
    <row r="5173" ht="20.25" customHeight="1" x14ac:dyDescent="0.25"/>
    <row r="5174" ht="13.5" customHeight="1" x14ac:dyDescent="0.25"/>
    <row r="5175" ht="13.5" customHeight="1" x14ac:dyDescent="0.25"/>
    <row r="5176" ht="13.5" customHeight="1" x14ac:dyDescent="0.25"/>
    <row r="5177" ht="13.5" customHeight="1" x14ac:dyDescent="0.25"/>
    <row r="5178" ht="13.5" customHeight="1" x14ac:dyDescent="0.25"/>
    <row r="5179" ht="13.5" customHeight="1" x14ac:dyDescent="0.25"/>
    <row r="5180" ht="13.5" customHeight="1" x14ac:dyDescent="0.25"/>
    <row r="5181" ht="12" customHeight="1" x14ac:dyDescent="0.25"/>
    <row r="5182" ht="12" customHeight="1" x14ac:dyDescent="0.25"/>
    <row r="5183" ht="12" customHeight="1" x14ac:dyDescent="0.25"/>
    <row r="5184" ht="12" customHeight="1" x14ac:dyDescent="0.25"/>
    <row r="5185" ht="20.25" customHeight="1" x14ac:dyDescent="0.25"/>
    <row r="5186" ht="13.5" customHeight="1" x14ac:dyDescent="0.25"/>
    <row r="5188" ht="13.5" customHeight="1" x14ac:dyDescent="0.25"/>
    <row r="5189" ht="13.5" customHeight="1" x14ac:dyDescent="0.25"/>
    <row r="5190" ht="13.5" customHeight="1" x14ac:dyDescent="0.25"/>
    <row r="5191" ht="13.5" customHeight="1" x14ac:dyDescent="0.25"/>
    <row r="5192" ht="12" customHeight="1" x14ac:dyDescent="0.25"/>
    <row r="5193" ht="12" customHeight="1" x14ac:dyDescent="0.25"/>
    <row r="5194" ht="12" customHeight="1" x14ac:dyDescent="0.25"/>
    <row r="5195" ht="12" customHeight="1" x14ac:dyDescent="0.25"/>
    <row r="5196" ht="20.25" customHeight="1" x14ac:dyDescent="0.25"/>
    <row r="5197" ht="13.5" customHeight="1" x14ac:dyDescent="0.25"/>
    <row r="5198" ht="13.5" customHeight="1" x14ac:dyDescent="0.25"/>
    <row r="5199" ht="13.5" customHeight="1" x14ac:dyDescent="0.25"/>
    <row r="5200" ht="13.5" customHeight="1" x14ac:dyDescent="0.25"/>
    <row r="5201" ht="13.5" customHeight="1" x14ac:dyDescent="0.25"/>
    <row r="5202" ht="13.5" customHeight="1" x14ac:dyDescent="0.25"/>
    <row r="5203" ht="13.5" customHeight="1" x14ac:dyDescent="0.25"/>
    <row r="5204" ht="12" customHeight="1" x14ac:dyDescent="0.25"/>
    <row r="5205" ht="12" customHeight="1" x14ac:dyDescent="0.25"/>
    <row r="5206" ht="12" customHeight="1" x14ac:dyDescent="0.25"/>
    <row r="5207" ht="12" customHeight="1" x14ac:dyDescent="0.25"/>
    <row r="5208" ht="20.25" customHeight="1" x14ac:dyDescent="0.25"/>
    <row r="5209" ht="13.5" customHeight="1" x14ac:dyDescent="0.25"/>
    <row r="5211" ht="13.5" customHeight="1" x14ac:dyDescent="0.25"/>
    <row r="5212" ht="13.5" customHeight="1" x14ac:dyDescent="0.25"/>
    <row r="5213" ht="13.5" customHeight="1" x14ac:dyDescent="0.25"/>
    <row r="5214" ht="13.5" customHeight="1" x14ac:dyDescent="0.25"/>
    <row r="5215" ht="12" customHeight="1" x14ac:dyDescent="0.25"/>
    <row r="5216" ht="12" customHeight="1" x14ac:dyDescent="0.25"/>
    <row r="5217" ht="12" customHeight="1" x14ac:dyDescent="0.25"/>
    <row r="5218" ht="12" customHeight="1" x14ac:dyDescent="0.25"/>
    <row r="5219" ht="20.25" customHeight="1" x14ac:dyDescent="0.25"/>
    <row r="5220" ht="13.5" customHeight="1" x14ac:dyDescent="0.25"/>
    <row r="5221" ht="13.5" customHeight="1" x14ac:dyDescent="0.25"/>
    <row r="5222" ht="13.5" customHeight="1" x14ac:dyDescent="0.25"/>
    <row r="5223" ht="13.5" customHeight="1" x14ac:dyDescent="0.25"/>
    <row r="5224" ht="13.5" customHeight="1" x14ac:dyDescent="0.25"/>
    <row r="5225" ht="13.5" customHeight="1" x14ac:dyDescent="0.25"/>
    <row r="5226" ht="13.5" customHeight="1" x14ac:dyDescent="0.25"/>
    <row r="5227" ht="12" customHeight="1" x14ac:dyDescent="0.25"/>
    <row r="5228" ht="12" customHeight="1" x14ac:dyDescent="0.25"/>
    <row r="5229" ht="12" customHeight="1" x14ac:dyDescent="0.25"/>
    <row r="5230" ht="12" customHeight="1" x14ac:dyDescent="0.25"/>
    <row r="5231" ht="20.25" customHeight="1" x14ac:dyDescent="0.25"/>
    <row r="5232" ht="13.5" customHeight="1" x14ac:dyDescent="0.25"/>
    <row r="5234" ht="13.5" customHeight="1" x14ac:dyDescent="0.25"/>
    <row r="5235" ht="13.5" customHeight="1" x14ac:dyDescent="0.25"/>
    <row r="5236" ht="13.5" customHeight="1" x14ac:dyDescent="0.25"/>
    <row r="5237" ht="13.5" customHeight="1" x14ac:dyDescent="0.25"/>
    <row r="5238" ht="12" customHeight="1" x14ac:dyDescent="0.25"/>
    <row r="5239" ht="12" customHeight="1" x14ac:dyDescent="0.25"/>
    <row r="5240" ht="12" customHeight="1" x14ac:dyDescent="0.25"/>
    <row r="5241" ht="12" customHeight="1" x14ac:dyDescent="0.25"/>
    <row r="5242" ht="20.25" customHeight="1" x14ac:dyDescent="0.25"/>
    <row r="5243" ht="13.5" customHeight="1" x14ac:dyDescent="0.25"/>
    <row r="5244" ht="13.5" customHeight="1" x14ac:dyDescent="0.25"/>
    <row r="5245" ht="13.5" customHeight="1" x14ac:dyDescent="0.25"/>
    <row r="5246" ht="13.5" customHeight="1" x14ac:dyDescent="0.25"/>
    <row r="5247" ht="13.5" customHeight="1" x14ac:dyDescent="0.25"/>
    <row r="5248" ht="13.5" customHeight="1" x14ac:dyDescent="0.25"/>
    <row r="5249" ht="13.5" customHeight="1" x14ac:dyDescent="0.25"/>
    <row r="5250" ht="12" customHeight="1" x14ac:dyDescent="0.25"/>
    <row r="5251" ht="12" customHeight="1" x14ac:dyDescent="0.25"/>
    <row r="5252" ht="12" customHeight="1" x14ac:dyDescent="0.25"/>
    <row r="5253" ht="12" customHeight="1" x14ac:dyDescent="0.25"/>
    <row r="5254" ht="20.25" customHeight="1" x14ac:dyDescent="0.25"/>
    <row r="5255" ht="13.5" customHeight="1" x14ac:dyDescent="0.25"/>
    <row r="5257" ht="13.5" customHeight="1" x14ac:dyDescent="0.25"/>
    <row r="5258" ht="13.5" customHeight="1" x14ac:dyDescent="0.25"/>
    <row r="5259" ht="13.5" customHeight="1" x14ac:dyDescent="0.25"/>
    <row r="5260" ht="13.5" customHeight="1" x14ac:dyDescent="0.25"/>
    <row r="5261" ht="12" customHeight="1" x14ac:dyDescent="0.25"/>
    <row r="5262" ht="12" customHeight="1" x14ac:dyDescent="0.25"/>
    <row r="5263" ht="12" customHeight="1" x14ac:dyDescent="0.25"/>
    <row r="5264" ht="12" customHeight="1" x14ac:dyDescent="0.25"/>
    <row r="5265" ht="20.25" customHeight="1" x14ac:dyDescent="0.25"/>
    <row r="5266" ht="13.5" customHeight="1" x14ac:dyDescent="0.25"/>
    <row r="5267" ht="13.5" customHeight="1" x14ac:dyDescent="0.25"/>
    <row r="5268" ht="13.5" customHeight="1" x14ac:dyDescent="0.25"/>
    <row r="5269" ht="13.5" customHeight="1" x14ac:dyDescent="0.25"/>
    <row r="5270" ht="13.5" customHeight="1" x14ac:dyDescent="0.25"/>
    <row r="5271" ht="13.5" customHeight="1" x14ac:dyDescent="0.25"/>
    <row r="5272" ht="13.5" customHeight="1" x14ac:dyDescent="0.25"/>
    <row r="5273" ht="12" customHeight="1" x14ac:dyDescent="0.25"/>
    <row r="5274" ht="12" customHeight="1" x14ac:dyDescent="0.25"/>
    <row r="5275" ht="12" customHeight="1" x14ac:dyDescent="0.25"/>
    <row r="5276" ht="12" customHeight="1" x14ac:dyDescent="0.25"/>
    <row r="5277" ht="20.25" customHeight="1" x14ac:dyDescent="0.25"/>
    <row r="5278" ht="13.5" customHeight="1" x14ac:dyDescent="0.25"/>
    <row r="5280" ht="13.5" customHeight="1" x14ac:dyDescent="0.25"/>
    <row r="5281" ht="13.5" customHeight="1" x14ac:dyDescent="0.25"/>
    <row r="5282" ht="13.5" customHeight="1" x14ac:dyDescent="0.25"/>
    <row r="5283" ht="13.5" customHeight="1" x14ac:dyDescent="0.25"/>
    <row r="5284" ht="12" customHeight="1" x14ac:dyDescent="0.25"/>
    <row r="5285" ht="12" customHeight="1" x14ac:dyDescent="0.25"/>
    <row r="5286" ht="12" customHeight="1" x14ac:dyDescent="0.25"/>
    <row r="5287" ht="12" customHeight="1" x14ac:dyDescent="0.25"/>
    <row r="5288" ht="20.25" customHeight="1" x14ac:dyDescent="0.25"/>
    <row r="5289" ht="13.5" customHeight="1" x14ac:dyDescent="0.25"/>
    <row r="5290" ht="13.5" customHeight="1" x14ac:dyDescent="0.25"/>
    <row r="5291" ht="13.5" customHeight="1" x14ac:dyDescent="0.25"/>
    <row r="5292" ht="13.5" customHeight="1" x14ac:dyDescent="0.25"/>
    <row r="5293" ht="13.5" customHeight="1" x14ac:dyDescent="0.25"/>
    <row r="5294" ht="13.5" customHeight="1" x14ac:dyDescent="0.25"/>
    <row r="5295" ht="13.5" customHeight="1" x14ac:dyDescent="0.25"/>
    <row r="5296" ht="12" customHeight="1" x14ac:dyDescent="0.25"/>
    <row r="5297" ht="12" customHeight="1" x14ac:dyDescent="0.25"/>
    <row r="5298" ht="12" customHeight="1" x14ac:dyDescent="0.25"/>
    <row r="5299" ht="12" customHeight="1" x14ac:dyDescent="0.25"/>
    <row r="5300" ht="20.25" customHeight="1" x14ac:dyDescent="0.25"/>
    <row r="5301" ht="13.5" customHeight="1" x14ac:dyDescent="0.25"/>
    <row r="5303" ht="13.5" customHeight="1" x14ac:dyDescent="0.25"/>
    <row r="5304" ht="13.5" customHeight="1" x14ac:dyDescent="0.25"/>
    <row r="5305" ht="13.5" customHeight="1" x14ac:dyDescent="0.25"/>
    <row r="5306" ht="13.5" customHeight="1" x14ac:dyDescent="0.25"/>
    <row r="5307" ht="12" customHeight="1" x14ac:dyDescent="0.25"/>
    <row r="5308" ht="12" customHeight="1" x14ac:dyDescent="0.25"/>
    <row r="5309" ht="12" customHeight="1" x14ac:dyDescent="0.25"/>
    <row r="5310" ht="12" customHeight="1" x14ac:dyDescent="0.25"/>
    <row r="5311" ht="20.25" customHeight="1" x14ac:dyDescent="0.25"/>
    <row r="5312" ht="13.5" customHeight="1" x14ac:dyDescent="0.25"/>
    <row r="5313" ht="13.5" customHeight="1" x14ac:dyDescent="0.25"/>
    <row r="5314" ht="13.5" customHeight="1" x14ac:dyDescent="0.25"/>
    <row r="5315" ht="13.5" customHeight="1" x14ac:dyDescent="0.25"/>
    <row r="5316" ht="13.5" customHeight="1" x14ac:dyDescent="0.25"/>
    <row r="5317" ht="13.5" customHeight="1" x14ac:dyDescent="0.25"/>
    <row r="5318" ht="13.5" customHeight="1" x14ac:dyDescent="0.25"/>
    <row r="5319" ht="12" customHeight="1" x14ac:dyDescent="0.25"/>
    <row r="5320" ht="12" customHeight="1" x14ac:dyDescent="0.25"/>
    <row r="5321" ht="12" customHeight="1" x14ac:dyDescent="0.25"/>
    <row r="5322" ht="12" customHeight="1" x14ac:dyDescent="0.25"/>
    <row r="5323" ht="20.25" customHeight="1" x14ac:dyDescent="0.25"/>
    <row r="5324" ht="13.5" customHeight="1" x14ac:dyDescent="0.25"/>
    <row r="5326" ht="13.5" customHeight="1" x14ac:dyDescent="0.25"/>
    <row r="5327" ht="13.5" customHeight="1" x14ac:dyDescent="0.25"/>
    <row r="5328" ht="13.5" customHeight="1" x14ac:dyDescent="0.25"/>
    <row r="5329" ht="13.5" customHeight="1" x14ac:dyDescent="0.25"/>
    <row r="5330" ht="12" customHeight="1" x14ac:dyDescent="0.25"/>
    <row r="5331" ht="12" customHeight="1" x14ac:dyDescent="0.25"/>
    <row r="5332" ht="12" customHeight="1" x14ac:dyDescent="0.25"/>
    <row r="5333" ht="12" customHeight="1" x14ac:dyDescent="0.25"/>
    <row r="5334" ht="20.25" customHeight="1" x14ac:dyDescent="0.25"/>
    <row r="5335" ht="13.5" customHeight="1" x14ac:dyDescent="0.25"/>
    <row r="5336" ht="13.5" customHeight="1" x14ac:dyDescent="0.25"/>
    <row r="5337" ht="13.5" customHeight="1" x14ac:dyDescent="0.25"/>
    <row r="5338" ht="13.5" customHeight="1" x14ac:dyDescent="0.25"/>
    <row r="5339" ht="13.5" customHeight="1" x14ac:dyDescent="0.25"/>
    <row r="5340" ht="13.5" customHeight="1" x14ac:dyDescent="0.25"/>
    <row r="5341" ht="13.5" customHeight="1" x14ac:dyDescent="0.25"/>
    <row r="5342" ht="12" customHeight="1" x14ac:dyDescent="0.25"/>
    <row r="5343" ht="12" customHeight="1" x14ac:dyDescent="0.25"/>
    <row r="5344" ht="12" customHeight="1" x14ac:dyDescent="0.25"/>
    <row r="5345" ht="12" customHeight="1" x14ac:dyDescent="0.25"/>
    <row r="5346" ht="20.25" customHeight="1" x14ac:dyDescent="0.25"/>
    <row r="5347" ht="13.5" customHeight="1" x14ac:dyDescent="0.25"/>
    <row r="5349" ht="13.5" customHeight="1" x14ac:dyDescent="0.25"/>
    <row r="5350" ht="13.5" customHeight="1" x14ac:dyDescent="0.25"/>
    <row r="5351" ht="13.5" customHeight="1" x14ac:dyDescent="0.25"/>
    <row r="5352" ht="13.5" customHeight="1" x14ac:dyDescent="0.25"/>
    <row r="5353" ht="12" customHeight="1" x14ac:dyDescent="0.25"/>
    <row r="5354" ht="12" customHeight="1" x14ac:dyDescent="0.25"/>
    <row r="5355" ht="12" customHeight="1" x14ac:dyDescent="0.25"/>
    <row r="5356" ht="12" customHeight="1" x14ac:dyDescent="0.25"/>
    <row r="5357" ht="20.25" customHeight="1" x14ac:dyDescent="0.25"/>
    <row r="5358" ht="13.5" customHeight="1" x14ac:dyDescent="0.25"/>
    <row r="5359" ht="13.5" customHeight="1" x14ac:dyDescent="0.25"/>
    <row r="5360" ht="13.5" customHeight="1" x14ac:dyDescent="0.25"/>
    <row r="5361" ht="13.5" customHeight="1" x14ac:dyDescent="0.25"/>
    <row r="5362" ht="13.5" customHeight="1" x14ac:dyDescent="0.25"/>
    <row r="5363" ht="13.5" customHeight="1" x14ac:dyDescent="0.25"/>
    <row r="5364" ht="13.5" customHeight="1" x14ac:dyDescent="0.25"/>
    <row r="5365" ht="12" customHeight="1" x14ac:dyDescent="0.25"/>
    <row r="5366" ht="12" customHeight="1" x14ac:dyDescent="0.25"/>
    <row r="5367" ht="12" customHeight="1" x14ac:dyDescent="0.25"/>
    <row r="5368" ht="12" customHeight="1" x14ac:dyDescent="0.25"/>
    <row r="5369" ht="20.25" customHeight="1" x14ac:dyDescent="0.25"/>
    <row r="5370" ht="13.5" customHeight="1" x14ac:dyDescent="0.25"/>
    <row r="5372" ht="13.5" customHeight="1" x14ac:dyDescent="0.25"/>
    <row r="5373" ht="13.5" customHeight="1" x14ac:dyDescent="0.25"/>
    <row r="5374" ht="13.5" customHeight="1" x14ac:dyDescent="0.25"/>
    <row r="5375" ht="13.5" customHeight="1" x14ac:dyDescent="0.25"/>
    <row r="5376" ht="12" customHeight="1" x14ac:dyDescent="0.25"/>
    <row r="5377" ht="12" customHeight="1" x14ac:dyDescent="0.25"/>
    <row r="5378" ht="12" customHeight="1" x14ac:dyDescent="0.25"/>
    <row r="5379" ht="12" customHeight="1" x14ac:dyDescent="0.25"/>
    <row r="5380" ht="20.25" customHeight="1" x14ac:dyDescent="0.25"/>
    <row r="5381" ht="13.5" customHeight="1" x14ac:dyDescent="0.25"/>
    <row r="5382" ht="13.5" customHeight="1" x14ac:dyDescent="0.25"/>
    <row r="5383" ht="13.5" customHeight="1" x14ac:dyDescent="0.25"/>
    <row r="5384" ht="13.5" customHeight="1" x14ac:dyDescent="0.25"/>
    <row r="5385" ht="13.5" customHeight="1" x14ac:dyDescent="0.25"/>
    <row r="5386" ht="13.5" customHeight="1" x14ac:dyDescent="0.25"/>
    <row r="5387" ht="13.5" customHeight="1" x14ac:dyDescent="0.25"/>
    <row r="5388" ht="12" customHeight="1" x14ac:dyDescent="0.25"/>
    <row r="5389" ht="12" customHeight="1" x14ac:dyDescent="0.25"/>
    <row r="5390" ht="12" customHeight="1" x14ac:dyDescent="0.25"/>
    <row r="5391" ht="12" customHeight="1" x14ac:dyDescent="0.25"/>
    <row r="5392" ht="20.25" customHeight="1" x14ac:dyDescent="0.25"/>
    <row r="5393" ht="13.5" customHeight="1" x14ac:dyDescent="0.25"/>
    <row r="5395" ht="13.5" customHeight="1" x14ac:dyDescent="0.25"/>
    <row r="5396" ht="13.5" customHeight="1" x14ac:dyDescent="0.25"/>
    <row r="5397" ht="13.5" customHeight="1" x14ac:dyDescent="0.25"/>
    <row r="5398" ht="13.5" customHeight="1" x14ac:dyDescent="0.25"/>
    <row r="5399" ht="12" customHeight="1" x14ac:dyDescent="0.25"/>
    <row r="5400" ht="12" customHeight="1" x14ac:dyDescent="0.25"/>
    <row r="5401" ht="12" customHeight="1" x14ac:dyDescent="0.25"/>
    <row r="5402" ht="12" customHeight="1" x14ac:dyDescent="0.25"/>
    <row r="5403" ht="20.25" customHeight="1" x14ac:dyDescent="0.25"/>
    <row r="5404" ht="13.5" customHeight="1" x14ac:dyDescent="0.25"/>
    <row r="5405" ht="13.5" customHeight="1" x14ac:dyDescent="0.25"/>
    <row r="5406" ht="13.5" customHeight="1" x14ac:dyDescent="0.25"/>
    <row r="5407" ht="13.5" customHeight="1" x14ac:dyDescent="0.25"/>
    <row r="5408" ht="13.5" customHeight="1" x14ac:dyDescent="0.25"/>
    <row r="5409" ht="13.5" customHeight="1" x14ac:dyDescent="0.25"/>
    <row r="5410" ht="13.5" customHeight="1" x14ac:dyDescent="0.25"/>
    <row r="5411" ht="12" customHeight="1" x14ac:dyDescent="0.25"/>
    <row r="5412" ht="12" customHeight="1" x14ac:dyDescent="0.25"/>
    <row r="5413" ht="12" customHeight="1" x14ac:dyDescent="0.25"/>
    <row r="5414" ht="12" customHeight="1" x14ac:dyDescent="0.25"/>
    <row r="5415" ht="20.25" customHeight="1" x14ac:dyDescent="0.25"/>
    <row r="5416" ht="13.5" customHeight="1" x14ac:dyDescent="0.25"/>
    <row r="5418" ht="13.5" customHeight="1" x14ac:dyDescent="0.25"/>
    <row r="5419" ht="13.5" customHeight="1" x14ac:dyDescent="0.25"/>
    <row r="5420" ht="13.5" customHeight="1" x14ac:dyDescent="0.25"/>
    <row r="5421" ht="13.5" customHeight="1" x14ac:dyDescent="0.25"/>
    <row r="5422" ht="12" customHeight="1" x14ac:dyDescent="0.25"/>
    <row r="5423" ht="12" customHeight="1" x14ac:dyDescent="0.25"/>
    <row r="5424" ht="12" customHeight="1" x14ac:dyDescent="0.25"/>
    <row r="5425" ht="12" customHeight="1" x14ac:dyDescent="0.25"/>
    <row r="5426" ht="20.25" customHeight="1" x14ac:dyDescent="0.25"/>
    <row r="5427" ht="13.5" customHeight="1" x14ac:dyDescent="0.25"/>
    <row r="5428" ht="13.5" customHeight="1" x14ac:dyDescent="0.25"/>
    <row r="5429" ht="13.5" customHeight="1" x14ac:dyDescent="0.25"/>
    <row r="5430" ht="13.5" customHeight="1" x14ac:dyDescent="0.25"/>
    <row r="5431" ht="13.5" customHeight="1" x14ac:dyDescent="0.25"/>
    <row r="5432" ht="13.5" customHeight="1" x14ac:dyDescent="0.25"/>
    <row r="5433" ht="13.5" customHeight="1" x14ac:dyDescent="0.25"/>
    <row r="5434" ht="12" customHeight="1" x14ac:dyDescent="0.25"/>
    <row r="5435" ht="12" customHeight="1" x14ac:dyDescent="0.25"/>
    <row r="5436" ht="12" customHeight="1" x14ac:dyDescent="0.25"/>
    <row r="5437" ht="12" customHeight="1" x14ac:dyDescent="0.25"/>
    <row r="5438" ht="20.25" customHeight="1" x14ac:dyDescent="0.25"/>
    <row r="5439" ht="13.5" customHeight="1" x14ac:dyDescent="0.25"/>
    <row r="5441" ht="13.5" customHeight="1" x14ac:dyDescent="0.25"/>
    <row r="5442" ht="13.5" customHeight="1" x14ac:dyDescent="0.25"/>
    <row r="5443" ht="13.5" customHeight="1" x14ac:dyDescent="0.25"/>
    <row r="5444" ht="13.5" customHeight="1" x14ac:dyDescent="0.25"/>
    <row r="5445" ht="12" customHeight="1" x14ac:dyDescent="0.25"/>
    <row r="5446" ht="12" customHeight="1" x14ac:dyDescent="0.25"/>
    <row r="5447" ht="12" customHeight="1" x14ac:dyDescent="0.25"/>
    <row r="5448" ht="12" customHeight="1" x14ac:dyDescent="0.25"/>
    <row r="5449" ht="20.25" customHeight="1" x14ac:dyDescent="0.25"/>
    <row r="5450" ht="13.5" customHeight="1" x14ac:dyDescent="0.25"/>
    <row r="5451" ht="13.5" customHeight="1" x14ac:dyDescent="0.25"/>
    <row r="5452" ht="13.5" customHeight="1" x14ac:dyDescent="0.25"/>
    <row r="5453" ht="13.5" customHeight="1" x14ac:dyDescent="0.25"/>
    <row r="5454" ht="13.5" customHeight="1" x14ac:dyDescent="0.25"/>
    <row r="5455" ht="13.5" customHeight="1" x14ac:dyDescent="0.25"/>
    <row r="5456" ht="13.5" customHeight="1" x14ac:dyDescent="0.25"/>
    <row r="5457" ht="12" customHeight="1" x14ac:dyDescent="0.25"/>
    <row r="5458" ht="12" customHeight="1" x14ac:dyDescent="0.25"/>
    <row r="5459" ht="12" customHeight="1" x14ac:dyDescent="0.25"/>
    <row r="5460" ht="12" customHeight="1" x14ac:dyDescent="0.25"/>
    <row r="5461" ht="20.25" customHeight="1" x14ac:dyDescent="0.25"/>
    <row r="5462" ht="13.5" customHeight="1" x14ac:dyDescent="0.25"/>
    <row r="5464" ht="13.5" customHeight="1" x14ac:dyDescent="0.25"/>
    <row r="5465" ht="13.5" customHeight="1" x14ac:dyDescent="0.25"/>
    <row r="5466" ht="13.5" customHeight="1" x14ac:dyDescent="0.25"/>
    <row r="5467" ht="13.5" customHeight="1" x14ac:dyDescent="0.25"/>
    <row r="5468" ht="12" customHeight="1" x14ac:dyDescent="0.25"/>
    <row r="5469" ht="12" customHeight="1" x14ac:dyDescent="0.25"/>
    <row r="5470" ht="12" customHeight="1" x14ac:dyDescent="0.25"/>
    <row r="5471" ht="12" customHeight="1" x14ac:dyDescent="0.25"/>
    <row r="5472" ht="20.25" customHeight="1" x14ac:dyDescent="0.25"/>
    <row r="5473" ht="13.5" customHeight="1" x14ac:dyDescent="0.25"/>
    <row r="5474" ht="13.5" customHeight="1" x14ac:dyDescent="0.25"/>
    <row r="5475" ht="13.5" customHeight="1" x14ac:dyDescent="0.25"/>
    <row r="5476" ht="13.5" customHeight="1" x14ac:dyDescent="0.25"/>
    <row r="5477" ht="13.5" customHeight="1" x14ac:dyDescent="0.25"/>
    <row r="5478" ht="13.5" customHeight="1" x14ac:dyDescent="0.25"/>
    <row r="5479" ht="13.5" customHeight="1" x14ac:dyDescent="0.25"/>
    <row r="5480" ht="12" customHeight="1" x14ac:dyDescent="0.25"/>
    <row r="5481" ht="12" customHeight="1" x14ac:dyDescent="0.25"/>
    <row r="5482" ht="12" customHeight="1" x14ac:dyDescent="0.25"/>
    <row r="5483" ht="12" customHeight="1" x14ac:dyDescent="0.25"/>
    <row r="5484" ht="20.25" customHeight="1" x14ac:dyDescent="0.25"/>
    <row r="5485" ht="13.5" customHeight="1" x14ac:dyDescent="0.25"/>
    <row r="5487" ht="13.5" customHeight="1" x14ac:dyDescent="0.25"/>
    <row r="5488" ht="13.5" customHeight="1" x14ac:dyDescent="0.25"/>
    <row r="5489" ht="13.5" customHeight="1" x14ac:dyDescent="0.25"/>
    <row r="5490" ht="13.5" customHeight="1" x14ac:dyDescent="0.25"/>
    <row r="5491" ht="12" customHeight="1" x14ac:dyDescent="0.25"/>
    <row r="5492" ht="12" customHeight="1" x14ac:dyDescent="0.25"/>
    <row r="5493" ht="12" customHeight="1" x14ac:dyDescent="0.25"/>
    <row r="5494" ht="12" customHeight="1" x14ac:dyDescent="0.25"/>
    <row r="5495" ht="20.25" customHeight="1" x14ac:dyDescent="0.25"/>
    <row r="5496" ht="13.5" customHeight="1" x14ac:dyDescent="0.25"/>
    <row r="5497" ht="13.5" customHeight="1" x14ac:dyDescent="0.25"/>
    <row r="5498" ht="13.5" customHeight="1" x14ac:dyDescent="0.25"/>
    <row r="5499" ht="13.5" customHeight="1" x14ac:dyDescent="0.25"/>
    <row r="5500" ht="13.5" customHeight="1" x14ac:dyDescent="0.25"/>
    <row r="5501" ht="13.5" customHeight="1" x14ac:dyDescent="0.25"/>
    <row r="5502" ht="13.5" customHeight="1" x14ac:dyDescent="0.25"/>
    <row r="5503" ht="12" customHeight="1" x14ac:dyDescent="0.25"/>
    <row r="5504" ht="12" customHeight="1" x14ac:dyDescent="0.25"/>
    <row r="5505" ht="12" customHeight="1" x14ac:dyDescent="0.25"/>
    <row r="5506" ht="12" customHeight="1" x14ac:dyDescent="0.25"/>
    <row r="5507" ht="20.25" customHeight="1" x14ac:dyDescent="0.25"/>
    <row r="5508" ht="13.5" customHeight="1" x14ac:dyDescent="0.25"/>
    <row r="5510" ht="13.5" customHeight="1" x14ac:dyDescent="0.25"/>
    <row r="5511" ht="13.5" customHeight="1" x14ac:dyDescent="0.25"/>
    <row r="5512" ht="13.5" customHeight="1" x14ac:dyDescent="0.25"/>
    <row r="5513" ht="13.5" customHeight="1" x14ac:dyDescent="0.25"/>
    <row r="5514" ht="12" customHeight="1" x14ac:dyDescent="0.25"/>
    <row r="5515" ht="12" customHeight="1" x14ac:dyDescent="0.25"/>
    <row r="5516" ht="12" customHeight="1" x14ac:dyDescent="0.25"/>
    <row r="5517" ht="12" customHeight="1" x14ac:dyDescent="0.25"/>
    <row r="5518" ht="20.25" customHeight="1" x14ac:dyDescent="0.25"/>
    <row r="5519" ht="13.5" customHeight="1" x14ac:dyDescent="0.25"/>
    <row r="5520" ht="13.5" customHeight="1" x14ac:dyDescent="0.25"/>
    <row r="5521" ht="13.5" customHeight="1" x14ac:dyDescent="0.25"/>
    <row r="5522" ht="13.5" customHeight="1" x14ac:dyDescent="0.25"/>
    <row r="5523" ht="13.5" customHeight="1" x14ac:dyDescent="0.25"/>
    <row r="5524" ht="13.5" customHeight="1" x14ac:dyDescent="0.25"/>
    <row r="5525" ht="13.5" customHeight="1" x14ac:dyDescent="0.25"/>
    <row r="5526" ht="12" customHeight="1" x14ac:dyDescent="0.25"/>
    <row r="5527" ht="12" customHeight="1" x14ac:dyDescent="0.25"/>
    <row r="5528" ht="12" customHeight="1" x14ac:dyDescent="0.25"/>
    <row r="5529" ht="12" customHeight="1" x14ac:dyDescent="0.25"/>
    <row r="5530" ht="20.25" customHeight="1" x14ac:dyDescent="0.25"/>
    <row r="5531" ht="13.5" customHeight="1" x14ac:dyDescent="0.25"/>
    <row r="5533" ht="13.5" customHeight="1" x14ac:dyDescent="0.25"/>
    <row r="5534" ht="13.5" customHeight="1" x14ac:dyDescent="0.25"/>
    <row r="5535" ht="13.5" customHeight="1" x14ac:dyDescent="0.25"/>
    <row r="5536" ht="13.5" customHeight="1" x14ac:dyDescent="0.25"/>
    <row r="5537" ht="12" customHeight="1" x14ac:dyDescent="0.25"/>
    <row r="5538" ht="12" customHeight="1" x14ac:dyDescent="0.25"/>
    <row r="5539" ht="12" customHeight="1" x14ac:dyDescent="0.25"/>
    <row r="5540" ht="12" customHeight="1" x14ac:dyDescent="0.25"/>
    <row r="5541" ht="20.25" customHeight="1" x14ac:dyDescent="0.25"/>
    <row r="5542" ht="13.5" customHeight="1" x14ac:dyDescent="0.25"/>
    <row r="5543" ht="13.5" customHeight="1" x14ac:dyDescent="0.25"/>
    <row r="5544" ht="13.5" customHeight="1" x14ac:dyDescent="0.25"/>
    <row r="5545" ht="13.5" customHeight="1" x14ac:dyDescent="0.25"/>
    <row r="5546" ht="13.5" customHeight="1" x14ac:dyDescent="0.25"/>
    <row r="5547" ht="13.5" customHeight="1" x14ac:dyDescent="0.25"/>
    <row r="5548" ht="13.5" customHeight="1" x14ac:dyDescent="0.25"/>
    <row r="5549" ht="12" customHeight="1" x14ac:dyDescent="0.25"/>
    <row r="5550" ht="12" customHeight="1" x14ac:dyDescent="0.25"/>
    <row r="5551" ht="12" customHeight="1" x14ac:dyDescent="0.25"/>
    <row r="5552" ht="12" customHeight="1" x14ac:dyDescent="0.25"/>
    <row r="5553" ht="20.25" customHeight="1" x14ac:dyDescent="0.25"/>
    <row r="5554" ht="13.5" customHeight="1" x14ac:dyDescent="0.25"/>
    <row r="5556" ht="13.5" customHeight="1" x14ac:dyDescent="0.25"/>
    <row r="5557" ht="13.5" customHeight="1" x14ac:dyDescent="0.25"/>
    <row r="5558" ht="13.5" customHeight="1" x14ac:dyDescent="0.25"/>
    <row r="5559" ht="13.5" customHeight="1" x14ac:dyDescent="0.25"/>
    <row r="5560" ht="12" customHeight="1" x14ac:dyDescent="0.25"/>
    <row r="5561" ht="12" customHeight="1" x14ac:dyDescent="0.25"/>
    <row r="5562" ht="12" customHeight="1" x14ac:dyDescent="0.25"/>
    <row r="5563" ht="12" customHeight="1" x14ac:dyDescent="0.25"/>
    <row r="5564" ht="20.25" customHeight="1" x14ac:dyDescent="0.25"/>
    <row r="5565" ht="13.5" customHeight="1" x14ac:dyDescent="0.25"/>
    <row r="5566" ht="13.5" customHeight="1" x14ac:dyDescent="0.25"/>
    <row r="5567" ht="13.5" customHeight="1" x14ac:dyDescent="0.25"/>
    <row r="5568" ht="13.5" customHeight="1" x14ac:dyDescent="0.25"/>
    <row r="5569" ht="13.5" customHeight="1" x14ac:dyDescent="0.25"/>
    <row r="5570" ht="13.5" customHeight="1" x14ac:dyDescent="0.25"/>
    <row r="5571" ht="13.5" customHeight="1" x14ac:dyDescent="0.25"/>
    <row r="5572" ht="12" customHeight="1" x14ac:dyDescent="0.25"/>
    <row r="5573" ht="12" customHeight="1" x14ac:dyDescent="0.25"/>
    <row r="5574" ht="12" customHeight="1" x14ac:dyDescent="0.25"/>
    <row r="5575" ht="12" customHeight="1" x14ac:dyDescent="0.25"/>
    <row r="5576" ht="20.25" customHeight="1" x14ac:dyDescent="0.25"/>
    <row r="5577" ht="13.5" customHeight="1" x14ac:dyDescent="0.25"/>
    <row r="5579" ht="13.5" customHeight="1" x14ac:dyDescent="0.25"/>
    <row r="5580" ht="13.5" customHeight="1" x14ac:dyDescent="0.25"/>
    <row r="5581" ht="13.5" customHeight="1" x14ac:dyDescent="0.25"/>
    <row r="5582" ht="13.5" customHeight="1" x14ac:dyDescent="0.25"/>
    <row r="5583" ht="12" customHeight="1" x14ac:dyDescent="0.25"/>
    <row r="5584" ht="12" customHeight="1" x14ac:dyDescent="0.25"/>
    <row r="5585" ht="12" customHeight="1" x14ac:dyDescent="0.25"/>
    <row r="5586" ht="12" customHeight="1" x14ac:dyDescent="0.25"/>
    <row r="5587" ht="20.25" customHeight="1" x14ac:dyDescent="0.25"/>
    <row r="5588" ht="13.5" customHeight="1" x14ac:dyDescent="0.25"/>
    <row r="5589" ht="13.5" customHeight="1" x14ac:dyDescent="0.25"/>
    <row r="5590" ht="13.5" customHeight="1" x14ac:dyDescent="0.25"/>
    <row r="5591" ht="13.5" customHeight="1" x14ac:dyDescent="0.25"/>
    <row r="5592" ht="13.5" customHeight="1" x14ac:dyDescent="0.25"/>
    <row r="5593" ht="13.5" customHeight="1" x14ac:dyDescent="0.25"/>
    <row r="5594" ht="13.5" customHeight="1" x14ac:dyDescent="0.25"/>
    <row r="5595" ht="12" customHeight="1" x14ac:dyDescent="0.25"/>
    <row r="5596" ht="12" customHeight="1" x14ac:dyDescent="0.25"/>
    <row r="5597" ht="12" customHeight="1" x14ac:dyDescent="0.25"/>
    <row r="5598" ht="12" customHeight="1" x14ac:dyDescent="0.25"/>
    <row r="5599" ht="20.25" customHeight="1" x14ac:dyDescent="0.25"/>
    <row r="5600" ht="13.5" customHeight="1" x14ac:dyDescent="0.25"/>
    <row r="5602" ht="13.5" customHeight="1" x14ac:dyDescent="0.25"/>
    <row r="5603" ht="13.5" customHeight="1" x14ac:dyDescent="0.25"/>
    <row r="5604" ht="13.5" customHeight="1" x14ac:dyDescent="0.25"/>
    <row r="5605" ht="13.5" customHeight="1" x14ac:dyDescent="0.25"/>
    <row r="5606" ht="12" customHeight="1" x14ac:dyDescent="0.25"/>
    <row r="5607" ht="12" customHeight="1" x14ac:dyDescent="0.25"/>
    <row r="5608" ht="12" customHeight="1" x14ac:dyDescent="0.25"/>
    <row r="5609" ht="12" customHeight="1" x14ac:dyDescent="0.25"/>
    <row r="5610" ht="20.25" customHeight="1" x14ac:dyDescent="0.25"/>
    <row r="5611" ht="13.5" customHeight="1" x14ac:dyDescent="0.25"/>
    <row r="5612" ht="13.5" customHeight="1" x14ac:dyDescent="0.25"/>
    <row r="5613" ht="13.5" customHeight="1" x14ac:dyDescent="0.25"/>
    <row r="5614" ht="13.5" customHeight="1" x14ac:dyDescent="0.25"/>
    <row r="5615" ht="13.5" customHeight="1" x14ac:dyDescent="0.25"/>
    <row r="5616" ht="13.5" customHeight="1" x14ac:dyDescent="0.25"/>
    <row r="5617" ht="13.5" customHeight="1" x14ac:dyDescent="0.25"/>
    <row r="5618" ht="12" customHeight="1" x14ac:dyDescent="0.25"/>
    <row r="5619" ht="12" customHeight="1" x14ac:dyDescent="0.25"/>
    <row r="5620" ht="12" customHeight="1" x14ac:dyDescent="0.25"/>
    <row r="5621" ht="12" customHeight="1" x14ac:dyDescent="0.25"/>
    <row r="5622" ht="20.25" customHeight="1" x14ac:dyDescent="0.25"/>
    <row r="5623" ht="13.5" customHeight="1" x14ac:dyDescent="0.25"/>
    <row r="5625" ht="13.5" customHeight="1" x14ac:dyDescent="0.25"/>
    <row r="5626" ht="13.5" customHeight="1" x14ac:dyDescent="0.25"/>
    <row r="5627" ht="13.5" customHeight="1" x14ac:dyDescent="0.25"/>
    <row r="5628" ht="13.5" customHeight="1" x14ac:dyDescent="0.25"/>
    <row r="5629" ht="12" customHeight="1" x14ac:dyDescent="0.25"/>
    <row r="5630" ht="12" customHeight="1" x14ac:dyDescent="0.25"/>
    <row r="5631" ht="12" customHeight="1" x14ac:dyDescent="0.25"/>
    <row r="5632" ht="12" customHeight="1" x14ac:dyDescent="0.25"/>
    <row r="5633" ht="20.25" customHeight="1" x14ac:dyDescent="0.25"/>
    <row r="5634" ht="13.5" customHeight="1" x14ac:dyDescent="0.25"/>
    <row r="5635" ht="13.5" customHeight="1" x14ac:dyDescent="0.25"/>
    <row r="5636" ht="13.5" customHeight="1" x14ac:dyDescent="0.25"/>
    <row r="5637" ht="13.5" customHeight="1" x14ac:dyDescent="0.25"/>
    <row r="5638" ht="13.5" customHeight="1" x14ac:dyDescent="0.25"/>
    <row r="5639" ht="13.5" customHeight="1" x14ac:dyDescent="0.25"/>
    <row r="5640" ht="13.5" customHeight="1" x14ac:dyDescent="0.25"/>
    <row r="5641" ht="12" customHeight="1" x14ac:dyDescent="0.25"/>
    <row r="5642" ht="12" customHeight="1" x14ac:dyDescent="0.25"/>
    <row r="5643" ht="12" customHeight="1" x14ac:dyDescent="0.25"/>
    <row r="5644" ht="12" customHeight="1" x14ac:dyDescent="0.25"/>
    <row r="5645" ht="20.25" customHeight="1" x14ac:dyDescent="0.25"/>
    <row r="5646" ht="13.5" customHeight="1" x14ac:dyDescent="0.25"/>
    <row r="5648" ht="13.5" customHeight="1" x14ac:dyDescent="0.25"/>
    <row r="5649" ht="13.5" customHeight="1" x14ac:dyDescent="0.25"/>
    <row r="5650" ht="13.5" customHeight="1" x14ac:dyDescent="0.25"/>
    <row r="5651" ht="13.5" customHeight="1" x14ac:dyDescent="0.25"/>
    <row r="5652" ht="12" customHeight="1" x14ac:dyDescent="0.25"/>
    <row r="5653" ht="12" customHeight="1" x14ac:dyDescent="0.25"/>
    <row r="5654" ht="12" customHeight="1" x14ac:dyDescent="0.25"/>
    <row r="5655" ht="12" customHeight="1" x14ac:dyDescent="0.25"/>
    <row r="5656" ht="20.25" customHeight="1" x14ac:dyDescent="0.25"/>
    <row r="5657" ht="13.5" customHeight="1" x14ac:dyDescent="0.25"/>
    <row r="5658" ht="13.5" customHeight="1" x14ac:dyDescent="0.25"/>
    <row r="5659" ht="13.5" customHeight="1" x14ac:dyDescent="0.25"/>
    <row r="5660" ht="13.5" customHeight="1" x14ac:dyDescent="0.25"/>
    <row r="5661" ht="13.5" customHeight="1" x14ac:dyDescent="0.25"/>
    <row r="5662" ht="13.5" customHeight="1" x14ac:dyDescent="0.25"/>
    <row r="5663" ht="13.5" customHeight="1" x14ac:dyDescent="0.25"/>
    <row r="5664" ht="12" customHeight="1" x14ac:dyDescent="0.25"/>
    <row r="5665" ht="12" customHeight="1" x14ac:dyDescent="0.25"/>
    <row r="5666" ht="12" customHeight="1" x14ac:dyDescent="0.25"/>
    <row r="5667" ht="12" customHeight="1" x14ac:dyDescent="0.25"/>
    <row r="5668" ht="20.25" customHeight="1" x14ac:dyDescent="0.25"/>
    <row r="5669" ht="13.5" customHeight="1" x14ac:dyDescent="0.25"/>
    <row r="5671" ht="13.5" customHeight="1" x14ac:dyDescent="0.25"/>
    <row r="5672" ht="13.5" customHeight="1" x14ac:dyDescent="0.25"/>
    <row r="5673" ht="13.5" customHeight="1" x14ac:dyDescent="0.25"/>
    <row r="5674" ht="13.5" customHeight="1" x14ac:dyDescent="0.25"/>
    <row r="5675" ht="12" customHeight="1" x14ac:dyDescent="0.25"/>
    <row r="5676" ht="12" customHeight="1" x14ac:dyDescent="0.25"/>
    <row r="5677" ht="12" customHeight="1" x14ac:dyDescent="0.25"/>
    <row r="5678" ht="12" customHeight="1" x14ac:dyDescent="0.25"/>
    <row r="5679" ht="20.25" customHeight="1" x14ac:dyDescent="0.25"/>
    <row r="5680" ht="13.5" customHeight="1" x14ac:dyDescent="0.25"/>
    <row r="5681" ht="13.5" customHeight="1" x14ac:dyDescent="0.25"/>
    <row r="5682" ht="13.5" customHeight="1" x14ac:dyDescent="0.25"/>
    <row r="5683" ht="13.5" customHeight="1" x14ac:dyDescent="0.25"/>
    <row r="5684" ht="13.5" customHeight="1" x14ac:dyDescent="0.25"/>
    <row r="5685" ht="13.5" customHeight="1" x14ac:dyDescent="0.25"/>
    <row r="5686" ht="13.5" customHeight="1" x14ac:dyDescent="0.25"/>
    <row r="5687" ht="12" customHeight="1" x14ac:dyDescent="0.25"/>
    <row r="5688" ht="12" customHeight="1" x14ac:dyDescent="0.25"/>
    <row r="5689" ht="12" customHeight="1" x14ac:dyDescent="0.25"/>
    <row r="5690" ht="12" customHeight="1" x14ac:dyDescent="0.25"/>
    <row r="5691" ht="20.25" customHeight="1" x14ac:dyDescent="0.25"/>
    <row r="5692" ht="13.5" customHeight="1" x14ac:dyDescent="0.25"/>
    <row r="5694" ht="13.5" customHeight="1" x14ac:dyDescent="0.25"/>
    <row r="5695" ht="13.5" customHeight="1" x14ac:dyDescent="0.25"/>
    <row r="5696" ht="13.5" customHeight="1" x14ac:dyDescent="0.25"/>
    <row r="5697" ht="13.5" customHeight="1" x14ac:dyDescent="0.25"/>
    <row r="5698" ht="12" customHeight="1" x14ac:dyDescent="0.25"/>
    <row r="5699" ht="12" customHeight="1" x14ac:dyDescent="0.25"/>
    <row r="5700" ht="12" customHeight="1" x14ac:dyDescent="0.25"/>
    <row r="5701" ht="12" customHeight="1" x14ac:dyDescent="0.25"/>
    <row r="5702" ht="20.25" customHeight="1" x14ac:dyDescent="0.25"/>
    <row r="5703" ht="13.5" customHeight="1" x14ac:dyDescent="0.25"/>
    <row r="5704" ht="13.5" customHeight="1" x14ac:dyDescent="0.25"/>
    <row r="5705" ht="13.5" customHeight="1" x14ac:dyDescent="0.25"/>
    <row r="5706" ht="13.5" customHeight="1" x14ac:dyDescent="0.25"/>
    <row r="5707" ht="13.5" customHeight="1" x14ac:dyDescent="0.25"/>
    <row r="5708" ht="13.5" customHeight="1" x14ac:dyDescent="0.25"/>
    <row r="5709" ht="13.5" customHeight="1" x14ac:dyDescent="0.25"/>
    <row r="5710" ht="12" customHeight="1" x14ac:dyDescent="0.25"/>
    <row r="5711" ht="12" customHeight="1" x14ac:dyDescent="0.25"/>
    <row r="5712" ht="12" customHeight="1" x14ac:dyDescent="0.25"/>
    <row r="5713" ht="12" customHeight="1" x14ac:dyDescent="0.25"/>
    <row r="5714" ht="20.25" customHeight="1" x14ac:dyDescent="0.25"/>
    <row r="5715" ht="13.5" customHeight="1" x14ac:dyDescent="0.25"/>
    <row r="5717" ht="13.5" customHeight="1" x14ac:dyDescent="0.25"/>
    <row r="5718" ht="13.5" customHeight="1" x14ac:dyDescent="0.25"/>
    <row r="5719" ht="13.5" customHeight="1" x14ac:dyDescent="0.25"/>
    <row r="5720" ht="13.5" customHeight="1" x14ac:dyDescent="0.25"/>
    <row r="5721" ht="12" customHeight="1" x14ac:dyDescent="0.25"/>
    <row r="5722" ht="12" customHeight="1" x14ac:dyDescent="0.25"/>
    <row r="5723" ht="12" customHeight="1" x14ac:dyDescent="0.25"/>
    <row r="5724" ht="12" customHeight="1" x14ac:dyDescent="0.25"/>
    <row r="5725" ht="20.25" customHeight="1" x14ac:dyDescent="0.25"/>
    <row r="5726" ht="13.5" customHeight="1" x14ac:dyDescent="0.25"/>
    <row r="5727" ht="13.5" customHeight="1" x14ac:dyDescent="0.25"/>
    <row r="5728" ht="13.5" customHeight="1" x14ac:dyDescent="0.25"/>
    <row r="5729" ht="13.5" customHeight="1" x14ac:dyDescent="0.25"/>
    <row r="5730" ht="13.5" customHeight="1" x14ac:dyDescent="0.25"/>
    <row r="5731" ht="13.5" customHeight="1" x14ac:dyDescent="0.25"/>
    <row r="5732" ht="13.5" customHeight="1" x14ac:dyDescent="0.25"/>
    <row r="5733" ht="12" customHeight="1" x14ac:dyDescent="0.25"/>
    <row r="5734" ht="12" customHeight="1" x14ac:dyDescent="0.25"/>
    <row r="5735" ht="12" customHeight="1" x14ac:dyDescent="0.25"/>
    <row r="5736" ht="12" customHeight="1" x14ac:dyDescent="0.25"/>
    <row r="5737" ht="20.25" customHeight="1" x14ac:dyDescent="0.25"/>
    <row r="5738" ht="13.5" customHeight="1" x14ac:dyDescent="0.25"/>
    <row r="5740" ht="13.5" customHeight="1" x14ac:dyDescent="0.25"/>
    <row r="5741" ht="13.5" customHeight="1" x14ac:dyDescent="0.25"/>
    <row r="5742" ht="13.5" customHeight="1" x14ac:dyDescent="0.25"/>
    <row r="5743" ht="13.5" customHeight="1" x14ac:dyDescent="0.25"/>
    <row r="5744" ht="12" customHeight="1" x14ac:dyDescent="0.25"/>
    <row r="5745" ht="12" customHeight="1" x14ac:dyDescent="0.25"/>
    <row r="5746" ht="12" customHeight="1" x14ac:dyDescent="0.25"/>
    <row r="5747" ht="12" customHeight="1" x14ac:dyDescent="0.25"/>
    <row r="5748" ht="20.25" customHeight="1" x14ac:dyDescent="0.25"/>
    <row r="5749" ht="13.5" customHeight="1" x14ac:dyDescent="0.25"/>
    <row r="5750" ht="13.5" customHeight="1" x14ac:dyDescent="0.25"/>
    <row r="5751" ht="13.5" customHeight="1" x14ac:dyDescent="0.25"/>
    <row r="5752" ht="13.5" customHeight="1" x14ac:dyDescent="0.25"/>
    <row r="5753" ht="13.5" customHeight="1" x14ac:dyDescent="0.25"/>
    <row r="5754" ht="13.5" customHeight="1" x14ac:dyDescent="0.25"/>
    <row r="5755" ht="13.5" customHeight="1" x14ac:dyDescent="0.25"/>
    <row r="5756" ht="12" customHeight="1" x14ac:dyDescent="0.25"/>
    <row r="5757" ht="12" customHeight="1" x14ac:dyDescent="0.25"/>
    <row r="5758" ht="12" customHeight="1" x14ac:dyDescent="0.25"/>
    <row r="5759" ht="12" customHeight="1" x14ac:dyDescent="0.25"/>
    <row r="5760" ht="20.25" customHeight="1" x14ac:dyDescent="0.25"/>
    <row r="5761" ht="13.5" customHeight="1" x14ac:dyDescent="0.25"/>
    <row r="5763" ht="13.5" customHeight="1" x14ac:dyDescent="0.25"/>
    <row r="5764" ht="13.5" customHeight="1" x14ac:dyDescent="0.25"/>
    <row r="5765" ht="13.5" customHeight="1" x14ac:dyDescent="0.25"/>
    <row r="5766" ht="13.5" customHeight="1" x14ac:dyDescent="0.25"/>
    <row r="5767" ht="12" customHeight="1" x14ac:dyDescent="0.25"/>
    <row r="5768" ht="12" customHeight="1" x14ac:dyDescent="0.25"/>
    <row r="5769" ht="12" customHeight="1" x14ac:dyDescent="0.25"/>
    <row r="5770" ht="12" customHeight="1" x14ac:dyDescent="0.25"/>
    <row r="5771" ht="20.25" customHeight="1" x14ac:dyDescent="0.25"/>
    <row r="5772" ht="13.5" customHeight="1" x14ac:dyDescent="0.25"/>
    <row r="5773" ht="13.5" customHeight="1" x14ac:dyDescent="0.25"/>
    <row r="5774" ht="13.5" customHeight="1" x14ac:dyDescent="0.25"/>
    <row r="5775" ht="13.5" customHeight="1" x14ac:dyDescent="0.25"/>
    <row r="5776" ht="13.5" customHeight="1" x14ac:dyDescent="0.25"/>
    <row r="5777" ht="13.5" customHeight="1" x14ac:dyDescent="0.25"/>
    <row r="5778" ht="13.5" customHeight="1" x14ac:dyDescent="0.25"/>
    <row r="5779" ht="12" customHeight="1" x14ac:dyDescent="0.25"/>
    <row r="5780" ht="12" customHeight="1" x14ac:dyDescent="0.25"/>
    <row r="5781" ht="12" customHeight="1" x14ac:dyDescent="0.25"/>
    <row r="5782" ht="12" customHeight="1" x14ac:dyDescent="0.25"/>
    <row r="5783" ht="20.25" customHeight="1" x14ac:dyDescent="0.25"/>
    <row r="5784" ht="13.5" customHeight="1" x14ac:dyDescent="0.25"/>
    <row r="5786" ht="13.5" customHeight="1" x14ac:dyDescent="0.25"/>
    <row r="5787" ht="13.5" customHeight="1" x14ac:dyDescent="0.25"/>
    <row r="5788" ht="13.5" customHeight="1" x14ac:dyDescent="0.25"/>
    <row r="5789" ht="13.5" customHeight="1" x14ac:dyDescent="0.25"/>
    <row r="5790" ht="12" customHeight="1" x14ac:dyDescent="0.25"/>
    <row r="5791" ht="12" customHeight="1" x14ac:dyDescent="0.25"/>
    <row r="5792" ht="12" customHeight="1" x14ac:dyDescent="0.25"/>
    <row r="5793" ht="12" customHeight="1" x14ac:dyDescent="0.25"/>
    <row r="5794" ht="20.25" customHeight="1" x14ac:dyDescent="0.25"/>
    <row r="5795" ht="13.5" customHeight="1" x14ac:dyDescent="0.25"/>
    <row r="5796" ht="13.5" customHeight="1" x14ac:dyDescent="0.25"/>
    <row r="5797" ht="13.5" customHeight="1" x14ac:dyDescent="0.25"/>
    <row r="5798" ht="13.5" customHeight="1" x14ac:dyDescent="0.25"/>
    <row r="5799" ht="13.5" customHeight="1" x14ac:dyDescent="0.25"/>
    <row r="5800" ht="13.5" customHeight="1" x14ac:dyDescent="0.25"/>
    <row r="5801" ht="13.5" customHeight="1" x14ac:dyDescent="0.25"/>
    <row r="5802" ht="12" customHeight="1" x14ac:dyDescent="0.25"/>
    <row r="5803" ht="12" customHeight="1" x14ac:dyDescent="0.25"/>
    <row r="5804" ht="12" customHeight="1" x14ac:dyDescent="0.25"/>
    <row r="5805" ht="12" customHeight="1" x14ac:dyDescent="0.25"/>
    <row r="5806" ht="20.25" customHeight="1" x14ac:dyDescent="0.25"/>
    <row r="5807" ht="13.5" customHeight="1" x14ac:dyDescent="0.25"/>
    <row r="5809" ht="13.5" customHeight="1" x14ac:dyDescent="0.25"/>
    <row r="5810" ht="13.5" customHeight="1" x14ac:dyDescent="0.25"/>
    <row r="5811" ht="13.5" customHeight="1" x14ac:dyDescent="0.25"/>
    <row r="5812" ht="13.5" customHeight="1" x14ac:dyDescent="0.25"/>
    <row r="5813" ht="12" customHeight="1" x14ac:dyDescent="0.25"/>
    <row r="5814" ht="12" customHeight="1" x14ac:dyDescent="0.25"/>
    <row r="5815" ht="12" customHeight="1" x14ac:dyDescent="0.25"/>
    <row r="5816" ht="12" customHeight="1" x14ac:dyDescent="0.25"/>
    <row r="5817" ht="20.25" customHeight="1" x14ac:dyDescent="0.25"/>
    <row r="5818" ht="13.5" customHeight="1" x14ac:dyDescent="0.25"/>
    <row r="5819" ht="13.5" customHeight="1" x14ac:dyDescent="0.25"/>
    <row r="5820" ht="13.5" customHeight="1" x14ac:dyDescent="0.25"/>
    <row r="5821" ht="13.5" customHeight="1" x14ac:dyDescent="0.25"/>
    <row r="5822" ht="13.5" customHeight="1" x14ac:dyDescent="0.25"/>
    <row r="5823" ht="13.5" customHeight="1" x14ac:dyDescent="0.25"/>
    <row r="5824" ht="13.5" customHeight="1" x14ac:dyDescent="0.25"/>
    <row r="5825" ht="12" customHeight="1" x14ac:dyDescent="0.25"/>
    <row r="5826" ht="12" customHeight="1" x14ac:dyDescent="0.25"/>
    <row r="5827" ht="12" customHeight="1" x14ac:dyDescent="0.25"/>
    <row r="5828" ht="12" customHeight="1" x14ac:dyDescent="0.25"/>
    <row r="5829" ht="20.25" customHeight="1" x14ac:dyDescent="0.25"/>
    <row r="5830" ht="13.5" customHeight="1" x14ac:dyDescent="0.25"/>
    <row r="5832" ht="13.5" customHeight="1" x14ac:dyDescent="0.25"/>
    <row r="5833" ht="13.5" customHeight="1" x14ac:dyDescent="0.25"/>
    <row r="5834" ht="13.5" customHeight="1" x14ac:dyDescent="0.25"/>
    <row r="5835" ht="13.5" customHeight="1" x14ac:dyDescent="0.25"/>
    <row r="5836" ht="12" customHeight="1" x14ac:dyDescent="0.25"/>
    <row r="5837" ht="12" customHeight="1" x14ac:dyDescent="0.25"/>
    <row r="5838" ht="12" customHeight="1" x14ac:dyDescent="0.25"/>
    <row r="5839" ht="12" customHeight="1" x14ac:dyDescent="0.25"/>
    <row r="5840" ht="20.25" customHeight="1" x14ac:dyDescent="0.25"/>
    <row r="5841" ht="13.5" customHeight="1" x14ac:dyDescent="0.25"/>
    <row r="5842" ht="13.5" customHeight="1" x14ac:dyDescent="0.25"/>
    <row r="5843" ht="13.5" customHeight="1" x14ac:dyDescent="0.25"/>
    <row r="5844" ht="13.5" customHeight="1" x14ac:dyDescent="0.25"/>
    <row r="5845" ht="13.5" customHeight="1" x14ac:dyDescent="0.25"/>
    <row r="5846" ht="13.5" customHeight="1" x14ac:dyDescent="0.25"/>
    <row r="5847" ht="13.5" customHeight="1" x14ac:dyDescent="0.25"/>
    <row r="5848" ht="12" customHeight="1" x14ac:dyDescent="0.25"/>
    <row r="5849" ht="12" customHeight="1" x14ac:dyDescent="0.25"/>
    <row r="5850" ht="12" customHeight="1" x14ac:dyDescent="0.25"/>
    <row r="5851" ht="12" customHeight="1" x14ac:dyDescent="0.25"/>
    <row r="5852" ht="20.25" customHeight="1" x14ac:dyDescent="0.25"/>
    <row r="5853" ht="13.5" customHeight="1" x14ac:dyDescent="0.25"/>
    <row r="5855" ht="13.5" customHeight="1" x14ac:dyDescent="0.25"/>
    <row r="5856" ht="13.5" customHeight="1" x14ac:dyDescent="0.25"/>
    <row r="5857" ht="13.5" customHeight="1" x14ac:dyDescent="0.25"/>
    <row r="5858" ht="13.5" customHeight="1" x14ac:dyDescent="0.25"/>
    <row r="5859" ht="12" customHeight="1" x14ac:dyDescent="0.25"/>
    <row r="5860" ht="12" customHeight="1" x14ac:dyDescent="0.25"/>
    <row r="5861" ht="12" customHeight="1" x14ac:dyDescent="0.25"/>
    <row r="5862" ht="12" customHeight="1" x14ac:dyDescent="0.25"/>
    <row r="5863" ht="20.25" customHeight="1" x14ac:dyDescent="0.25"/>
    <row r="5864" ht="13.5" customHeight="1" x14ac:dyDescent="0.25"/>
    <row r="5865" ht="13.5" customHeight="1" x14ac:dyDescent="0.25"/>
    <row r="5866" ht="13.5" customHeight="1" x14ac:dyDescent="0.25"/>
    <row r="5867" ht="13.5" customHeight="1" x14ac:dyDescent="0.25"/>
    <row r="5868" ht="13.5" customHeight="1" x14ac:dyDescent="0.25"/>
    <row r="5869" ht="13.5" customHeight="1" x14ac:dyDescent="0.25"/>
    <row r="5870" ht="13.5" customHeight="1" x14ac:dyDescent="0.25"/>
    <row r="5871" ht="12" customHeight="1" x14ac:dyDescent="0.25"/>
    <row r="5872" ht="12" customHeight="1" x14ac:dyDescent="0.25"/>
    <row r="5873" ht="12" customHeight="1" x14ac:dyDescent="0.25"/>
    <row r="5874" ht="12" customHeight="1" x14ac:dyDescent="0.25"/>
    <row r="5875" ht="20.25" customHeight="1" x14ac:dyDescent="0.25"/>
    <row r="5876" ht="13.5" customHeight="1" x14ac:dyDescent="0.25"/>
    <row r="5878" ht="13.5" customHeight="1" x14ac:dyDescent="0.25"/>
    <row r="5879" ht="13.5" customHeight="1" x14ac:dyDescent="0.25"/>
    <row r="5880" ht="13.5" customHeight="1" x14ac:dyDescent="0.25"/>
    <row r="5881" ht="13.5" customHeight="1" x14ac:dyDescent="0.25"/>
    <row r="5882" ht="12" customHeight="1" x14ac:dyDescent="0.25"/>
    <row r="5883" ht="12" customHeight="1" x14ac:dyDescent="0.25"/>
    <row r="5884" ht="12" customHeight="1" x14ac:dyDescent="0.25"/>
    <row r="5885" ht="12" customHeight="1" x14ac:dyDescent="0.25"/>
    <row r="5886" ht="20.25" customHeight="1" x14ac:dyDescent="0.25"/>
    <row r="5887" ht="13.5" customHeight="1" x14ac:dyDescent="0.25"/>
    <row r="5888" ht="13.5" customHeight="1" x14ac:dyDescent="0.25"/>
    <row r="5889" ht="13.5" customHeight="1" x14ac:dyDescent="0.25"/>
    <row r="5890" ht="13.5" customHeight="1" x14ac:dyDescent="0.25"/>
    <row r="5891" ht="13.5" customHeight="1" x14ac:dyDescent="0.25"/>
    <row r="5892" ht="13.5" customHeight="1" x14ac:dyDescent="0.25"/>
    <row r="5893" ht="13.5" customHeight="1" x14ac:dyDescent="0.25"/>
    <row r="5894" ht="12" customHeight="1" x14ac:dyDescent="0.25"/>
    <row r="5895" ht="12" customHeight="1" x14ac:dyDescent="0.25"/>
    <row r="5896" ht="12" customHeight="1" x14ac:dyDescent="0.25"/>
    <row r="5897" ht="12" customHeight="1" x14ac:dyDescent="0.25"/>
    <row r="5898" ht="20.25" customHeight="1" x14ac:dyDescent="0.25"/>
    <row r="5899" ht="13.5" customHeight="1" x14ac:dyDescent="0.25"/>
    <row r="5901" ht="13.5" customHeight="1" x14ac:dyDescent="0.25"/>
    <row r="5902" ht="13.5" customHeight="1" x14ac:dyDescent="0.25"/>
    <row r="5903" ht="13.5" customHeight="1" x14ac:dyDescent="0.25"/>
    <row r="5904" ht="13.5" customHeight="1" x14ac:dyDescent="0.25"/>
    <row r="5905" ht="12" customHeight="1" x14ac:dyDescent="0.25"/>
    <row r="5906" ht="12" customHeight="1" x14ac:dyDescent="0.25"/>
    <row r="5907" ht="12" customHeight="1" x14ac:dyDescent="0.25"/>
    <row r="5908" ht="12" customHeight="1" x14ac:dyDescent="0.25"/>
    <row r="5909" ht="20.25" customHeight="1" x14ac:dyDescent="0.25"/>
    <row r="5910" ht="13.5" customHeight="1" x14ac:dyDescent="0.25"/>
    <row r="5911" ht="13.5" customHeight="1" x14ac:dyDescent="0.25"/>
    <row r="5912" ht="13.5" customHeight="1" x14ac:dyDescent="0.25"/>
    <row r="5913" ht="13.5" customHeight="1" x14ac:dyDescent="0.25"/>
    <row r="5914" ht="13.5" customHeight="1" x14ac:dyDescent="0.25"/>
    <row r="5915" ht="13.5" customHeight="1" x14ac:dyDescent="0.25"/>
    <row r="5916" ht="13.5" customHeight="1" x14ac:dyDescent="0.25"/>
    <row r="5917" ht="12" customHeight="1" x14ac:dyDescent="0.25"/>
    <row r="5918" ht="12" customHeight="1" x14ac:dyDescent="0.25"/>
    <row r="5919" ht="12" customHeight="1" x14ac:dyDescent="0.25"/>
    <row r="5920" ht="12" customHeight="1" x14ac:dyDescent="0.25"/>
    <row r="5921" ht="20.25" customHeight="1" x14ac:dyDescent="0.25"/>
    <row r="5922" ht="13.5" customHeight="1" x14ac:dyDescent="0.25"/>
    <row r="5924" ht="13.5" customHeight="1" x14ac:dyDescent="0.25"/>
    <row r="5925" ht="13.5" customHeight="1" x14ac:dyDescent="0.25"/>
    <row r="5926" ht="13.5" customHeight="1" x14ac:dyDescent="0.25"/>
    <row r="5927" ht="13.5" customHeight="1" x14ac:dyDescent="0.25"/>
    <row r="5928" ht="12" customHeight="1" x14ac:dyDescent="0.25"/>
    <row r="5929" ht="12" customHeight="1" x14ac:dyDescent="0.25"/>
    <row r="5930" ht="12" customHeight="1" x14ac:dyDescent="0.25"/>
    <row r="5931" ht="12" customHeight="1" x14ac:dyDescent="0.25"/>
    <row r="5932" ht="20.25" customHeight="1" x14ac:dyDescent="0.25"/>
    <row r="5933" ht="13.5" customHeight="1" x14ac:dyDescent="0.25"/>
    <row r="5934" ht="13.5" customHeight="1" x14ac:dyDescent="0.25"/>
    <row r="5935" ht="13.5" customHeight="1" x14ac:dyDescent="0.25"/>
    <row r="5936" ht="13.5" customHeight="1" x14ac:dyDescent="0.25"/>
    <row r="5937" ht="13.5" customHeight="1" x14ac:dyDescent="0.25"/>
    <row r="5938" ht="13.5" customHeight="1" x14ac:dyDescent="0.25"/>
    <row r="5939" ht="13.5" customHeight="1" x14ac:dyDescent="0.25"/>
    <row r="5940" ht="12" customHeight="1" x14ac:dyDescent="0.25"/>
    <row r="5941" ht="12" customHeight="1" x14ac:dyDescent="0.25"/>
    <row r="5942" ht="12" customHeight="1" x14ac:dyDescent="0.25"/>
    <row r="5943" ht="12" customHeight="1" x14ac:dyDescent="0.25"/>
    <row r="5944" ht="20.25" customHeight="1" x14ac:dyDescent="0.25"/>
    <row r="5945" ht="13.5" customHeight="1" x14ac:dyDescent="0.25"/>
    <row r="5947" ht="13.5" customHeight="1" x14ac:dyDescent="0.25"/>
    <row r="5948" ht="13.5" customHeight="1" x14ac:dyDescent="0.25"/>
    <row r="5949" ht="13.5" customHeight="1" x14ac:dyDescent="0.25"/>
    <row r="5950" ht="13.5" customHeight="1" x14ac:dyDescent="0.25"/>
    <row r="5951" ht="12" customHeight="1" x14ac:dyDescent="0.25"/>
    <row r="5952" ht="12" customHeight="1" x14ac:dyDescent="0.25"/>
    <row r="5953" ht="12" customHeight="1" x14ac:dyDescent="0.25"/>
    <row r="5954" ht="12" customHeight="1" x14ac:dyDescent="0.25"/>
    <row r="5955" ht="20.25" customHeight="1" x14ac:dyDescent="0.25"/>
    <row r="5956" ht="13.5" customHeight="1" x14ac:dyDescent="0.25"/>
    <row r="5957" ht="13.5" customHeight="1" x14ac:dyDescent="0.25"/>
    <row r="5958" ht="13.5" customHeight="1" x14ac:dyDescent="0.25"/>
    <row r="5959" ht="13.5" customHeight="1" x14ac:dyDescent="0.25"/>
    <row r="5960" ht="13.5" customHeight="1" x14ac:dyDescent="0.25"/>
    <row r="5961" ht="13.5" customHeight="1" x14ac:dyDescent="0.25"/>
    <row r="5962" ht="13.5" customHeight="1" x14ac:dyDescent="0.25"/>
    <row r="5963" ht="12" customHeight="1" x14ac:dyDescent="0.25"/>
    <row r="5964" ht="12" customHeight="1" x14ac:dyDescent="0.25"/>
    <row r="5965" ht="12" customHeight="1" x14ac:dyDescent="0.25"/>
    <row r="5966" ht="12" customHeight="1" x14ac:dyDescent="0.25"/>
    <row r="5967" ht="20.25" customHeight="1" x14ac:dyDescent="0.25"/>
    <row r="5968" ht="13.5" customHeight="1" x14ac:dyDescent="0.25"/>
    <row r="5970" ht="13.5" customHeight="1" x14ac:dyDescent="0.25"/>
    <row r="5971" ht="13.5" customHeight="1" x14ac:dyDescent="0.25"/>
    <row r="5972" ht="13.5" customHeight="1" x14ac:dyDescent="0.25"/>
    <row r="5973" ht="13.5" customHeight="1" x14ac:dyDescent="0.25"/>
    <row r="5974" ht="12" customHeight="1" x14ac:dyDescent="0.25"/>
    <row r="5975" ht="12" customHeight="1" x14ac:dyDescent="0.25"/>
    <row r="5976" ht="12" customHeight="1" x14ac:dyDescent="0.25"/>
    <row r="5977" ht="12" customHeight="1" x14ac:dyDescent="0.25"/>
    <row r="5978" ht="20.25" customHeight="1" x14ac:dyDescent="0.25"/>
    <row r="5979" ht="13.5" customHeight="1" x14ac:dyDescent="0.25"/>
    <row r="5980" ht="13.5" customHeight="1" x14ac:dyDescent="0.25"/>
    <row r="5981" ht="13.5" customHeight="1" x14ac:dyDescent="0.25"/>
    <row r="5982" ht="13.5" customHeight="1" x14ac:dyDescent="0.25"/>
    <row r="5983" ht="13.5" customHeight="1" x14ac:dyDescent="0.25"/>
    <row r="5984" ht="13.5" customHeight="1" x14ac:dyDescent="0.25"/>
    <row r="5985" ht="13.5" customHeight="1" x14ac:dyDescent="0.25"/>
    <row r="5986" ht="12" customHeight="1" x14ac:dyDescent="0.25"/>
    <row r="5987" ht="12" customHeight="1" x14ac:dyDescent="0.25"/>
    <row r="5988" ht="12" customHeight="1" x14ac:dyDescent="0.25"/>
    <row r="5989" ht="12" customHeight="1" x14ac:dyDescent="0.25"/>
    <row r="5990" ht="20.25" customHeight="1" x14ac:dyDescent="0.25"/>
    <row r="5991" ht="13.5" customHeight="1" x14ac:dyDescent="0.25"/>
    <row r="5993" ht="13.5" customHeight="1" x14ac:dyDescent="0.25"/>
    <row r="5994" ht="13.5" customHeight="1" x14ac:dyDescent="0.25"/>
    <row r="5995" ht="13.5" customHeight="1" x14ac:dyDescent="0.25"/>
    <row r="5996" ht="13.5" customHeight="1" x14ac:dyDescent="0.25"/>
    <row r="5997" ht="12" customHeight="1" x14ac:dyDescent="0.25"/>
    <row r="5998" ht="12" customHeight="1" x14ac:dyDescent="0.25"/>
    <row r="5999" ht="12" customHeight="1" x14ac:dyDescent="0.25"/>
    <row r="6000" ht="12" customHeight="1" x14ac:dyDescent="0.25"/>
    <row r="6001" ht="20.25" customHeight="1" x14ac:dyDescent="0.25"/>
    <row r="6002" ht="13.5" customHeight="1" x14ac:dyDescent="0.25"/>
    <row r="6003" ht="13.5" customHeight="1" x14ac:dyDescent="0.25"/>
    <row r="6004" ht="13.5" customHeight="1" x14ac:dyDescent="0.25"/>
    <row r="6005" ht="13.5" customHeight="1" x14ac:dyDescent="0.25"/>
    <row r="6006" ht="13.5" customHeight="1" x14ac:dyDescent="0.25"/>
    <row r="6007" ht="13.5" customHeight="1" x14ac:dyDescent="0.25"/>
    <row r="6008" ht="13.5" customHeight="1" x14ac:dyDescent="0.25"/>
    <row r="6009" ht="12" customHeight="1" x14ac:dyDescent="0.25"/>
    <row r="6010" ht="12" customHeight="1" x14ac:dyDescent="0.25"/>
    <row r="6011" ht="12" customHeight="1" x14ac:dyDescent="0.25"/>
    <row r="6012" ht="12" customHeight="1" x14ac:dyDescent="0.25"/>
    <row r="6013" ht="20.25" customHeight="1" x14ac:dyDescent="0.25"/>
    <row r="6014" ht="13.5" customHeight="1" x14ac:dyDescent="0.25"/>
    <row r="6016" ht="13.5" customHeight="1" x14ac:dyDescent="0.25"/>
    <row r="6017" ht="13.5" customHeight="1" x14ac:dyDescent="0.25"/>
    <row r="6018" ht="13.5" customHeight="1" x14ac:dyDescent="0.25"/>
    <row r="6019" ht="13.5" customHeight="1" x14ac:dyDescent="0.25"/>
    <row r="6020" ht="12" customHeight="1" x14ac:dyDescent="0.25"/>
    <row r="6021" ht="12" customHeight="1" x14ac:dyDescent="0.25"/>
    <row r="6022" ht="12" customHeight="1" x14ac:dyDescent="0.25"/>
    <row r="6023" ht="12" customHeight="1" x14ac:dyDescent="0.25"/>
    <row r="6024" ht="20.25" customHeight="1" x14ac:dyDescent="0.25"/>
    <row r="6025" ht="13.5" customHeight="1" x14ac:dyDescent="0.25"/>
    <row r="6026" ht="13.5" customHeight="1" x14ac:dyDescent="0.25"/>
    <row r="6027" ht="13.5" customHeight="1" x14ac:dyDescent="0.25"/>
    <row r="6028" ht="13.5" customHeight="1" x14ac:dyDescent="0.25"/>
    <row r="6029" ht="13.5" customHeight="1" x14ac:dyDescent="0.25"/>
    <row r="6030" ht="13.5" customHeight="1" x14ac:dyDescent="0.25"/>
    <row r="6031" ht="13.5" customHeight="1" x14ac:dyDescent="0.25"/>
    <row r="6032" ht="12" customHeight="1" x14ac:dyDescent="0.25"/>
    <row r="6033" ht="12" customHeight="1" x14ac:dyDescent="0.25"/>
    <row r="6034" ht="12" customHeight="1" x14ac:dyDescent="0.25"/>
    <row r="6035" ht="12" customHeight="1" x14ac:dyDescent="0.25"/>
    <row r="6036" ht="20.25" customHeight="1" x14ac:dyDescent="0.25"/>
    <row r="6037" ht="13.5" customHeight="1" x14ac:dyDescent="0.25"/>
    <row r="6039" ht="13.5" customHeight="1" x14ac:dyDescent="0.25"/>
    <row r="6040" ht="13.5" customHeight="1" x14ac:dyDescent="0.25"/>
    <row r="6041" ht="13.5" customHeight="1" x14ac:dyDescent="0.25"/>
    <row r="6042" ht="13.5" customHeight="1" x14ac:dyDescent="0.25"/>
    <row r="6043" ht="12" customHeight="1" x14ac:dyDescent="0.25"/>
    <row r="6044" ht="12" customHeight="1" x14ac:dyDescent="0.25"/>
    <row r="6045" ht="12" customHeight="1" x14ac:dyDescent="0.25"/>
    <row r="6046" ht="12" customHeight="1" x14ac:dyDescent="0.25"/>
    <row r="6047" ht="20.25" customHeight="1" x14ac:dyDescent="0.25"/>
    <row r="6048" ht="13.5" customHeight="1" x14ac:dyDescent="0.25"/>
    <row r="6049" ht="13.5" customHeight="1" x14ac:dyDescent="0.25"/>
    <row r="6050" ht="13.5" customHeight="1" x14ac:dyDescent="0.25"/>
    <row r="6051" ht="13.5" customHeight="1" x14ac:dyDescent="0.25"/>
    <row r="6052" ht="13.5" customHeight="1" x14ac:dyDescent="0.25"/>
    <row r="6053" ht="13.5" customHeight="1" x14ac:dyDescent="0.25"/>
    <row r="6054" ht="13.5" customHeight="1" x14ac:dyDescent="0.25"/>
    <row r="6055" ht="12" customHeight="1" x14ac:dyDescent="0.25"/>
    <row r="6056" ht="12" customHeight="1" x14ac:dyDescent="0.25"/>
    <row r="6057" ht="12" customHeight="1" x14ac:dyDescent="0.25"/>
    <row r="6058" ht="12" customHeight="1" x14ac:dyDescent="0.25"/>
    <row r="6059" ht="20.25" customHeight="1" x14ac:dyDescent="0.25"/>
    <row r="6060" ht="13.5" customHeight="1" x14ac:dyDescent="0.25"/>
    <row r="6062" ht="13.5" customHeight="1" x14ac:dyDescent="0.25"/>
    <row r="6063" ht="13.5" customHeight="1" x14ac:dyDescent="0.25"/>
    <row r="6064" ht="13.5" customHeight="1" x14ac:dyDescent="0.25"/>
    <row r="6065" ht="13.5" customHeight="1" x14ac:dyDescent="0.25"/>
    <row r="6066" ht="12" customHeight="1" x14ac:dyDescent="0.25"/>
    <row r="6067" ht="12" customHeight="1" x14ac:dyDescent="0.25"/>
    <row r="6068" ht="12" customHeight="1" x14ac:dyDescent="0.25"/>
    <row r="6069" ht="12" customHeight="1" x14ac:dyDescent="0.25"/>
    <row r="6070" ht="20.25" customHeight="1" x14ac:dyDescent="0.25"/>
    <row r="6071" ht="13.5" customHeight="1" x14ac:dyDescent="0.25"/>
    <row r="6072" ht="13.5" customHeight="1" x14ac:dyDescent="0.25"/>
    <row r="6073" ht="13.5" customHeight="1" x14ac:dyDescent="0.25"/>
    <row r="6074" ht="13.5" customHeight="1" x14ac:dyDescent="0.25"/>
    <row r="6075" ht="13.5" customHeight="1" x14ac:dyDescent="0.25"/>
    <row r="6076" ht="13.5" customHeight="1" x14ac:dyDescent="0.25"/>
    <row r="6077" ht="13.5" customHeight="1" x14ac:dyDescent="0.25"/>
    <row r="6078" ht="12" customHeight="1" x14ac:dyDescent="0.25"/>
    <row r="6079" ht="12" customHeight="1" x14ac:dyDescent="0.25"/>
    <row r="6080" ht="12" customHeight="1" x14ac:dyDescent="0.25"/>
    <row r="6081" ht="12" customHeight="1" x14ac:dyDescent="0.25"/>
    <row r="6082" ht="20.25" customHeight="1" x14ac:dyDescent="0.25"/>
    <row r="6083" ht="13.5" customHeight="1" x14ac:dyDescent="0.25"/>
    <row r="6085" ht="13.5" customHeight="1" x14ac:dyDescent="0.25"/>
    <row r="6086" ht="13.5" customHeight="1" x14ac:dyDescent="0.25"/>
    <row r="6087" ht="13.5" customHeight="1" x14ac:dyDescent="0.25"/>
    <row r="6088" ht="13.5" customHeight="1" x14ac:dyDescent="0.25"/>
    <row r="6089" ht="12" customHeight="1" x14ac:dyDescent="0.25"/>
    <row r="6090" ht="12" customHeight="1" x14ac:dyDescent="0.25"/>
    <row r="6091" ht="12" customHeight="1" x14ac:dyDescent="0.25"/>
    <row r="6092" ht="12" customHeight="1" x14ac:dyDescent="0.25"/>
    <row r="6093" ht="20.25" customHeight="1" x14ac:dyDescent="0.25"/>
    <row r="6094" ht="13.5" customHeight="1" x14ac:dyDescent="0.25"/>
    <row r="6095" ht="13.5" customHeight="1" x14ac:dyDescent="0.25"/>
    <row r="6096" ht="13.5" customHeight="1" x14ac:dyDescent="0.25"/>
    <row r="6097" ht="13.5" customHeight="1" x14ac:dyDescent="0.25"/>
    <row r="6098" ht="13.5" customHeight="1" x14ac:dyDescent="0.25"/>
    <row r="6099" ht="13.5" customHeight="1" x14ac:dyDescent="0.25"/>
    <row r="6100" ht="13.5" customHeight="1" x14ac:dyDescent="0.25"/>
    <row r="6101" ht="12" customHeight="1" x14ac:dyDescent="0.25"/>
    <row r="6102" ht="12" customHeight="1" x14ac:dyDescent="0.25"/>
    <row r="6103" ht="12" customHeight="1" x14ac:dyDescent="0.25"/>
    <row r="6104" ht="12" customHeight="1" x14ac:dyDescent="0.25"/>
    <row r="6105" ht="20.25" customHeight="1" x14ac:dyDescent="0.25"/>
    <row r="6106" ht="13.5" customHeight="1" x14ac:dyDescent="0.25"/>
    <row r="6108" ht="13.5" customHeight="1" x14ac:dyDescent="0.25"/>
    <row r="6109" ht="13.5" customHeight="1" x14ac:dyDescent="0.25"/>
    <row r="6110" ht="13.5" customHeight="1" x14ac:dyDescent="0.25"/>
    <row r="6111" ht="13.5" customHeight="1" x14ac:dyDescent="0.25"/>
    <row r="6112" ht="12" customHeight="1" x14ac:dyDescent="0.25"/>
    <row r="6113" ht="12" customHeight="1" x14ac:dyDescent="0.25"/>
    <row r="6114" ht="12" customHeight="1" x14ac:dyDescent="0.25"/>
    <row r="6115" ht="12" customHeight="1" x14ac:dyDescent="0.25"/>
    <row r="6116" ht="20.25" customHeight="1" x14ac:dyDescent="0.25"/>
    <row r="6117" ht="13.5" customHeight="1" x14ac:dyDescent="0.25"/>
    <row r="6118" ht="13.5" customHeight="1" x14ac:dyDescent="0.25"/>
    <row r="6119" ht="13.5" customHeight="1" x14ac:dyDescent="0.25"/>
    <row r="6120" ht="13.5" customHeight="1" x14ac:dyDescent="0.25"/>
    <row r="6121" ht="13.5" customHeight="1" x14ac:dyDescent="0.25"/>
    <row r="6122" ht="13.5" customHeight="1" x14ac:dyDescent="0.25"/>
    <row r="6123" ht="13.5" customHeight="1" x14ac:dyDescent="0.25"/>
    <row r="6124" ht="12" customHeight="1" x14ac:dyDescent="0.25"/>
    <row r="6125" ht="12" customHeight="1" x14ac:dyDescent="0.25"/>
    <row r="6126" ht="12" customHeight="1" x14ac:dyDescent="0.25"/>
    <row r="6127" ht="12" customHeight="1" x14ac:dyDescent="0.25"/>
    <row r="6128" ht="20.25" customHeight="1" x14ac:dyDescent="0.25"/>
    <row r="6129" ht="13.5" customHeight="1" x14ac:dyDescent="0.25"/>
    <row r="6131" ht="13.5" customHeight="1" x14ac:dyDescent="0.25"/>
    <row r="6132" ht="13.5" customHeight="1" x14ac:dyDescent="0.25"/>
    <row r="6133" ht="13.5" customHeight="1" x14ac:dyDescent="0.25"/>
    <row r="6134" ht="13.5" customHeight="1" x14ac:dyDescent="0.25"/>
    <row r="6135" ht="12" customHeight="1" x14ac:dyDescent="0.25"/>
    <row r="6136" ht="12" customHeight="1" x14ac:dyDescent="0.25"/>
    <row r="6137" ht="12" customHeight="1" x14ac:dyDescent="0.25"/>
    <row r="6138" ht="12" customHeight="1" x14ac:dyDescent="0.25"/>
    <row r="6139" ht="20.25" customHeight="1" x14ac:dyDescent="0.25"/>
    <row r="6140" ht="13.5" customHeight="1" x14ac:dyDescent="0.25"/>
    <row r="6141" ht="13.5" customHeight="1" x14ac:dyDescent="0.25"/>
    <row r="6142" ht="13.5" customHeight="1" x14ac:dyDescent="0.25"/>
    <row r="6143" ht="13.5" customHeight="1" x14ac:dyDescent="0.25"/>
    <row r="6144" ht="13.5" customHeight="1" x14ac:dyDescent="0.25"/>
    <row r="6145" ht="13.5" customHeight="1" x14ac:dyDescent="0.25"/>
    <row r="6146" ht="13.5" customHeight="1" x14ac:dyDescent="0.25"/>
    <row r="6147" ht="12" customHeight="1" x14ac:dyDescent="0.25"/>
    <row r="6148" ht="12" customHeight="1" x14ac:dyDescent="0.25"/>
    <row r="6149" ht="12" customHeight="1" x14ac:dyDescent="0.25"/>
    <row r="6150" ht="12" customHeight="1" x14ac:dyDescent="0.25"/>
    <row r="6151" ht="20.25" customHeight="1" x14ac:dyDescent="0.25"/>
    <row r="6152" ht="13.5" customHeight="1" x14ac:dyDescent="0.25"/>
    <row r="6154" ht="13.5" customHeight="1" x14ac:dyDescent="0.25"/>
    <row r="6155" ht="13.5" customHeight="1" x14ac:dyDescent="0.25"/>
    <row r="6156" ht="13.5" customHeight="1" x14ac:dyDescent="0.25"/>
    <row r="6157" ht="13.5" customHeight="1" x14ac:dyDescent="0.25"/>
    <row r="6158" ht="12" customHeight="1" x14ac:dyDescent="0.25"/>
    <row r="6159" ht="12" customHeight="1" x14ac:dyDescent="0.25"/>
    <row r="6160" ht="12" customHeight="1" x14ac:dyDescent="0.25"/>
    <row r="6161" ht="12" customHeight="1" x14ac:dyDescent="0.25"/>
    <row r="6162" ht="20.25" customHeight="1" x14ac:dyDescent="0.25"/>
    <row r="6163" ht="13.5" customHeight="1" x14ac:dyDescent="0.25"/>
    <row r="6164" ht="13.5" customHeight="1" x14ac:dyDescent="0.25"/>
    <row r="6165" ht="13.5" customHeight="1" x14ac:dyDescent="0.25"/>
    <row r="6166" ht="13.5" customHeight="1" x14ac:dyDescent="0.25"/>
    <row r="6167" ht="13.5" customHeight="1" x14ac:dyDescent="0.25"/>
    <row r="6168" ht="13.5" customHeight="1" x14ac:dyDescent="0.25"/>
    <row r="6169" ht="13.5" customHeight="1" x14ac:dyDescent="0.25"/>
    <row r="6170" ht="12" customHeight="1" x14ac:dyDescent="0.25"/>
    <row r="6171" ht="12" customHeight="1" x14ac:dyDescent="0.25"/>
    <row r="6172" ht="12" customHeight="1" x14ac:dyDescent="0.25"/>
    <row r="6173" ht="12" customHeight="1" x14ac:dyDescent="0.25"/>
    <row r="6174" ht="20.25" customHeight="1" x14ac:dyDescent="0.25"/>
    <row r="6175" ht="13.5" customHeight="1" x14ac:dyDescent="0.25"/>
    <row r="6177" ht="13.5" customHeight="1" x14ac:dyDescent="0.25"/>
    <row r="6178" ht="13.5" customHeight="1" x14ac:dyDescent="0.25"/>
    <row r="6179" ht="13.5" customHeight="1" x14ac:dyDescent="0.25"/>
    <row r="6180" ht="13.5" customHeight="1" x14ac:dyDescent="0.25"/>
    <row r="6181" ht="12" customHeight="1" x14ac:dyDescent="0.25"/>
    <row r="6182" ht="12" customHeight="1" x14ac:dyDescent="0.25"/>
    <row r="6183" ht="12" customHeight="1" x14ac:dyDescent="0.25"/>
    <row r="6184" ht="12" customHeight="1" x14ac:dyDescent="0.25"/>
    <row r="6185" ht="20.25" customHeight="1" x14ac:dyDescent="0.25"/>
    <row r="6186" ht="13.5" customHeight="1" x14ac:dyDescent="0.25"/>
    <row r="6187" ht="13.5" customHeight="1" x14ac:dyDescent="0.25"/>
    <row r="6188" ht="13.5" customHeight="1" x14ac:dyDescent="0.25"/>
    <row r="6189" ht="13.5" customHeight="1" x14ac:dyDescent="0.25"/>
    <row r="6190" ht="13.5" customHeight="1" x14ac:dyDescent="0.25"/>
    <row r="6191" ht="13.5" customHeight="1" x14ac:dyDescent="0.25"/>
    <row r="6192" ht="13.5" customHeight="1" x14ac:dyDescent="0.25"/>
    <row r="6193" ht="12" customHeight="1" x14ac:dyDescent="0.25"/>
    <row r="6194" ht="12" customHeight="1" x14ac:dyDescent="0.25"/>
    <row r="6195" ht="12" customHeight="1" x14ac:dyDescent="0.25"/>
    <row r="6196" ht="12" customHeight="1" x14ac:dyDescent="0.25"/>
    <row r="6197" ht="20.25" customHeight="1" x14ac:dyDescent="0.25"/>
    <row r="6198" ht="13.5" customHeight="1" x14ac:dyDescent="0.25"/>
    <row r="6200" ht="13.5" customHeight="1" x14ac:dyDescent="0.25"/>
    <row r="6201" ht="13.5" customHeight="1" x14ac:dyDescent="0.25"/>
    <row r="6202" ht="13.5" customHeight="1" x14ac:dyDescent="0.25"/>
    <row r="6203" ht="13.5" customHeight="1" x14ac:dyDescent="0.25"/>
    <row r="6204" ht="12" customHeight="1" x14ac:dyDescent="0.25"/>
    <row r="6205" ht="12" customHeight="1" x14ac:dyDescent="0.25"/>
    <row r="6206" ht="12" customHeight="1" x14ac:dyDescent="0.25"/>
    <row r="6207" ht="12" customHeight="1" x14ac:dyDescent="0.25"/>
    <row r="6208" ht="20.25" customHeight="1" x14ac:dyDescent="0.25"/>
    <row r="6209" ht="13.5" customHeight="1" x14ac:dyDescent="0.25"/>
    <row r="6210" ht="13.5" customHeight="1" x14ac:dyDescent="0.25"/>
    <row r="6211" ht="13.5" customHeight="1" x14ac:dyDescent="0.25"/>
    <row r="6212" ht="13.5" customHeight="1" x14ac:dyDescent="0.25"/>
    <row r="6213" ht="13.5" customHeight="1" x14ac:dyDescent="0.25"/>
    <row r="6214" ht="13.5" customHeight="1" x14ac:dyDescent="0.25"/>
    <row r="6215" ht="13.5" customHeight="1" x14ac:dyDescent="0.25"/>
    <row r="6216" ht="12" customHeight="1" x14ac:dyDescent="0.25"/>
    <row r="6217" ht="12" customHeight="1" x14ac:dyDescent="0.25"/>
    <row r="6218" ht="12" customHeight="1" x14ac:dyDescent="0.25"/>
    <row r="6219" ht="12" customHeight="1" x14ac:dyDescent="0.25"/>
    <row r="6220" ht="20.25" customHeight="1" x14ac:dyDescent="0.25"/>
    <row r="6221" ht="13.5" customHeight="1" x14ac:dyDescent="0.25"/>
    <row r="6223" ht="13.5" customHeight="1" x14ac:dyDescent="0.25"/>
    <row r="6224" ht="13.5" customHeight="1" x14ac:dyDescent="0.25"/>
    <row r="6225" ht="13.5" customHeight="1" x14ac:dyDescent="0.25"/>
    <row r="6226" ht="13.5" customHeight="1" x14ac:dyDescent="0.25"/>
    <row r="6227" ht="12" customHeight="1" x14ac:dyDescent="0.25"/>
    <row r="6228" ht="12" customHeight="1" x14ac:dyDescent="0.25"/>
    <row r="6229" ht="12" customHeight="1" x14ac:dyDescent="0.25"/>
    <row r="6230" ht="12" customHeight="1" x14ac:dyDescent="0.25"/>
    <row r="6231" ht="20.25" customHeight="1" x14ac:dyDescent="0.25"/>
    <row r="6232" ht="13.5" customHeight="1" x14ac:dyDescent="0.25"/>
    <row r="6233" ht="13.5" customHeight="1" x14ac:dyDescent="0.25"/>
    <row r="6234" ht="13.5" customHeight="1" x14ac:dyDescent="0.25"/>
    <row r="6235" ht="13.5" customHeight="1" x14ac:dyDescent="0.25"/>
    <row r="6236" ht="13.5" customHeight="1" x14ac:dyDescent="0.25"/>
    <row r="6237" ht="13.5" customHeight="1" x14ac:dyDescent="0.25"/>
    <row r="6238" ht="13.5" customHeight="1" x14ac:dyDescent="0.25"/>
    <row r="6239" ht="12" customHeight="1" x14ac:dyDescent="0.25"/>
    <row r="6240" ht="12" customHeight="1" x14ac:dyDescent="0.25"/>
    <row r="6241" ht="12" customHeight="1" x14ac:dyDescent="0.25"/>
    <row r="6242" ht="12" customHeight="1" x14ac:dyDescent="0.25"/>
    <row r="6243" ht="20.25" customHeight="1" x14ac:dyDescent="0.25"/>
    <row r="6244" ht="13.5" customHeight="1" x14ac:dyDescent="0.25"/>
    <row r="6246" ht="13.5" customHeight="1" x14ac:dyDescent="0.25"/>
    <row r="6247" ht="13.5" customHeight="1" x14ac:dyDescent="0.25"/>
    <row r="6248" ht="13.5" customHeight="1" x14ac:dyDescent="0.25"/>
    <row r="6249" ht="13.5" customHeight="1" x14ac:dyDescent="0.25"/>
    <row r="6250" ht="12" customHeight="1" x14ac:dyDescent="0.25"/>
    <row r="6251" ht="12" customHeight="1" x14ac:dyDescent="0.25"/>
    <row r="6252" ht="12" customHeight="1" x14ac:dyDescent="0.25"/>
    <row r="6253" ht="12" customHeight="1" x14ac:dyDescent="0.25"/>
    <row r="6254" ht="20.25" customHeight="1" x14ac:dyDescent="0.25"/>
    <row r="6255" ht="13.5" customHeight="1" x14ac:dyDescent="0.25"/>
    <row r="6256" ht="13.5" customHeight="1" x14ac:dyDescent="0.25"/>
    <row r="6257" ht="13.5" customHeight="1" x14ac:dyDescent="0.25"/>
    <row r="6258" ht="13.5" customHeight="1" x14ac:dyDescent="0.25"/>
    <row r="6259" ht="13.5" customHeight="1" x14ac:dyDescent="0.25"/>
    <row r="6260" ht="13.5" customHeight="1" x14ac:dyDescent="0.25"/>
    <row r="6261" ht="13.5" customHeight="1" x14ac:dyDescent="0.25"/>
    <row r="6262" ht="12" customHeight="1" x14ac:dyDescent="0.25"/>
    <row r="6263" ht="12" customHeight="1" x14ac:dyDescent="0.25"/>
    <row r="6264" ht="12" customHeight="1" x14ac:dyDescent="0.25"/>
    <row r="6265" ht="12" customHeight="1" x14ac:dyDescent="0.25"/>
    <row r="6266" ht="20.25" customHeight="1" x14ac:dyDescent="0.25"/>
    <row r="6267" ht="13.5" customHeight="1" x14ac:dyDescent="0.25"/>
    <row r="6269" ht="13.5" customHeight="1" x14ac:dyDescent="0.25"/>
    <row r="6270" ht="13.5" customHeight="1" x14ac:dyDescent="0.25"/>
    <row r="6271" ht="13.5" customHeight="1" x14ac:dyDescent="0.25"/>
    <row r="6272" ht="13.5" customHeight="1" x14ac:dyDescent="0.25"/>
    <row r="6273" ht="12" customHeight="1" x14ac:dyDescent="0.25"/>
    <row r="6274" ht="12" customHeight="1" x14ac:dyDescent="0.25"/>
    <row r="6275" ht="12" customHeight="1" x14ac:dyDescent="0.25"/>
    <row r="6276" ht="12" customHeight="1" x14ac:dyDescent="0.25"/>
    <row r="6277" ht="20.25" customHeight="1" x14ac:dyDescent="0.25"/>
    <row r="6278" ht="13.5" customHeight="1" x14ac:dyDescent="0.25"/>
    <row r="6279" ht="13.5" customHeight="1" x14ac:dyDescent="0.25"/>
    <row r="6280" ht="13.5" customHeight="1" x14ac:dyDescent="0.25"/>
    <row r="6281" ht="13.5" customHeight="1" x14ac:dyDescent="0.25"/>
    <row r="6282" ht="13.5" customHeight="1" x14ac:dyDescent="0.25"/>
    <row r="6283" ht="13.5" customHeight="1" x14ac:dyDescent="0.25"/>
    <row r="6284" ht="13.5" customHeight="1" x14ac:dyDescent="0.25"/>
    <row r="6285" ht="12" customHeight="1" x14ac:dyDescent="0.25"/>
    <row r="6286" ht="12" customHeight="1" x14ac:dyDescent="0.25"/>
    <row r="6287" ht="12" customHeight="1" x14ac:dyDescent="0.25"/>
    <row r="6288" ht="12" customHeight="1" x14ac:dyDescent="0.25"/>
    <row r="6289" ht="20.25" customHeight="1" x14ac:dyDescent="0.25"/>
    <row r="6290" ht="13.5" customHeight="1" x14ac:dyDescent="0.25"/>
    <row r="6292" ht="13.5" customHeight="1" x14ac:dyDescent="0.25"/>
    <row r="6293" ht="13.5" customHeight="1" x14ac:dyDescent="0.25"/>
    <row r="6294" ht="13.5" customHeight="1" x14ac:dyDescent="0.25"/>
    <row r="6295" ht="13.5" customHeight="1" x14ac:dyDescent="0.25"/>
    <row r="6296" ht="12" customHeight="1" x14ac:dyDescent="0.25"/>
    <row r="6297" ht="12" customHeight="1" x14ac:dyDescent="0.25"/>
    <row r="6298" ht="12" customHeight="1" x14ac:dyDescent="0.25"/>
    <row r="6299" ht="12" customHeight="1" x14ac:dyDescent="0.25"/>
    <row r="6300" ht="20.25" customHeight="1" x14ac:dyDescent="0.25"/>
    <row r="6301" ht="13.5" customHeight="1" x14ac:dyDescent="0.25"/>
    <row r="6302" ht="13.5" customHeight="1" x14ac:dyDescent="0.25"/>
    <row r="6303" ht="13.5" customHeight="1" x14ac:dyDescent="0.25"/>
    <row r="6304" ht="13.5" customHeight="1" x14ac:dyDescent="0.25"/>
    <row r="6305" ht="13.5" customHeight="1" x14ac:dyDescent="0.25"/>
    <row r="6306" ht="13.5" customHeight="1" x14ac:dyDescent="0.25"/>
    <row r="6307" ht="13.5" customHeight="1" x14ac:dyDescent="0.25"/>
    <row r="6308" ht="12" customHeight="1" x14ac:dyDescent="0.25"/>
    <row r="6309" ht="12" customHeight="1" x14ac:dyDescent="0.25"/>
    <row r="6310" ht="12" customHeight="1" x14ac:dyDescent="0.25"/>
    <row r="6311" ht="12" customHeight="1" x14ac:dyDescent="0.25"/>
    <row r="6312" ht="20.25" customHeight="1" x14ac:dyDescent="0.25"/>
    <row r="6313" ht="13.5" customHeight="1" x14ac:dyDescent="0.25"/>
    <row r="6315" ht="13.5" customHeight="1" x14ac:dyDescent="0.25"/>
    <row r="6316" ht="13.5" customHeight="1" x14ac:dyDescent="0.25"/>
    <row r="6317" ht="13.5" customHeight="1" x14ac:dyDescent="0.25"/>
    <row r="6318" ht="13.5" customHeight="1" x14ac:dyDescent="0.25"/>
    <row r="6319" ht="12" customHeight="1" x14ac:dyDescent="0.25"/>
    <row r="6320" ht="12" customHeight="1" x14ac:dyDescent="0.25"/>
    <row r="6321" ht="12" customHeight="1" x14ac:dyDescent="0.25"/>
    <row r="6322" ht="12" customHeight="1" x14ac:dyDescent="0.25"/>
    <row r="6323" ht="20.25" customHeight="1" x14ac:dyDescent="0.25"/>
    <row r="6324" ht="13.5" customHeight="1" x14ac:dyDescent="0.25"/>
    <row r="6325" ht="13.5" customHeight="1" x14ac:dyDescent="0.25"/>
    <row r="6326" ht="13.5" customHeight="1" x14ac:dyDescent="0.25"/>
    <row r="6327" ht="13.5" customHeight="1" x14ac:dyDescent="0.25"/>
    <row r="6328" ht="13.5" customHeight="1" x14ac:dyDescent="0.25"/>
    <row r="6329" ht="13.5" customHeight="1" x14ac:dyDescent="0.25"/>
    <row r="6330" ht="13.5" customHeight="1" x14ac:dyDescent="0.25"/>
    <row r="6331" ht="12" customHeight="1" x14ac:dyDescent="0.25"/>
    <row r="6332" ht="12" customHeight="1" x14ac:dyDescent="0.25"/>
    <row r="6333" ht="12" customHeight="1" x14ac:dyDescent="0.25"/>
    <row r="6334" ht="12" customHeight="1" x14ac:dyDescent="0.25"/>
    <row r="6335" ht="20.25" customHeight="1" x14ac:dyDescent="0.25"/>
    <row r="6336" ht="13.5" customHeight="1" x14ac:dyDescent="0.25"/>
    <row r="6338" ht="13.5" customHeight="1" x14ac:dyDescent="0.25"/>
    <row r="6339" ht="13.5" customHeight="1" x14ac:dyDescent="0.25"/>
    <row r="6340" ht="13.5" customHeight="1" x14ac:dyDescent="0.25"/>
    <row r="6341" ht="13.5" customHeight="1" x14ac:dyDescent="0.25"/>
    <row r="6342" ht="12" customHeight="1" x14ac:dyDescent="0.25"/>
    <row r="6343" ht="12" customHeight="1" x14ac:dyDescent="0.25"/>
    <row r="6344" ht="12" customHeight="1" x14ac:dyDescent="0.25"/>
    <row r="6345" ht="12" customHeight="1" x14ac:dyDescent="0.25"/>
    <row r="6346" ht="20.25" customHeight="1" x14ac:dyDescent="0.25"/>
    <row r="6347" ht="13.5" customHeight="1" x14ac:dyDescent="0.25"/>
    <row r="6348" ht="13.5" customHeight="1" x14ac:dyDescent="0.25"/>
    <row r="6349" ht="13.5" customHeight="1" x14ac:dyDescent="0.25"/>
    <row r="6350" ht="13.5" customHeight="1" x14ac:dyDescent="0.25"/>
    <row r="6351" ht="13.5" customHeight="1" x14ac:dyDescent="0.25"/>
    <row r="6352" ht="13.5" customHeight="1" x14ac:dyDescent="0.25"/>
    <row r="6353" ht="13.5" customHeight="1" x14ac:dyDescent="0.25"/>
    <row r="6354" ht="12" customHeight="1" x14ac:dyDescent="0.25"/>
    <row r="6355" ht="12" customHeight="1" x14ac:dyDescent="0.25"/>
    <row r="6356" ht="12" customHeight="1" x14ac:dyDescent="0.25"/>
    <row r="6357" ht="12" customHeight="1" x14ac:dyDescent="0.25"/>
    <row r="6358" ht="20.25" customHeight="1" x14ac:dyDescent="0.25"/>
    <row r="6359" ht="13.5" customHeight="1" x14ac:dyDescent="0.25"/>
    <row r="6361" ht="13.5" customHeight="1" x14ac:dyDescent="0.25"/>
    <row r="6362" ht="13.5" customHeight="1" x14ac:dyDescent="0.25"/>
    <row r="6363" ht="13.5" customHeight="1" x14ac:dyDescent="0.25"/>
    <row r="6364" ht="13.5" customHeight="1" x14ac:dyDescent="0.25"/>
    <row r="6365" ht="12" customHeight="1" x14ac:dyDescent="0.25"/>
    <row r="6366" ht="12" customHeight="1" x14ac:dyDescent="0.25"/>
    <row r="6367" ht="12" customHeight="1" x14ac:dyDescent="0.25"/>
    <row r="6368" ht="12" customHeight="1" x14ac:dyDescent="0.25"/>
    <row r="6369" ht="20.25" customHeight="1" x14ac:dyDescent="0.25"/>
    <row r="6370" ht="13.5" customHeight="1" x14ac:dyDescent="0.25"/>
    <row r="6371" ht="13.5" customHeight="1" x14ac:dyDescent="0.25"/>
    <row r="6372" ht="13.5" customHeight="1" x14ac:dyDescent="0.25"/>
    <row r="6373" ht="13.5" customHeight="1" x14ac:dyDescent="0.25"/>
    <row r="6374" ht="13.5" customHeight="1" x14ac:dyDescent="0.25"/>
    <row r="6375" ht="13.5" customHeight="1" x14ac:dyDescent="0.25"/>
    <row r="6376" ht="13.5" customHeight="1" x14ac:dyDescent="0.25"/>
    <row r="6377" ht="12" customHeight="1" x14ac:dyDescent="0.25"/>
    <row r="6378" ht="12" customHeight="1" x14ac:dyDescent="0.25"/>
    <row r="6379" ht="12" customHeight="1" x14ac:dyDescent="0.25"/>
    <row r="6380" ht="12" customHeight="1" x14ac:dyDescent="0.25"/>
    <row r="6381" ht="20.25" customHeight="1" x14ac:dyDescent="0.25"/>
    <row r="6382" ht="13.5" customHeight="1" x14ac:dyDescent="0.25"/>
    <row r="6384" ht="13.5" customHeight="1" x14ac:dyDescent="0.25"/>
    <row r="6385" ht="13.5" customHeight="1" x14ac:dyDescent="0.25"/>
    <row r="6386" ht="13.5" customHeight="1" x14ac:dyDescent="0.25"/>
    <row r="6387" ht="13.5" customHeight="1" x14ac:dyDescent="0.25"/>
    <row r="6388" ht="12" customHeight="1" x14ac:dyDescent="0.25"/>
    <row r="6389" ht="12" customHeight="1" x14ac:dyDescent="0.25"/>
    <row r="6390" ht="12" customHeight="1" x14ac:dyDescent="0.25"/>
    <row r="6391" ht="12" customHeight="1" x14ac:dyDescent="0.25"/>
    <row r="6392" ht="20.25" customHeight="1" x14ac:dyDescent="0.25"/>
    <row r="6393" ht="13.5" customHeight="1" x14ac:dyDescent="0.25"/>
    <row r="6394" ht="13.5" customHeight="1" x14ac:dyDescent="0.25"/>
    <row r="6395" ht="13.5" customHeight="1" x14ac:dyDescent="0.25"/>
    <row r="6396" ht="13.5" customHeight="1" x14ac:dyDescent="0.25"/>
    <row r="6397" ht="13.5" customHeight="1" x14ac:dyDescent="0.25"/>
    <row r="6398" ht="13.5" customHeight="1" x14ac:dyDescent="0.25"/>
    <row r="6399" ht="13.5" customHeight="1" x14ac:dyDescent="0.25"/>
    <row r="6400" ht="12" customHeight="1" x14ac:dyDescent="0.25"/>
    <row r="6401" ht="12" customHeight="1" x14ac:dyDescent="0.25"/>
    <row r="6402" ht="12" customHeight="1" x14ac:dyDescent="0.25"/>
    <row r="6403" ht="12" customHeight="1" x14ac:dyDescent="0.25"/>
    <row r="6404" ht="20.25" customHeight="1" x14ac:dyDescent="0.25"/>
    <row r="6405" ht="13.5" customHeight="1" x14ac:dyDescent="0.25"/>
    <row r="6407" ht="13.5" customHeight="1" x14ac:dyDescent="0.25"/>
    <row r="6408" ht="13.5" customHeight="1" x14ac:dyDescent="0.25"/>
    <row r="6409" ht="13.5" customHeight="1" x14ac:dyDescent="0.25"/>
    <row r="6410" ht="13.5" customHeight="1" x14ac:dyDescent="0.25"/>
    <row r="6411" ht="12" customHeight="1" x14ac:dyDescent="0.25"/>
    <row r="6412" ht="12" customHeight="1" x14ac:dyDescent="0.25"/>
    <row r="6413" ht="12" customHeight="1" x14ac:dyDescent="0.25"/>
    <row r="6414" ht="12" customHeight="1" x14ac:dyDescent="0.25"/>
    <row r="6415" ht="20.25" customHeight="1" x14ac:dyDescent="0.25"/>
    <row r="6416" ht="13.5" customHeight="1" x14ac:dyDescent="0.25"/>
    <row r="6417" ht="13.5" customHeight="1" x14ac:dyDescent="0.25"/>
    <row r="6418" ht="13.5" customHeight="1" x14ac:dyDescent="0.25"/>
    <row r="6419" ht="13.5" customHeight="1" x14ac:dyDescent="0.25"/>
    <row r="6420" ht="13.5" customHeight="1" x14ac:dyDescent="0.25"/>
    <row r="6421" ht="13.5" customHeight="1" x14ac:dyDescent="0.25"/>
    <row r="6422" ht="13.5" customHeight="1" x14ac:dyDescent="0.25"/>
    <row r="6423" ht="12" customHeight="1" x14ac:dyDescent="0.25"/>
    <row r="6424" ht="12" customHeight="1" x14ac:dyDescent="0.25"/>
    <row r="6425" ht="12" customHeight="1" x14ac:dyDescent="0.25"/>
    <row r="6426" ht="12" customHeight="1" x14ac:dyDescent="0.25"/>
    <row r="6427" ht="20.25" customHeight="1" x14ac:dyDescent="0.25"/>
    <row r="6428" ht="13.5" customHeight="1" x14ac:dyDescent="0.25"/>
    <row r="6430" ht="13.5" customHeight="1" x14ac:dyDescent="0.25"/>
    <row r="6431" ht="13.5" customHeight="1" x14ac:dyDescent="0.25"/>
    <row r="6432" ht="13.5" customHeight="1" x14ac:dyDescent="0.25"/>
    <row r="6433" ht="13.5" customHeight="1" x14ac:dyDescent="0.25"/>
    <row r="6434" ht="12" customHeight="1" x14ac:dyDescent="0.25"/>
    <row r="6435" ht="12" customHeight="1" x14ac:dyDescent="0.25"/>
    <row r="6436" ht="12" customHeight="1" x14ac:dyDescent="0.25"/>
    <row r="6437" ht="12" customHeight="1" x14ac:dyDescent="0.25"/>
    <row r="6438" ht="20.25" customHeight="1" x14ac:dyDescent="0.25"/>
    <row r="6439" ht="13.5" customHeight="1" x14ac:dyDescent="0.25"/>
    <row r="6440" ht="13.5" customHeight="1" x14ac:dyDescent="0.25"/>
    <row r="6441" ht="13.5" customHeight="1" x14ac:dyDescent="0.25"/>
    <row r="6442" ht="13.5" customHeight="1" x14ac:dyDescent="0.25"/>
    <row r="6443" ht="13.5" customHeight="1" x14ac:dyDescent="0.25"/>
    <row r="6444" ht="13.5" customHeight="1" x14ac:dyDescent="0.25"/>
    <row r="6445" ht="13.5" customHeight="1" x14ac:dyDescent="0.25"/>
    <row r="6446" ht="12" customHeight="1" x14ac:dyDescent="0.25"/>
    <row r="6447" ht="12" customHeight="1" x14ac:dyDescent="0.25"/>
    <row r="6448" ht="12" customHeight="1" x14ac:dyDescent="0.25"/>
    <row r="6449" ht="12" customHeight="1" x14ac:dyDescent="0.25"/>
    <row r="6450" ht="20.25" customHeight="1" x14ac:dyDescent="0.25"/>
    <row r="6451" ht="13.5" customHeight="1" x14ac:dyDescent="0.25"/>
    <row r="6453" ht="13.5" customHeight="1" x14ac:dyDescent="0.25"/>
    <row r="6454" ht="13.5" customHeight="1" x14ac:dyDescent="0.25"/>
    <row r="6455" ht="13.5" customHeight="1" x14ac:dyDescent="0.25"/>
    <row r="6456" ht="13.5" customHeight="1" x14ac:dyDescent="0.25"/>
    <row r="6457" ht="12" customHeight="1" x14ac:dyDescent="0.25"/>
    <row r="6458" ht="12" customHeight="1" x14ac:dyDescent="0.25"/>
    <row r="6459" ht="12" customHeight="1" x14ac:dyDescent="0.25"/>
    <row r="6460" ht="12" customHeight="1" x14ac:dyDescent="0.25"/>
    <row r="6461" ht="20.25" customHeight="1" x14ac:dyDescent="0.25"/>
    <row r="6462" ht="13.5" customHeight="1" x14ac:dyDescent="0.25"/>
    <row r="6463" ht="13.5" customHeight="1" x14ac:dyDescent="0.25"/>
    <row r="6464" ht="13.5" customHeight="1" x14ac:dyDescent="0.25"/>
    <row r="6465" ht="13.5" customHeight="1" x14ac:dyDescent="0.25"/>
    <row r="6466" ht="13.5" customHeight="1" x14ac:dyDescent="0.25"/>
    <row r="6467" ht="13.5" customHeight="1" x14ac:dyDescent="0.25"/>
    <row r="6468" ht="13.5" customHeight="1" x14ac:dyDescent="0.25"/>
    <row r="6469" ht="12" customHeight="1" x14ac:dyDescent="0.25"/>
    <row r="6470" ht="12" customHeight="1" x14ac:dyDescent="0.25"/>
    <row r="6471" ht="12" customHeight="1" x14ac:dyDescent="0.25"/>
    <row r="6472" ht="12" customHeight="1" x14ac:dyDescent="0.25"/>
    <row r="6473" ht="20.25" customHeight="1" x14ac:dyDescent="0.25"/>
    <row r="6474" ht="13.5" customHeight="1" x14ac:dyDescent="0.25"/>
    <row r="6476" ht="13.5" customHeight="1" x14ac:dyDescent="0.25"/>
    <row r="6477" ht="13.5" customHeight="1" x14ac:dyDescent="0.25"/>
    <row r="6478" ht="13.5" customHeight="1" x14ac:dyDescent="0.25"/>
    <row r="6479" ht="13.5" customHeight="1" x14ac:dyDescent="0.25"/>
    <row r="6480" ht="12" customHeight="1" x14ac:dyDescent="0.25"/>
    <row r="6481" ht="12" customHeight="1" x14ac:dyDescent="0.25"/>
    <row r="6482" ht="12" customHeight="1" x14ac:dyDescent="0.25"/>
    <row r="6483" ht="12" customHeight="1" x14ac:dyDescent="0.25"/>
    <row r="6484" ht="20.25" customHeight="1" x14ac:dyDescent="0.25"/>
    <row r="6485" ht="13.5" customHeight="1" x14ac:dyDescent="0.25"/>
    <row r="6486" ht="13.5" customHeight="1" x14ac:dyDescent="0.25"/>
    <row r="6487" ht="13.5" customHeight="1" x14ac:dyDescent="0.25"/>
    <row r="6488" ht="13.5" customHeight="1" x14ac:dyDescent="0.25"/>
    <row r="6489" ht="13.5" customHeight="1" x14ac:dyDescent="0.25"/>
    <row r="6490" ht="13.5" customHeight="1" x14ac:dyDescent="0.25"/>
    <row r="6491" ht="13.5" customHeight="1" x14ac:dyDescent="0.25"/>
    <row r="6492" ht="12" customHeight="1" x14ac:dyDescent="0.25"/>
    <row r="6493" ht="12" customHeight="1" x14ac:dyDescent="0.25"/>
    <row r="6494" ht="12" customHeight="1" x14ac:dyDescent="0.25"/>
    <row r="6495" ht="12" customHeight="1" x14ac:dyDescent="0.25"/>
    <row r="6496" ht="20.25" customHeight="1" x14ac:dyDescent="0.25"/>
    <row r="6497" ht="13.5" customHeight="1" x14ac:dyDescent="0.25"/>
    <row r="6499" ht="13.5" customHeight="1" x14ac:dyDescent="0.25"/>
    <row r="6500" ht="13.5" customHeight="1" x14ac:dyDescent="0.25"/>
    <row r="6501" ht="13.5" customHeight="1" x14ac:dyDescent="0.25"/>
    <row r="6502" ht="13.5" customHeight="1" x14ac:dyDescent="0.25"/>
    <row r="6503" ht="12" customHeight="1" x14ac:dyDescent="0.25"/>
    <row r="6504" ht="12" customHeight="1" x14ac:dyDescent="0.25"/>
    <row r="6505" ht="12" customHeight="1" x14ac:dyDescent="0.25"/>
    <row r="6506" ht="12" customHeight="1" x14ac:dyDescent="0.25"/>
    <row r="6507" ht="20.25" customHeight="1" x14ac:dyDescent="0.25"/>
    <row r="6508" ht="13.5" customHeight="1" x14ac:dyDescent="0.25"/>
    <row r="6509" ht="13.5" customHeight="1" x14ac:dyDescent="0.25"/>
    <row r="6510" ht="13.5" customHeight="1" x14ac:dyDescent="0.25"/>
    <row r="6511" ht="13.5" customHeight="1" x14ac:dyDescent="0.25"/>
    <row r="6512" ht="13.5" customHeight="1" x14ac:dyDescent="0.25"/>
    <row r="6513" ht="13.5" customHeight="1" x14ac:dyDescent="0.25"/>
    <row r="6514" ht="13.5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20.25" customHeight="1" x14ac:dyDescent="0.25"/>
    <row r="6520" ht="13.5" customHeight="1" x14ac:dyDescent="0.25"/>
    <row r="6522" ht="13.5" customHeight="1" x14ac:dyDescent="0.25"/>
    <row r="6523" ht="13.5" customHeight="1" x14ac:dyDescent="0.25"/>
    <row r="6524" ht="13.5" customHeight="1" x14ac:dyDescent="0.25"/>
    <row r="6525" ht="13.5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20.25" customHeight="1" x14ac:dyDescent="0.25"/>
    <row r="6531" ht="13.5" customHeight="1" x14ac:dyDescent="0.25"/>
    <row r="6532" ht="13.5" customHeight="1" x14ac:dyDescent="0.25"/>
    <row r="6533" ht="13.5" customHeight="1" x14ac:dyDescent="0.25"/>
    <row r="6534" ht="13.5" customHeight="1" x14ac:dyDescent="0.25"/>
    <row r="6535" ht="13.5" customHeight="1" x14ac:dyDescent="0.25"/>
    <row r="6536" ht="13.5" customHeight="1" x14ac:dyDescent="0.25"/>
    <row r="6537" ht="13.5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20.25" customHeight="1" x14ac:dyDescent="0.25"/>
    <row r="6543" ht="13.5" customHeight="1" x14ac:dyDescent="0.25"/>
    <row r="6545" ht="13.5" customHeight="1" x14ac:dyDescent="0.25"/>
    <row r="6546" ht="13.5" customHeight="1" x14ac:dyDescent="0.25"/>
    <row r="6547" ht="13.5" customHeight="1" x14ac:dyDescent="0.25"/>
    <row r="6548" ht="13.5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20.25" customHeight="1" x14ac:dyDescent="0.25"/>
    <row r="6554" ht="13.5" customHeight="1" x14ac:dyDescent="0.25"/>
    <row r="6555" ht="13.5" customHeight="1" x14ac:dyDescent="0.25"/>
    <row r="6556" ht="13.5" customHeight="1" x14ac:dyDescent="0.25"/>
    <row r="6557" ht="13.5" customHeight="1" x14ac:dyDescent="0.25"/>
    <row r="6558" ht="13.5" customHeight="1" x14ac:dyDescent="0.25"/>
    <row r="6559" ht="13.5" customHeight="1" x14ac:dyDescent="0.25"/>
    <row r="6560" ht="13.5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20.25" customHeight="1" x14ac:dyDescent="0.25"/>
    <row r="6566" ht="13.5" customHeight="1" x14ac:dyDescent="0.25"/>
    <row r="6568" ht="13.5" customHeight="1" x14ac:dyDescent="0.25"/>
    <row r="6569" ht="13.5" customHeight="1" x14ac:dyDescent="0.25"/>
    <row r="6570" ht="13.5" customHeight="1" x14ac:dyDescent="0.25"/>
    <row r="6571" ht="13.5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20.25" customHeight="1" x14ac:dyDescent="0.25"/>
    <row r="6577" ht="13.5" customHeight="1" x14ac:dyDescent="0.25"/>
    <row r="6578" ht="13.5" customHeight="1" x14ac:dyDescent="0.25"/>
    <row r="6579" ht="13.5" customHeight="1" x14ac:dyDescent="0.25"/>
    <row r="6580" ht="13.5" customHeight="1" x14ac:dyDescent="0.25"/>
    <row r="6581" ht="13.5" customHeight="1" x14ac:dyDescent="0.25"/>
    <row r="6582" ht="13.5" customHeight="1" x14ac:dyDescent="0.25"/>
    <row r="6583" ht="13.5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20.25" customHeight="1" x14ac:dyDescent="0.25"/>
    <row r="6589" ht="13.5" customHeight="1" x14ac:dyDescent="0.25"/>
    <row r="6591" ht="13.5" customHeight="1" x14ac:dyDescent="0.25"/>
    <row r="6592" ht="13.5" customHeight="1" x14ac:dyDescent="0.25"/>
    <row r="6593" ht="13.5" customHeight="1" x14ac:dyDescent="0.25"/>
    <row r="6594" ht="13.5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20.25" customHeight="1" x14ac:dyDescent="0.25"/>
    <row r="6600" ht="13.5" customHeight="1" x14ac:dyDescent="0.25"/>
    <row r="6601" ht="13.5" customHeight="1" x14ac:dyDescent="0.25"/>
    <row r="6602" ht="13.5" customHeight="1" x14ac:dyDescent="0.25"/>
    <row r="6603" ht="13.5" customHeight="1" x14ac:dyDescent="0.25"/>
    <row r="6604" ht="13.5" customHeight="1" x14ac:dyDescent="0.25"/>
    <row r="6605" ht="13.5" customHeight="1" x14ac:dyDescent="0.25"/>
    <row r="6606" ht="13.5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20.25" customHeight="1" x14ac:dyDescent="0.25"/>
    <row r="6612" ht="13.5" customHeight="1" x14ac:dyDescent="0.25"/>
    <row r="6614" ht="13.5" customHeight="1" x14ac:dyDescent="0.25"/>
    <row r="6615" ht="13.5" customHeight="1" x14ac:dyDescent="0.25"/>
    <row r="6616" ht="13.5" customHeight="1" x14ac:dyDescent="0.25"/>
    <row r="6617" ht="13.5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20.25" customHeight="1" x14ac:dyDescent="0.25"/>
    <row r="6623" ht="13.5" customHeight="1" x14ac:dyDescent="0.25"/>
    <row r="6624" ht="13.5" customHeight="1" x14ac:dyDescent="0.25"/>
    <row r="6625" ht="13.5" customHeight="1" x14ac:dyDescent="0.25"/>
    <row r="6626" ht="13.5" customHeight="1" x14ac:dyDescent="0.25"/>
    <row r="6627" ht="13.5" customHeight="1" x14ac:dyDescent="0.25"/>
    <row r="6628" ht="13.5" customHeight="1" x14ac:dyDescent="0.25"/>
    <row r="6629" ht="13.5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20.25" customHeight="1" x14ac:dyDescent="0.25"/>
    <row r="6635" ht="13.5" customHeight="1" x14ac:dyDescent="0.25"/>
    <row r="6637" ht="13.5" customHeight="1" x14ac:dyDescent="0.25"/>
    <row r="6638" ht="13.5" customHeight="1" x14ac:dyDescent="0.25"/>
    <row r="6639" ht="13.5" customHeight="1" x14ac:dyDescent="0.25"/>
    <row r="6640" ht="13.5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20.25" customHeight="1" x14ac:dyDescent="0.25"/>
    <row r="6646" ht="13.5" customHeight="1" x14ac:dyDescent="0.25"/>
    <row r="6647" ht="13.5" customHeight="1" x14ac:dyDescent="0.25"/>
    <row r="6648" ht="13.5" customHeight="1" x14ac:dyDescent="0.25"/>
    <row r="6649" ht="13.5" customHeight="1" x14ac:dyDescent="0.25"/>
    <row r="6650" ht="13.5" customHeight="1" x14ac:dyDescent="0.25"/>
    <row r="6651" ht="13.5" customHeight="1" x14ac:dyDescent="0.25"/>
    <row r="6652" ht="13.5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20.25" customHeight="1" x14ac:dyDescent="0.25"/>
    <row r="6658" ht="13.5" customHeight="1" x14ac:dyDescent="0.25"/>
    <row r="6660" ht="13.5" customHeight="1" x14ac:dyDescent="0.25"/>
    <row r="6661" ht="13.5" customHeight="1" x14ac:dyDescent="0.25"/>
    <row r="6662" ht="13.5" customHeight="1" x14ac:dyDescent="0.25"/>
    <row r="6663" ht="13.5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20.25" customHeight="1" x14ac:dyDescent="0.25"/>
    <row r="6669" ht="13.5" customHeight="1" x14ac:dyDescent="0.25"/>
    <row r="6670" ht="13.5" customHeight="1" x14ac:dyDescent="0.25"/>
    <row r="6671" ht="13.5" customHeight="1" x14ac:dyDescent="0.25"/>
    <row r="6672" ht="13.5" customHeight="1" x14ac:dyDescent="0.25"/>
    <row r="6673" ht="13.5" customHeight="1" x14ac:dyDescent="0.25"/>
    <row r="6674" ht="13.5" customHeight="1" x14ac:dyDescent="0.25"/>
    <row r="6675" ht="13.5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20.25" customHeight="1" x14ac:dyDescent="0.25"/>
    <row r="6681" ht="13.5" customHeight="1" x14ac:dyDescent="0.25"/>
    <row r="6683" ht="13.5" customHeight="1" x14ac:dyDescent="0.25"/>
    <row r="6684" ht="13.5" customHeight="1" x14ac:dyDescent="0.25"/>
    <row r="6685" ht="13.5" customHeight="1" x14ac:dyDescent="0.25"/>
    <row r="6686" ht="13.5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20.25" customHeight="1" x14ac:dyDescent="0.25"/>
    <row r="6692" ht="13.5" customHeight="1" x14ac:dyDescent="0.25"/>
    <row r="6693" ht="13.5" customHeight="1" x14ac:dyDescent="0.25"/>
    <row r="6694" ht="13.5" customHeight="1" x14ac:dyDescent="0.25"/>
    <row r="6695" ht="13.5" customHeight="1" x14ac:dyDescent="0.25"/>
    <row r="6696" ht="13.5" customHeight="1" x14ac:dyDescent="0.25"/>
    <row r="6697" ht="13.5" customHeight="1" x14ac:dyDescent="0.25"/>
    <row r="6698" ht="13.5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20.25" customHeight="1" x14ac:dyDescent="0.25"/>
    <row r="6704" ht="13.5" customHeight="1" x14ac:dyDescent="0.25"/>
    <row r="6706" ht="13.5" customHeight="1" x14ac:dyDescent="0.25"/>
    <row r="6707" ht="13.5" customHeight="1" x14ac:dyDescent="0.25"/>
    <row r="6708" ht="13.5" customHeight="1" x14ac:dyDescent="0.25"/>
    <row r="6709" ht="13.5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20.25" customHeight="1" x14ac:dyDescent="0.25"/>
    <row r="6715" ht="13.5" customHeight="1" x14ac:dyDescent="0.25"/>
    <row r="6716" ht="13.5" customHeight="1" x14ac:dyDescent="0.25"/>
    <row r="6717" ht="13.5" customHeight="1" x14ac:dyDescent="0.25"/>
    <row r="6718" ht="13.5" customHeight="1" x14ac:dyDescent="0.25"/>
    <row r="6719" ht="13.5" customHeight="1" x14ac:dyDescent="0.25"/>
    <row r="6720" ht="13.5" customHeight="1" x14ac:dyDescent="0.25"/>
    <row r="6721" ht="13.5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20.25" customHeight="1" x14ac:dyDescent="0.25"/>
    <row r="6727" ht="13.5" customHeight="1" x14ac:dyDescent="0.25"/>
    <row r="6729" ht="13.5" customHeight="1" x14ac:dyDescent="0.25"/>
    <row r="6730" ht="13.5" customHeight="1" x14ac:dyDescent="0.25"/>
    <row r="6731" ht="13.5" customHeight="1" x14ac:dyDescent="0.25"/>
    <row r="6732" ht="13.5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20.25" customHeight="1" x14ac:dyDescent="0.25"/>
    <row r="6738" ht="13.5" customHeight="1" x14ac:dyDescent="0.25"/>
    <row r="6739" ht="13.5" customHeight="1" x14ac:dyDescent="0.25"/>
    <row r="6740" ht="13.5" customHeight="1" x14ac:dyDescent="0.25"/>
    <row r="6741" ht="13.5" customHeight="1" x14ac:dyDescent="0.25"/>
    <row r="6742" ht="13.5" customHeight="1" x14ac:dyDescent="0.25"/>
    <row r="6743" ht="13.5" customHeight="1" x14ac:dyDescent="0.25"/>
    <row r="6744" ht="13.5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20.25" customHeight="1" x14ac:dyDescent="0.25"/>
    <row r="6750" ht="13.5" customHeight="1" x14ac:dyDescent="0.25"/>
    <row r="6752" ht="13.5" customHeight="1" x14ac:dyDescent="0.25"/>
    <row r="6753" ht="13.5" customHeight="1" x14ac:dyDescent="0.25"/>
    <row r="6754" ht="13.5" customHeight="1" x14ac:dyDescent="0.25"/>
    <row r="6755" ht="13.5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20.25" customHeight="1" x14ac:dyDescent="0.25"/>
    <row r="6761" ht="13.5" customHeight="1" x14ac:dyDescent="0.25"/>
    <row r="6762" ht="13.5" customHeight="1" x14ac:dyDescent="0.25"/>
    <row r="6763" ht="13.5" customHeight="1" x14ac:dyDescent="0.25"/>
    <row r="6764" ht="13.5" customHeight="1" x14ac:dyDescent="0.25"/>
    <row r="6765" ht="13.5" customHeight="1" x14ac:dyDescent="0.25"/>
    <row r="6766" ht="13.5" customHeight="1" x14ac:dyDescent="0.25"/>
    <row r="6767" ht="13.5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20.25" customHeight="1" x14ac:dyDescent="0.25"/>
    <row r="6773" ht="13.5" customHeight="1" x14ac:dyDescent="0.25"/>
    <row r="6775" ht="13.5" customHeight="1" x14ac:dyDescent="0.25"/>
    <row r="6776" ht="13.5" customHeight="1" x14ac:dyDescent="0.25"/>
    <row r="6777" ht="13.5" customHeight="1" x14ac:dyDescent="0.25"/>
    <row r="6778" ht="13.5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20.25" customHeight="1" x14ac:dyDescent="0.25"/>
    <row r="6784" ht="13.5" customHeight="1" x14ac:dyDescent="0.25"/>
    <row r="6785" ht="13.5" customHeight="1" x14ac:dyDescent="0.25"/>
    <row r="6786" ht="13.5" customHeight="1" x14ac:dyDescent="0.25"/>
    <row r="6787" ht="13.5" customHeight="1" x14ac:dyDescent="0.25"/>
    <row r="6788" ht="13.5" customHeight="1" x14ac:dyDescent="0.25"/>
    <row r="6789" ht="13.5" customHeight="1" x14ac:dyDescent="0.25"/>
    <row r="6790" ht="13.5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20.25" customHeight="1" x14ac:dyDescent="0.25"/>
    <row r="6796" ht="13.5" customHeight="1" x14ac:dyDescent="0.25"/>
    <row r="6798" ht="13.5" customHeight="1" x14ac:dyDescent="0.25"/>
    <row r="6799" ht="13.5" customHeight="1" x14ac:dyDescent="0.25"/>
    <row r="6800" ht="13.5" customHeight="1" x14ac:dyDescent="0.25"/>
    <row r="6801" ht="13.5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20.25" customHeight="1" x14ac:dyDescent="0.25"/>
    <row r="6807" ht="13.5" customHeight="1" x14ac:dyDescent="0.25"/>
    <row r="6808" ht="13.5" customHeight="1" x14ac:dyDescent="0.25"/>
    <row r="6809" ht="13.5" customHeight="1" x14ac:dyDescent="0.25"/>
    <row r="6810" ht="13.5" customHeight="1" x14ac:dyDescent="0.25"/>
    <row r="6811" ht="13.5" customHeight="1" x14ac:dyDescent="0.25"/>
    <row r="6812" ht="13.5" customHeight="1" x14ac:dyDescent="0.25"/>
    <row r="6813" ht="13.5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20.25" customHeight="1" x14ac:dyDescent="0.25"/>
    <row r="6819" ht="13.5" customHeight="1" x14ac:dyDescent="0.25"/>
    <row r="6821" ht="13.5" customHeight="1" x14ac:dyDescent="0.25"/>
    <row r="6822" ht="13.5" customHeight="1" x14ac:dyDescent="0.25"/>
    <row r="6823" ht="13.5" customHeight="1" x14ac:dyDescent="0.25"/>
    <row r="6824" ht="13.5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20.25" customHeight="1" x14ac:dyDescent="0.25"/>
    <row r="6830" ht="13.5" customHeight="1" x14ac:dyDescent="0.25"/>
    <row r="6831" ht="13.5" customHeight="1" x14ac:dyDescent="0.25"/>
    <row r="6832" ht="13.5" customHeight="1" x14ac:dyDescent="0.25"/>
    <row r="6833" ht="13.5" customHeight="1" x14ac:dyDescent="0.25"/>
    <row r="6834" ht="13.5" customHeight="1" x14ac:dyDescent="0.25"/>
    <row r="6835" ht="13.5" customHeight="1" x14ac:dyDescent="0.25"/>
    <row r="6836" ht="13.5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20.25" customHeight="1" x14ac:dyDescent="0.25"/>
    <row r="6842" ht="13.5" customHeight="1" x14ac:dyDescent="0.25"/>
    <row r="6844" ht="13.5" customHeight="1" x14ac:dyDescent="0.25"/>
    <row r="6845" ht="13.5" customHeight="1" x14ac:dyDescent="0.25"/>
    <row r="6846" ht="13.5" customHeight="1" x14ac:dyDescent="0.25"/>
    <row r="6847" ht="13.5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20.25" customHeight="1" x14ac:dyDescent="0.25"/>
    <row r="6853" ht="13.5" customHeight="1" x14ac:dyDescent="0.25"/>
    <row r="6854" ht="13.5" customHeight="1" x14ac:dyDescent="0.25"/>
    <row r="6855" ht="13.5" customHeight="1" x14ac:dyDescent="0.25"/>
    <row r="6856" ht="13.5" customHeight="1" x14ac:dyDescent="0.25"/>
    <row r="6857" ht="13.5" customHeight="1" x14ac:dyDescent="0.25"/>
    <row r="6858" ht="13.5" customHeight="1" x14ac:dyDescent="0.25"/>
    <row r="6859" ht="13.5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20.25" customHeight="1" x14ac:dyDescent="0.25"/>
    <row r="6865" ht="13.5" customHeight="1" x14ac:dyDescent="0.25"/>
    <row r="6867" ht="13.5" customHeight="1" x14ac:dyDescent="0.25"/>
    <row r="6868" ht="13.5" customHeight="1" x14ac:dyDescent="0.25"/>
    <row r="6869" ht="13.5" customHeight="1" x14ac:dyDescent="0.25"/>
    <row r="6870" ht="13.5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20.25" customHeight="1" x14ac:dyDescent="0.25"/>
    <row r="6876" ht="13.5" customHeight="1" x14ac:dyDescent="0.25"/>
    <row r="6877" ht="13.5" customHeight="1" x14ac:dyDescent="0.25"/>
    <row r="6878" ht="13.5" customHeight="1" x14ac:dyDescent="0.25"/>
    <row r="6879" ht="13.5" customHeight="1" x14ac:dyDescent="0.25"/>
    <row r="6880" ht="13.5" customHeight="1" x14ac:dyDescent="0.25"/>
    <row r="6881" ht="13.5" customHeight="1" x14ac:dyDescent="0.25"/>
    <row r="6882" ht="13.5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20.25" customHeight="1" x14ac:dyDescent="0.25"/>
    <row r="6888" ht="13.5" customHeight="1" x14ac:dyDescent="0.25"/>
    <row r="6890" ht="13.5" customHeight="1" x14ac:dyDescent="0.25"/>
    <row r="6891" ht="13.5" customHeight="1" x14ac:dyDescent="0.25"/>
    <row r="6892" ht="13.5" customHeight="1" x14ac:dyDescent="0.25"/>
    <row r="6893" ht="13.5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20.25" customHeight="1" x14ac:dyDescent="0.25"/>
    <row r="6899" ht="13.5" customHeight="1" x14ac:dyDescent="0.25"/>
    <row r="6900" ht="13.5" customHeight="1" x14ac:dyDescent="0.25"/>
    <row r="6901" ht="13.5" customHeight="1" x14ac:dyDescent="0.25"/>
    <row r="6902" ht="13.5" customHeight="1" x14ac:dyDescent="0.25"/>
    <row r="6903" ht="13.5" customHeight="1" x14ac:dyDescent="0.25"/>
    <row r="6904" ht="13.5" customHeight="1" x14ac:dyDescent="0.25"/>
    <row r="6905" ht="13.5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20.25" customHeight="1" x14ac:dyDescent="0.25"/>
    <row r="6911" ht="13.5" customHeight="1" x14ac:dyDescent="0.25"/>
    <row r="6913" ht="13.5" customHeight="1" x14ac:dyDescent="0.25"/>
    <row r="6914" ht="13.5" customHeight="1" x14ac:dyDescent="0.25"/>
    <row r="6915" ht="13.5" customHeight="1" x14ac:dyDescent="0.25"/>
    <row r="6916" ht="13.5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20.25" customHeight="1" x14ac:dyDescent="0.25"/>
    <row r="6922" ht="13.5" customHeight="1" x14ac:dyDescent="0.25"/>
    <row r="6923" ht="13.5" customHeight="1" x14ac:dyDescent="0.25"/>
    <row r="6924" ht="13.5" customHeight="1" x14ac:dyDescent="0.25"/>
    <row r="6925" ht="13.5" customHeight="1" x14ac:dyDescent="0.25"/>
    <row r="6926" ht="13.5" customHeight="1" x14ac:dyDescent="0.25"/>
    <row r="6927" ht="13.5" customHeight="1" x14ac:dyDescent="0.25"/>
    <row r="6928" ht="13.5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20.25" customHeight="1" x14ac:dyDescent="0.25"/>
    <row r="6934" ht="13.5" customHeight="1" x14ac:dyDescent="0.25"/>
    <row r="6936" ht="13.5" customHeight="1" x14ac:dyDescent="0.25"/>
    <row r="6937" ht="13.5" customHeight="1" x14ac:dyDescent="0.25"/>
    <row r="6938" ht="13.5" customHeight="1" x14ac:dyDescent="0.25"/>
    <row r="6939" ht="13.5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20.25" customHeight="1" x14ac:dyDescent="0.25"/>
    <row r="6945" ht="13.5" customHeight="1" x14ac:dyDescent="0.25"/>
    <row r="6946" ht="13.5" customHeight="1" x14ac:dyDescent="0.25"/>
    <row r="6947" ht="13.5" customHeight="1" x14ac:dyDescent="0.25"/>
    <row r="6948" ht="13.5" customHeight="1" x14ac:dyDescent="0.25"/>
    <row r="6949" ht="13.5" customHeight="1" x14ac:dyDescent="0.25"/>
    <row r="6950" ht="13.5" customHeight="1" x14ac:dyDescent="0.25"/>
    <row r="6951" ht="13.5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20.25" customHeight="1" x14ac:dyDescent="0.25"/>
    <row r="6957" ht="13.5" customHeight="1" x14ac:dyDescent="0.25"/>
    <row r="6959" ht="13.5" customHeight="1" x14ac:dyDescent="0.25"/>
    <row r="6960" ht="13.5" customHeight="1" x14ac:dyDescent="0.25"/>
    <row r="6961" ht="13.5" customHeight="1" x14ac:dyDescent="0.25"/>
    <row r="6962" ht="13.5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20.25" customHeight="1" x14ac:dyDescent="0.25"/>
    <row r="6968" ht="13.5" customHeight="1" x14ac:dyDescent="0.25"/>
    <row r="6969" ht="13.5" customHeight="1" x14ac:dyDescent="0.25"/>
    <row r="6970" ht="13.5" customHeight="1" x14ac:dyDescent="0.25"/>
    <row r="6971" ht="13.5" customHeight="1" x14ac:dyDescent="0.25"/>
    <row r="6972" ht="13.5" customHeight="1" x14ac:dyDescent="0.25"/>
    <row r="6973" ht="13.5" customHeight="1" x14ac:dyDescent="0.25"/>
    <row r="6974" ht="13.5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20.25" customHeight="1" x14ac:dyDescent="0.25"/>
    <row r="6980" ht="13.5" customHeight="1" x14ac:dyDescent="0.25"/>
    <row r="6982" ht="13.5" customHeight="1" x14ac:dyDescent="0.25"/>
    <row r="6983" ht="13.5" customHeight="1" x14ac:dyDescent="0.25"/>
    <row r="6984" ht="13.5" customHeight="1" x14ac:dyDescent="0.25"/>
    <row r="6985" ht="13.5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20.25" customHeight="1" x14ac:dyDescent="0.25"/>
    <row r="6991" ht="13.5" customHeight="1" x14ac:dyDescent="0.25"/>
    <row r="6992" ht="13.5" customHeight="1" x14ac:dyDescent="0.25"/>
    <row r="6993" ht="13.5" customHeight="1" x14ac:dyDescent="0.25"/>
    <row r="6994" ht="13.5" customHeight="1" x14ac:dyDescent="0.25"/>
    <row r="6995" ht="13.5" customHeight="1" x14ac:dyDescent="0.25"/>
    <row r="6996" ht="13.5" customHeight="1" x14ac:dyDescent="0.25"/>
    <row r="6997" ht="13.5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20.25" customHeight="1" x14ac:dyDescent="0.25"/>
    <row r="7003" ht="13.5" customHeight="1" x14ac:dyDescent="0.25"/>
    <row r="7005" ht="13.5" customHeight="1" x14ac:dyDescent="0.25"/>
    <row r="7006" ht="13.5" customHeight="1" x14ac:dyDescent="0.25"/>
    <row r="7007" ht="13.5" customHeight="1" x14ac:dyDescent="0.25"/>
    <row r="7008" ht="13.5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20.25" customHeight="1" x14ac:dyDescent="0.25"/>
    <row r="7014" ht="13.5" customHeight="1" x14ac:dyDescent="0.25"/>
    <row r="7015" ht="13.5" customHeight="1" x14ac:dyDescent="0.25"/>
    <row r="7016" ht="13.5" customHeight="1" x14ac:dyDescent="0.25"/>
    <row r="7017" ht="13.5" customHeight="1" x14ac:dyDescent="0.25"/>
    <row r="7018" ht="13.5" customHeight="1" x14ac:dyDescent="0.25"/>
    <row r="7019" ht="13.5" customHeight="1" x14ac:dyDescent="0.25"/>
    <row r="7020" ht="13.5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20.25" customHeight="1" x14ac:dyDescent="0.25"/>
    <row r="7026" ht="13.5" customHeight="1" x14ac:dyDescent="0.25"/>
    <row r="7028" ht="13.5" customHeight="1" x14ac:dyDescent="0.25"/>
    <row r="7029" ht="13.5" customHeight="1" x14ac:dyDescent="0.25"/>
    <row r="7030" ht="13.5" customHeight="1" x14ac:dyDescent="0.25"/>
    <row r="7031" ht="13.5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20.25" customHeight="1" x14ac:dyDescent="0.25"/>
    <row r="7037" ht="13.5" customHeight="1" x14ac:dyDescent="0.25"/>
    <row r="7038" ht="13.5" customHeight="1" x14ac:dyDescent="0.25"/>
    <row r="7039" ht="13.5" customHeight="1" x14ac:dyDescent="0.25"/>
    <row r="7040" ht="13.5" customHeight="1" x14ac:dyDescent="0.25"/>
    <row r="7041" ht="13.5" customHeight="1" x14ac:dyDescent="0.25"/>
    <row r="7042" ht="13.5" customHeight="1" x14ac:dyDescent="0.25"/>
    <row r="7043" ht="13.5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20.25" customHeight="1" x14ac:dyDescent="0.25"/>
    <row r="7049" ht="13.5" customHeight="1" x14ac:dyDescent="0.25"/>
    <row r="7051" ht="13.5" customHeight="1" x14ac:dyDescent="0.25"/>
    <row r="7052" ht="13.5" customHeight="1" x14ac:dyDescent="0.25"/>
    <row r="7053" ht="13.5" customHeight="1" x14ac:dyDescent="0.25"/>
    <row r="7054" ht="13.5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20.25" customHeight="1" x14ac:dyDescent="0.25"/>
    <row r="7060" ht="13.5" customHeight="1" x14ac:dyDescent="0.25"/>
    <row r="7061" ht="13.5" customHeight="1" x14ac:dyDescent="0.25"/>
    <row r="7062" ht="13.5" customHeight="1" x14ac:dyDescent="0.25"/>
    <row r="7063" ht="13.5" customHeight="1" x14ac:dyDescent="0.25"/>
    <row r="7064" ht="13.5" customHeight="1" x14ac:dyDescent="0.25"/>
    <row r="7065" ht="13.5" customHeight="1" x14ac:dyDescent="0.25"/>
    <row r="7066" ht="13.5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20.25" customHeight="1" x14ac:dyDescent="0.25"/>
    <row r="7072" ht="13.5" customHeight="1" x14ac:dyDescent="0.25"/>
    <row r="7074" ht="13.5" customHeight="1" x14ac:dyDescent="0.25"/>
    <row r="7075" ht="13.5" customHeight="1" x14ac:dyDescent="0.25"/>
    <row r="7076" ht="13.5" customHeight="1" x14ac:dyDescent="0.25"/>
    <row r="7077" ht="13.5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20.25" customHeight="1" x14ac:dyDescent="0.25"/>
    <row r="7083" ht="13.5" customHeight="1" x14ac:dyDescent="0.25"/>
    <row r="7084" ht="13.5" customHeight="1" x14ac:dyDescent="0.25"/>
    <row r="7085" ht="13.5" customHeight="1" x14ac:dyDescent="0.25"/>
    <row r="7086" ht="13.5" customHeight="1" x14ac:dyDescent="0.25"/>
    <row r="7087" ht="13.5" customHeight="1" x14ac:dyDescent="0.25"/>
    <row r="7088" ht="13.5" customHeight="1" x14ac:dyDescent="0.25"/>
    <row r="7089" ht="13.5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20.25" customHeight="1" x14ac:dyDescent="0.25"/>
    <row r="7095" ht="13.5" customHeight="1" x14ac:dyDescent="0.25"/>
    <row r="7097" ht="13.5" customHeight="1" x14ac:dyDescent="0.25"/>
    <row r="7098" ht="13.5" customHeight="1" x14ac:dyDescent="0.25"/>
    <row r="7099" ht="13.5" customHeight="1" x14ac:dyDescent="0.25"/>
    <row r="7100" ht="13.5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20.25" customHeight="1" x14ac:dyDescent="0.25"/>
    <row r="7106" ht="13.5" customHeight="1" x14ac:dyDescent="0.25"/>
    <row r="7107" ht="13.5" customHeight="1" x14ac:dyDescent="0.25"/>
    <row r="7108" ht="13.5" customHeight="1" x14ac:dyDescent="0.25"/>
    <row r="7109" ht="13.5" customHeight="1" x14ac:dyDescent="0.25"/>
    <row r="7110" ht="13.5" customHeight="1" x14ac:dyDescent="0.25"/>
    <row r="7111" ht="13.5" customHeight="1" x14ac:dyDescent="0.25"/>
    <row r="7112" ht="13.5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20.25" customHeight="1" x14ac:dyDescent="0.25"/>
    <row r="7118" ht="13.5" customHeight="1" x14ac:dyDescent="0.25"/>
    <row r="7120" ht="13.5" customHeight="1" x14ac:dyDescent="0.25"/>
    <row r="7121" ht="13.5" customHeight="1" x14ac:dyDescent="0.25"/>
    <row r="7122" ht="13.5" customHeight="1" x14ac:dyDescent="0.25"/>
    <row r="7123" ht="13.5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20.25" customHeight="1" x14ac:dyDescent="0.25"/>
    <row r="7129" ht="13.5" customHeight="1" x14ac:dyDescent="0.25"/>
    <row r="7130" ht="13.5" customHeight="1" x14ac:dyDescent="0.25"/>
    <row r="7131" ht="13.5" customHeight="1" x14ac:dyDescent="0.25"/>
    <row r="7132" ht="13.5" customHeight="1" x14ac:dyDescent="0.25"/>
    <row r="7133" ht="13.5" customHeight="1" x14ac:dyDescent="0.25"/>
    <row r="7134" ht="13.5" customHeight="1" x14ac:dyDescent="0.25"/>
    <row r="7135" ht="13.5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20.25" customHeight="1" x14ac:dyDescent="0.25"/>
    <row r="7141" ht="13.5" customHeight="1" x14ac:dyDescent="0.25"/>
    <row r="7143" ht="13.5" customHeight="1" x14ac:dyDescent="0.25"/>
    <row r="7144" ht="13.5" customHeight="1" x14ac:dyDescent="0.25"/>
    <row r="7145" ht="13.5" customHeight="1" x14ac:dyDescent="0.25"/>
    <row r="7146" ht="13.5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20.25" customHeight="1" x14ac:dyDescent="0.25"/>
    <row r="7152" ht="13.5" customHeight="1" x14ac:dyDescent="0.25"/>
    <row r="7153" ht="13.5" customHeight="1" x14ac:dyDescent="0.25"/>
    <row r="7154" ht="13.5" customHeight="1" x14ac:dyDescent="0.25"/>
    <row r="7155" ht="13.5" customHeight="1" x14ac:dyDescent="0.25"/>
    <row r="7156" ht="13.5" customHeight="1" x14ac:dyDescent="0.25"/>
    <row r="7157" ht="13.5" customHeight="1" x14ac:dyDescent="0.25"/>
    <row r="7158" ht="13.5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20.25" customHeight="1" x14ac:dyDescent="0.25"/>
    <row r="7164" ht="13.5" customHeight="1" x14ac:dyDescent="0.25"/>
    <row r="7166" ht="13.5" customHeight="1" x14ac:dyDescent="0.25"/>
    <row r="7167" ht="13.5" customHeight="1" x14ac:dyDescent="0.25"/>
    <row r="7168" ht="13.5" customHeight="1" x14ac:dyDescent="0.25"/>
    <row r="7169" ht="13.5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20.25" customHeight="1" x14ac:dyDescent="0.25"/>
    <row r="7175" ht="13.5" customHeight="1" x14ac:dyDescent="0.25"/>
    <row r="7176" ht="13.5" customHeight="1" x14ac:dyDescent="0.25"/>
    <row r="7177" ht="13.5" customHeight="1" x14ac:dyDescent="0.25"/>
    <row r="7178" ht="13.5" customHeight="1" x14ac:dyDescent="0.25"/>
    <row r="7179" ht="13.5" customHeight="1" x14ac:dyDescent="0.25"/>
    <row r="7180" ht="13.5" customHeight="1" x14ac:dyDescent="0.25"/>
    <row r="7181" ht="13.5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20.25" customHeight="1" x14ac:dyDescent="0.25"/>
    <row r="7187" ht="13.5" customHeight="1" x14ac:dyDescent="0.25"/>
    <row r="7189" ht="13.5" customHeight="1" x14ac:dyDescent="0.25"/>
    <row r="7190" ht="13.5" customHeight="1" x14ac:dyDescent="0.25"/>
    <row r="7191" ht="13.5" customHeight="1" x14ac:dyDescent="0.25"/>
    <row r="7192" ht="13.5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20.25" customHeight="1" x14ac:dyDescent="0.25"/>
    <row r="7198" ht="13.5" customHeight="1" x14ac:dyDescent="0.25"/>
    <row r="7199" ht="13.5" customHeight="1" x14ac:dyDescent="0.25"/>
    <row r="7200" ht="13.5" customHeight="1" x14ac:dyDescent="0.25"/>
    <row r="7201" ht="13.5" customHeight="1" x14ac:dyDescent="0.25"/>
    <row r="7202" ht="13.5" customHeight="1" x14ac:dyDescent="0.25"/>
    <row r="7203" ht="13.5" customHeight="1" x14ac:dyDescent="0.25"/>
    <row r="7204" ht="13.5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20.25" customHeight="1" x14ac:dyDescent="0.25"/>
    <row r="7210" ht="13.5" customHeight="1" x14ac:dyDescent="0.25"/>
    <row r="7212" ht="13.5" customHeight="1" x14ac:dyDescent="0.25"/>
    <row r="7213" ht="13.5" customHeight="1" x14ac:dyDescent="0.25"/>
    <row r="7214" ht="13.5" customHeight="1" x14ac:dyDescent="0.25"/>
    <row r="7215" ht="13.5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20.25" customHeight="1" x14ac:dyDescent="0.25"/>
    <row r="7221" ht="13.5" customHeight="1" x14ac:dyDescent="0.25"/>
    <row r="7222" ht="13.5" customHeight="1" x14ac:dyDescent="0.25"/>
    <row r="7223" ht="13.5" customHeight="1" x14ac:dyDescent="0.25"/>
    <row r="7224" ht="13.5" customHeight="1" x14ac:dyDescent="0.25"/>
    <row r="7225" ht="13.5" customHeight="1" x14ac:dyDescent="0.25"/>
    <row r="7226" ht="13.5" customHeight="1" x14ac:dyDescent="0.25"/>
    <row r="7227" ht="13.5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20.25" customHeight="1" x14ac:dyDescent="0.25"/>
    <row r="7233" ht="13.5" customHeight="1" x14ac:dyDescent="0.25"/>
    <row r="7235" ht="13.5" customHeight="1" x14ac:dyDescent="0.25"/>
    <row r="7236" ht="13.5" customHeight="1" x14ac:dyDescent="0.25"/>
    <row r="7237" ht="13.5" customHeight="1" x14ac:dyDescent="0.25"/>
    <row r="7238" ht="13.5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20.25" customHeight="1" x14ac:dyDescent="0.25"/>
    <row r="7244" ht="13.5" customHeight="1" x14ac:dyDescent="0.25"/>
    <row r="7245" ht="13.5" customHeight="1" x14ac:dyDescent="0.25"/>
    <row r="7246" ht="13.5" customHeight="1" x14ac:dyDescent="0.25"/>
    <row r="7247" ht="13.5" customHeight="1" x14ac:dyDescent="0.25"/>
    <row r="7248" ht="13.5" customHeight="1" x14ac:dyDescent="0.25"/>
    <row r="7249" ht="13.5" customHeight="1" x14ac:dyDescent="0.25"/>
    <row r="7250" ht="13.5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20.25" customHeight="1" x14ac:dyDescent="0.25"/>
    <row r="7256" ht="13.5" customHeight="1" x14ac:dyDescent="0.25"/>
    <row r="7258" ht="13.5" customHeight="1" x14ac:dyDescent="0.25"/>
    <row r="7259" ht="13.5" customHeight="1" x14ac:dyDescent="0.25"/>
    <row r="7260" ht="13.5" customHeight="1" x14ac:dyDescent="0.25"/>
    <row r="7261" ht="13.5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20.25" customHeight="1" x14ac:dyDescent="0.25"/>
    <row r="7267" ht="13.5" customHeight="1" x14ac:dyDescent="0.25"/>
    <row r="7268" ht="13.5" customHeight="1" x14ac:dyDescent="0.25"/>
    <row r="7269" ht="13.5" customHeight="1" x14ac:dyDescent="0.25"/>
    <row r="7270" ht="13.5" customHeight="1" x14ac:dyDescent="0.25"/>
    <row r="7271" ht="13.5" customHeight="1" x14ac:dyDescent="0.25"/>
    <row r="7272" ht="13.5" customHeight="1" x14ac:dyDescent="0.25"/>
    <row r="7273" ht="13.5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20.25" customHeight="1" x14ac:dyDescent="0.25"/>
    <row r="7279" ht="13.5" customHeight="1" x14ac:dyDescent="0.25"/>
    <row r="7281" ht="13.5" customHeight="1" x14ac:dyDescent="0.25"/>
    <row r="7282" ht="13.5" customHeight="1" x14ac:dyDescent="0.25"/>
    <row r="7283" ht="13.5" customHeight="1" x14ac:dyDescent="0.25"/>
    <row r="7284" ht="13.5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20.25" customHeight="1" x14ac:dyDescent="0.25"/>
    <row r="7290" ht="13.5" customHeight="1" x14ac:dyDescent="0.25"/>
    <row r="7291" ht="13.5" customHeight="1" x14ac:dyDescent="0.25"/>
    <row r="7292" ht="13.5" customHeight="1" x14ac:dyDescent="0.25"/>
    <row r="7293" ht="13.5" customHeight="1" x14ac:dyDescent="0.25"/>
    <row r="7294" ht="13.5" customHeight="1" x14ac:dyDescent="0.25"/>
    <row r="7295" ht="13.5" customHeight="1" x14ac:dyDescent="0.25"/>
    <row r="7296" ht="13.5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20.25" customHeight="1" x14ac:dyDescent="0.25"/>
    <row r="7302" ht="13.5" customHeight="1" x14ac:dyDescent="0.25"/>
    <row r="7304" ht="13.5" customHeight="1" x14ac:dyDescent="0.25"/>
    <row r="7305" ht="13.5" customHeight="1" x14ac:dyDescent="0.25"/>
    <row r="7306" ht="13.5" customHeight="1" x14ac:dyDescent="0.25"/>
    <row r="7307" ht="13.5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20.25" customHeight="1" x14ac:dyDescent="0.25"/>
    <row r="7313" ht="13.5" customHeight="1" x14ac:dyDescent="0.25"/>
    <row r="7314" ht="13.5" customHeight="1" x14ac:dyDescent="0.25"/>
    <row r="7315" ht="13.5" customHeight="1" x14ac:dyDescent="0.25"/>
    <row r="7316" ht="13.5" customHeight="1" x14ac:dyDescent="0.25"/>
    <row r="7317" ht="13.5" customHeight="1" x14ac:dyDescent="0.25"/>
    <row r="7318" ht="13.5" customHeight="1" x14ac:dyDescent="0.25"/>
    <row r="7319" ht="13.5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20.25" customHeight="1" x14ac:dyDescent="0.25"/>
    <row r="7325" ht="13.5" customHeight="1" x14ac:dyDescent="0.25"/>
    <row r="7327" ht="13.5" customHeight="1" x14ac:dyDescent="0.25"/>
    <row r="7328" ht="13.5" customHeight="1" x14ac:dyDescent="0.25"/>
    <row r="7329" ht="13.5" customHeight="1" x14ac:dyDescent="0.25"/>
    <row r="7330" ht="13.5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20.25" customHeight="1" x14ac:dyDescent="0.25"/>
    <row r="7336" ht="13.5" customHeight="1" x14ac:dyDescent="0.25"/>
    <row r="7337" ht="13.5" customHeight="1" x14ac:dyDescent="0.25"/>
    <row r="7338" ht="13.5" customHeight="1" x14ac:dyDescent="0.25"/>
    <row r="7339" ht="13.5" customHeight="1" x14ac:dyDescent="0.25"/>
    <row r="7340" ht="13.5" customHeight="1" x14ac:dyDescent="0.25"/>
    <row r="7341" ht="13.5" customHeight="1" x14ac:dyDescent="0.25"/>
    <row r="7342" ht="13.5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20.25" customHeight="1" x14ac:dyDescent="0.25"/>
    <row r="7348" ht="13.5" customHeight="1" x14ac:dyDescent="0.25"/>
    <row r="7350" ht="13.5" customHeight="1" x14ac:dyDescent="0.25"/>
    <row r="7351" ht="13.5" customHeight="1" x14ac:dyDescent="0.25"/>
    <row r="7352" ht="13.5" customHeight="1" x14ac:dyDescent="0.25"/>
    <row r="7353" ht="13.5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20.25" customHeight="1" x14ac:dyDescent="0.25"/>
    <row r="7359" ht="13.5" customHeight="1" x14ac:dyDescent="0.25"/>
    <row r="7360" ht="13.5" customHeight="1" x14ac:dyDescent="0.25"/>
    <row r="7361" ht="13.5" customHeight="1" x14ac:dyDescent="0.25"/>
    <row r="7362" ht="13.5" customHeight="1" x14ac:dyDescent="0.25"/>
    <row r="7363" ht="13.5" customHeight="1" x14ac:dyDescent="0.25"/>
    <row r="7364" ht="13.5" customHeight="1" x14ac:dyDescent="0.25"/>
    <row r="7365" ht="13.5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20.25" customHeight="1" x14ac:dyDescent="0.25"/>
    <row r="7371" ht="13.5" customHeight="1" x14ac:dyDescent="0.25"/>
    <row r="7373" ht="13.5" customHeight="1" x14ac:dyDescent="0.25"/>
    <row r="7374" ht="13.5" customHeight="1" x14ac:dyDescent="0.25"/>
    <row r="7375" ht="13.5" customHeight="1" x14ac:dyDescent="0.25"/>
    <row r="7376" ht="13.5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20.25" customHeight="1" x14ac:dyDescent="0.25"/>
    <row r="7382" ht="13.5" customHeight="1" x14ac:dyDescent="0.25"/>
    <row r="7383" ht="13.5" customHeight="1" x14ac:dyDescent="0.25"/>
    <row r="7384" ht="13.5" customHeight="1" x14ac:dyDescent="0.25"/>
    <row r="7385" ht="13.5" customHeight="1" x14ac:dyDescent="0.25"/>
    <row r="7386" ht="13.5" customHeight="1" x14ac:dyDescent="0.25"/>
    <row r="7387" ht="13.5" customHeight="1" x14ac:dyDescent="0.25"/>
    <row r="7388" ht="13.5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20.25" customHeight="1" x14ac:dyDescent="0.25"/>
    <row r="7394" ht="13.5" customHeight="1" x14ac:dyDescent="0.25"/>
    <row r="7396" ht="13.5" customHeight="1" x14ac:dyDescent="0.25"/>
    <row r="7397" ht="13.5" customHeight="1" x14ac:dyDescent="0.25"/>
    <row r="7398" ht="13.5" customHeight="1" x14ac:dyDescent="0.25"/>
    <row r="7399" ht="13.5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20.25" customHeight="1" x14ac:dyDescent="0.25"/>
    <row r="7405" ht="13.5" customHeight="1" x14ac:dyDescent="0.25"/>
    <row r="7406" ht="13.5" customHeight="1" x14ac:dyDescent="0.25"/>
    <row r="7407" ht="13.5" customHeight="1" x14ac:dyDescent="0.25"/>
    <row r="7408" ht="13.5" customHeight="1" x14ac:dyDescent="0.25"/>
    <row r="7409" ht="13.5" customHeight="1" x14ac:dyDescent="0.25"/>
    <row r="7410" ht="13.5" customHeight="1" x14ac:dyDescent="0.25"/>
    <row r="7411" ht="13.5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20.25" customHeight="1" x14ac:dyDescent="0.25"/>
    <row r="7417" ht="13.5" customHeight="1" x14ac:dyDescent="0.25"/>
    <row r="7419" ht="13.5" customHeight="1" x14ac:dyDescent="0.25"/>
    <row r="7420" ht="13.5" customHeight="1" x14ac:dyDescent="0.25"/>
    <row r="7421" ht="13.5" customHeight="1" x14ac:dyDescent="0.25"/>
    <row r="7422" ht="13.5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20.25" customHeight="1" x14ac:dyDescent="0.25"/>
    <row r="7428" ht="13.5" customHeight="1" x14ac:dyDescent="0.25"/>
    <row r="7429" ht="13.5" customHeight="1" x14ac:dyDescent="0.25"/>
    <row r="7430" ht="13.5" customHeight="1" x14ac:dyDescent="0.25"/>
    <row r="7431" ht="13.5" customHeight="1" x14ac:dyDescent="0.25"/>
    <row r="7432" ht="13.5" customHeight="1" x14ac:dyDescent="0.25"/>
    <row r="7433" ht="13.5" customHeight="1" x14ac:dyDescent="0.25"/>
    <row r="7434" ht="13.5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20.25" customHeight="1" x14ac:dyDescent="0.25"/>
    <row r="7440" ht="13.5" customHeight="1" x14ac:dyDescent="0.25"/>
    <row r="7442" ht="13.5" customHeight="1" x14ac:dyDescent="0.25"/>
    <row r="7443" ht="13.5" customHeight="1" x14ac:dyDescent="0.25"/>
    <row r="7444" ht="13.5" customHeight="1" x14ac:dyDescent="0.25"/>
    <row r="7445" ht="13.5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20.25" customHeight="1" x14ac:dyDescent="0.25"/>
    <row r="7451" ht="13.5" customHeight="1" x14ac:dyDescent="0.25"/>
    <row r="7452" ht="13.5" customHeight="1" x14ac:dyDescent="0.25"/>
    <row r="7453" ht="13.5" customHeight="1" x14ac:dyDescent="0.25"/>
    <row r="7454" ht="13.5" customHeight="1" x14ac:dyDescent="0.25"/>
    <row r="7455" ht="13.5" customHeight="1" x14ac:dyDescent="0.25"/>
    <row r="7456" ht="13.5" customHeight="1" x14ac:dyDescent="0.25"/>
    <row r="7457" ht="13.5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20.25" customHeight="1" x14ac:dyDescent="0.25"/>
    <row r="7463" ht="13.5" customHeight="1" x14ac:dyDescent="0.25"/>
    <row r="7465" ht="13.5" customHeight="1" x14ac:dyDescent="0.25"/>
    <row r="7466" ht="13.5" customHeight="1" x14ac:dyDescent="0.25"/>
    <row r="7467" ht="13.5" customHeight="1" x14ac:dyDescent="0.25"/>
    <row r="7468" ht="13.5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20.25" customHeight="1" x14ac:dyDescent="0.25"/>
    <row r="7474" ht="13.5" customHeight="1" x14ac:dyDescent="0.25"/>
    <row r="7475" ht="13.5" customHeight="1" x14ac:dyDescent="0.25"/>
    <row r="7476" ht="13.5" customHeight="1" x14ac:dyDescent="0.25"/>
    <row r="7477" ht="13.5" customHeight="1" x14ac:dyDescent="0.25"/>
    <row r="7478" ht="13.5" customHeight="1" x14ac:dyDescent="0.25"/>
    <row r="7479" ht="13.5" customHeight="1" x14ac:dyDescent="0.25"/>
    <row r="7480" ht="13.5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20.25" customHeight="1" x14ac:dyDescent="0.25"/>
    <row r="7486" ht="13.5" customHeight="1" x14ac:dyDescent="0.25"/>
    <row r="7488" ht="13.5" customHeight="1" x14ac:dyDescent="0.25"/>
    <row r="7489" ht="13.5" customHeight="1" x14ac:dyDescent="0.25"/>
    <row r="7490" ht="13.5" customHeight="1" x14ac:dyDescent="0.25"/>
    <row r="7491" ht="13.5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20.25" customHeight="1" x14ac:dyDescent="0.25"/>
    <row r="7497" ht="13.5" customHeight="1" x14ac:dyDescent="0.25"/>
    <row r="7498" ht="13.5" customHeight="1" x14ac:dyDescent="0.25"/>
    <row r="7499" ht="13.5" customHeight="1" x14ac:dyDescent="0.25"/>
    <row r="7500" ht="13.5" customHeight="1" x14ac:dyDescent="0.25"/>
    <row r="7501" ht="13.5" customHeight="1" x14ac:dyDescent="0.25"/>
    <row r="7502" ht="13.5" customHeight="1" x14ac:dyDescent="0.25"/>
    <row r="7503" ht="13.5" customHeight="1" x14ac:dyDescent="0.25"/>
    <row r="7504" ht="12" customHeight="1" x14ac:dyDescent="0.25"/>
    <row r="7505" ht="12" customHeight="1" x14ac:dyDescent="0.25"/>
    <row r="7506" ht="12" customHeight="1" x14ac:dyDescent="0.25"/>
    <row r="7507" ht="12" customHeight="1" x14ac:dyDescent="0.25"/>
    <row r="7508" ht="20.25" customHeight="1" x14ac:dyDescent="0.25"/>
    <row r="7509" ht="13.5" customHeight="1" x14ac:dyDescent="0.25"/>
    <row r="7511" ht="13.5" customHeight="1" x14ac:dyDescent="0.25"/>
    <row r="7512" ht="13.5" customHeight="1" x14ac:dyDescent="0.25"/>
    <row r="7513" ht="13.5" customHeight="1" x14ac:dyDescent="0.25"/>
    <row r="7514" ht="13.5" customHeight="1" x14ac:dyDescent="0.25"/>
    <row r="7515" ht="12" customHeight="1" x14ac:dyDescent="0.25"/>
    <row r="7516" ht="12" customHeight="1" x14ac:dyDescent="0.25"/>
    <row r="7517" ht="12" customHeight="1" x14ac:dyDescent="0.25"/>
    <row r="7518" ht="12" customHeight="1" x14ac:dyDescent="0.25"/>
    <row r="7519" ht="20.25" customHeight="1" x14ac:dyDescent="0.25"/>
    <row r="7520" ht="13.5" customHeight="1" x14ac:dyDescent="0.25"/>
    <row r="7521" ht="13.5" customHeight="1" x14ac:dyDescent="0.25"/>
    <row r="7522" ht="13.5" customHeight="1" x14ac:dyDescent="0.25"/>
    <row r="7523" ht="13.5" customHeight="1" x14ac:dyDescent="0.25"/>
    <row r="7524" ht="13.5" customHeight="1" x14ac:dyDescent="0.25"/>
    <row r="7525" ht="13.5" customHeight="1" x14ac:dyDescent="0.25"/>
    <row r="7526" ht="13.5" customHeight="1" x14ac:dyDescent="0.25"/>
    <row r="7527" ht="12" customHeight="1" x14ac:dyDescent="0.25"/>
    <row r="7528" ht="12" customHeight="1" x14ac:dyDescent="0.25"/>
    <row r="7529" ht="12" customHeight="1" x14ac:dyDescent="0.25"/>
    <row r="7530" ht="12" customHeight="1" x14ac:dyDescent="0.25"/>
    <row r="7531" ht="20.25" customHeight="1" x14ac:dyDescent="0.25"/>
    <row r="7532" ht="13.5" customHeight="1" x14ac:dyDescent="0.25"/>
    <row r="7534" ht="13.5" customHeight="1" x14ac:dyDescent="0.25"/>
    <row r="7535" ht="13.5" customHeight="1" x14ac:dyDescent="0.25"/>
    <row r="7536" ht="13.5" customHeight="1" x14ac:dyDescent="0.25"/>
    <row r="7537" ht="13.5" customHeight="1" x14ac:dyDescent="0.25"/>
    <row r="7538" ht="12" customHeight="1" x14ac:dyDescent="0.25"/>
    <row r="7539" ht="12" customHeight="1" x14ac:dyDescent="0.25"/>
    <row r="7540" ht="12" customHeight="1" x14ac:dyDescent="0.25"/>
    <row r="7541" ht="12" customHeight="1" x14ac:dyDescent="0.25"/>
    <row r="7542" ht="20.25" customHeight="1" x14ac:dyDescent="0.25"/>
    <row r="7543" ht="13.5" customHeight="1" x14ac:dyDescent="0.25"/>
    <row r="7544" ht="13.5" customHeight="1" x14ac:dyDescent="0.25"/>
    <row r="7545" ht="13.5" customHeight="1" x14ac:dyDescent="0.25"/>
    <row r="7546" ht="13.5" customHeight="1" x14ac:dyDescent="0.25"/>
    <row r="7547" ht="13.5" customHeight="1" x14ac:dyDescent="0.25"/>
    <row r="7548" ht="13.5" customHeight="1" x14ac:dyDescent="0.25"/>
    <row r="7549" ht="13.5" customHeight="1" x14ac:dyDescent="0.25"/>
    <row r="7550" ht="12" customHeight="1" x14ac:dyDescent="0.25"/>
    <row r="7551" ht="12" customHeight="1" x14ac:dyDescent="0.25"/>
    <row r="7552" ht="12" customHeight="1" x14ac:dyDescent="0.25"/>
    <row r="7553" ht="12" customHeight="1" x14ac:dyDescent="0.25"/>
    <row r="7554" ht="20.25" customHeight="1" x14ac:dyDescent="0.25"/>
    <row r="7555" ht="13.5" customHeight="1" x14ac:dyDescent="0.25"/>
    <row r="7557" ht="13.5" customHeight="1" x14ac:dyDescent="0.25"/>
    <row r="7558" ht="13.5" customHeight="1" x14ac:dyDescent="0.25"/>
    <row r="7559" ht="13.5" customHeight="1" x14ac:dyDescent="0.25"/>
    <row r="7560" ht="13.5" customHeight="1" x14ac:dyDescent="0.25"/>
    <row r="7561" ht="12" customHeight="1" x14ac:dyDescent="0.25"/>
    <row r="7562" ht="12" customHeight="1" x14ac:dyDescent="0.25"/>
    <row r="7563" ht="12" customHeight="1" x14ac:dyDescent="0.25"/>
    <row r="7564" ht="12" customHeight="1" x14ac:dyDescent="0.25"/>
    <row r="7565" ht="20.25" customHeight="1" x14ac:dyDescent="0.25"/>
    <row r="7566" ht="13.5" customHeight="1" x14ac:dyDescent="0.25"/>
    <row r="7567" ht="13.5" customHeight="1" x14ac:dyDescent="0.25"/>
    <row r="7568" ht="13.5" customHeight="1" x14ac:dyDescent="0.25"/>
    <row r="7569" ht="13.5" customHeight="1" x14ac:dyDescent="0.25"/>
    <row r="7570" ht="13.5" customHeight="1" x14ac:dyDescent="0.25"/>
    <row r="7571" ht="13.5" customHeight="1" x14ac:dyDescent="0.25"/>
    <row r="7572" ht="13.5" customHeight="1" x14ac:dyDescent="0.25"/>
    <row r="7573" ht="12" customHeight="1" x14ac:dyDescent="0.25"/>
    <row r="7574" ht="12" customHeight="1" x14ac:dyDescent="0.25"/>
    <row r="7575" ht="12" customHeight="1" x14ac:dyDescent="0.25"/>
    <row r="7576" ht="12" customHeight="1" x14ac:dyDescent="0.25"/>
    <row r="7577" ht="20.25" customHeight="1" x14ac:dyDescent="0.25"/>
    <row r="7578" ht="13.5" customHeight="1" x14ac:dyDescent="0.25"/>
    <row r="7580" ht="13.5" customHeight="1" x14ac:dyDescent="0.25"/>
    <row r="7581" ht="13.5" customHeight="1" x14ac:dyDescent="0.25"/>
    <row r="7582" ht="13.5" customHeight="1" x14ac:dyDescent="0.25"/>
    <row r="7583" ht="13.5" customHeight="1" x14ac:dyDescent="0.25"/>
    <row r="7584" ht="12" customHeight="1" x14ac:dyDescent="0.25"/>
    <row r="7585" ht="12" customHeight="1" x14ac:dyDescent="0.25"/>
    <row r="7586" ht="12" customHeight="1" x14ac:dyDescent="0.25"/>
    <row r="7587" ht="12" customHeight="1" x14ac:dyDescent="0.25"/>
    <row r="7588" ht="20.25" customHeight="1" x14ac:dyDescent="0.25"/>
    <row r="7589" ht="13.5" customHeight="1" x14ac:dyDescent="0.25"/>
    <row r="7590" ht="13.5" customHeight="1" x14ac:dyDescent="0.25"/>
    <row r="7591" ht="13.5" customHeight="1" x14ac:dyDescent="0.25"/>
    <row r="7592" ht="13.5" customHeight="1" x14ac:dyDescent="0.25"/>
    <row r="7593" ht="13.5" customHeight="1" x14ac:dyDescent="0.25"/>
    <row r="7594" ht="13.5" customHeight="1" x14ac:dyDescent="0.25"/>
    <row r="7595" ht="13.5" customHeight="1" x14ac:dyDescent="0.25"/>
    <row r="7596" ht="12" customHeight="1" x14ac:dyDescent="0.25"/>
    <row r="7597" ht="12" customHeight="1" x14ac:dyDescent="0.25"/>
    <row r="7598" ht="12" customHeight="1" x14ac:dyDescent="0.25"/>
    <row r="7599" ht="12" customHeight="1" x14ac:dyDescent="0.25"/>
    <row r="7600" ht="20.25" customHeight="1" x14ac:dyDescent="0.25"/>
    <row r="7601" ht="13.5" customHeight="1" x14ac:dyDescent="0.25"/>
    <row r="7603" ht="13.5" customHeight="1" x14ac:dyDescent="0.25"/>
    <row r="7604" ht="13.5" customHeight="1" x14ac:dyDescent="0.25"/>
    <row r="7605" ht="13.5" customHeight="1" x14ac:dyDescent="0.25"/>
    <row r="7606" ht="13.5" customHeight="1" x14ac:dyDescent="0.25"/>
    <row r="7607" ht="12" customHeight="1" x14ac:dyDescent="0.25"/>
    <row r="7608" ht="12" customHeight="1" x14ac:dyDescent="0.25"/>
    <row r="7609" ht="12" customHeight="1" x14ac:dyDescent="0.25"/>
    <row r="7610" ht="12" customHeight="1" x14ac:dyDescent="0.25"/>
    <row r="7611" ht="20.25" customHeight="1" x14ac:dyDescent="0.25"/>
    <row r="7612" ht="13.5" customHeight="1" x14ac:dyDescent="0.25"/>
    <row r="7613" ht="13.5" customHeight="1" x14ac:dyDescent="0.25"/>
    <row r="7614" ht="13.5" customHeight="1" x14ac:dyDescent="0.25"/>
    <row r="7615" ht="13.5" customHeight="1" x14ac:dyDescent="0.25"/>
    <row r="7616" ht="13.5" customHeight="1" x14ac:dyDescent="0.25"/>
    <row r="7617" ht="13.5" customHeight="1" x14ac:dyDescent="0.25"/>
    <row r="7618" ht="13.5" customHeight="1" x14ac:dyDescent="0.25"/>
    <row r="7619" ht="12" customHeight="1" x14ac:dyDescent="0.25"/>
    <row r="7620" ht="12" customHeight="1" x14ac:dyDescent="0.25"/>
    <row r="7621" ht="12" customHeight="1" x14ac:dyDescent="0.25"/>
    <row r="7622" ht="12" customHeight="1" x14ac:dyDescent="0.25"/>
    <row r="7623" ht="20.25" customHeight="1" x14ac:dyDescent="0.25"/>
    <row r="7624" ht="13.5" customHeight="1" x14ac:dyDescent="0.25"/>
    <row r="7626" ht="13.5" customHeight="1" x14ac:dyDescent="0.25"/>
    <row r="7627" ht="13.5" customHeight="1" x14ac:dyDescent="0.25"/>
    <row r="7628" ht="13.5" customHeight="1" x14ac:dyDescent="0.25"/>
    <row r="7629" ht="13.5" customHeight="1" x14ac:dyDescent="0.25"/>
    <row r="7630" ht="12" customHeight="1" x14ac:dyDescent="0.25"/>
    <row r="7631" ht="12" customHeight="1" x14ac:dyDescent="0.25"/>
    <row r="7632" ht="12" customHeight="1" x14ac:dyDescent="0.25"/>
    <row r="7633" ht="12" customHeight="1" x14ac:dyDescent="0.25"/>
    <row r="7634" ht="20.25" customHeight="1" x14ac:dyDescent="0.25"/>
    <row r="7635" ht="13.5" customHeight="1" x14ac:dyDescent="0.25"/>
    <row r="7636" ht="13.5" customHeight="1" x14ac:dyDescent="0.25"/>
    <row r="7637" ht="13.5" customHeight="1" x14ac:dyDescent="0.25"/>
    <row r="7638" ht="13.5" customHeight="1" x14ac:dyDescent="0.25"/>
    <row r="7639" ht="13.5" customHeight="1" x14ac:dyDescent="0.25"/>
    <row r="7640" ht="13.5" customHeight="1" x14ac:dyDescent="0.25"/>
    <row r="7641" ht="13.5" customHeight="1" x14ac:dyDescent="0.25"/>
    <row r="7642" ht="12" customHeight="1" x14ac:dyDescent="0.25"/>
    <row r="7643" ht="12" customHeight="1" x14ac:dyDescent="0.25"/>
    <row r="7644" ht="12" customHeight="1" x14ac:dyDescent="0.25"/>
    <row r="7645" ht="12" customHeight="1" x14ac:dyDescent="0.25"/>
    <row r="7646" ht="20.25" customHeight="1" x14ac:dyDescent="0.25"/>
    <row r="7647" ht="13.5" customHeight="1" x14ac:dyDescent="0.25"/>
    <row r="7649" ht="13.5" customHeight="1" x14ac:dyDescent="0.25"/>
    <row r="7650" ht="13.5" customHeight="1" x14ac:dyDescent="0.25"/>
    <row r="7651" ht="13.5" customHeight="1" x14ac:dyDescent="0.25"/>
    <row r="7652" ht="13.5" customHeight="1" x14ac:dyDescent="0.25"/>
    <row r="7653" ht="12" customHeight="1" x14ac:dyDescent="0.25"/>
    <row r="7654" ht="12" customHeight="1" x14ac:dyDescent="0.25"/>
    <row r="7655" ht="12" customHeight="1" x14ac:dyDescent="0.25"/>
    <row r="7656" ht="12" customHeight="1" x14ac:dyDescent="0.25"/>
    <row r="7657" ht="20.25" customHeight="1" x14ac:dyDescent="0.25"/>
    <row r="7658" ht="13.5" customHeight="1" x14ac:dyDescent="0.25"/>
    <row r="7659" ht="13.5" customHeight="1" x14ac:dyDescent="0.25"/>
    <row r="7660" ht="13.5" customHeight="1" x14ac:dyDescent="0.25"/>
    <row r="7661" ht="13.5" customHeight="1" x14ac:dyDescent="0.25"/>
    <row r="7662" ht="13.5" customHeight="1" x14ac:dyDescent="0.25"/>
    <row r="7663" ht="13.5" customHeight="1" x14ac:dyDescent="0.25"/>
    <row r="7664" ht="13.5" customHeight="1" x14ac:dyDescent="0.25"/>
    <row r="7665" ht="12" customHeight="1" x14ac:dyDescent="0.25"/>
    <row r="7666" ht="12" customHeight="1" x14ac:dyDescent="0.25"/>
    <row r="7667" ht="12" customHeight="1" x14ac:dyDescent="0.25"/>
    <row r="7668" ht="12" customHeight="1" x14ac:dyDescent="0.25"/>
    <row r="7669" ht="20.25" customHeight="1" x14ac:dyDescent="0.25"/>
    <row r="7670" ht="13.5" customHeight="1" x14ac:dyDescent="0.25"/>
    <row r="7672" ht="13.5" customHeight="1" x14ac:dyDescent="0.25"/>
    <row r="7673" ht="13.5" customHeight="1" x14ac:dyDescent="0.25"/>
    <row r="7674" ht="13.5" customHeight="1" x14ac:dyDescent="0.25"/>
    <row r="7675" ht="13.5" customHeight="1" x14ac:dyDescent="0.25"/>
    <row r="7676" ht="12" customHeight="1" x14ac:dyDescent="0.25"/>
    <row r="7677" ht="12" customHeight="1" x14ac:dyDescent="0.25"/>
    <row r="7678" ht="12" customHeight="1" x14ac:dyDescent="0.25"/>
    <row r="7679" ht="12" customHeight="1" x14ac:dyDescent="0.25"/>
    <row r="7680" ht="20.25" customHeight="1" x14ac:dyDescent="0.25"/>
    <row r="7681" ht="13.5" customHeight="1" x14ac:dyDescent="0.25"/>
    <row r="7682" ht="13.5" customHeight="1" x14ac:dyDescent="0.25"/>
    <row r="7683" ht="13.5" customHeight="1" x14ac:dyDescent="0.25"/>
    <row r="7684" ht="13.5" customHeight="1" x14ac:dyDescent="0.25"/>
    <row r="7685" ht="13.5" customHeight="1" x14ac:dyDescent="0.25"/>
    <row r="7686" ht="13.5" customHeight="1" x14ac:dyDescent="0.25"/>
    <row r="7687" ht="13.5" customHeight="1" x14ac:dyDescent="0.25"/>
    <row r="7688" ht="12" customHeight="1" x14ac:dyDescent="0.25"/>
    <row r="7689" ht="12" customHeight="1" x14ac:dyDescent="0.25"/>
    <row r="7690" ht="12" customHeight="1" x14ac:dyDescent="0.25"/>
    <row r="7691" ht="12" customHeight="1" x14ac:dyDescent="0.25"/>
    <row r="7692" ht="20.25" customHeight="1" x14ac:dyDescent="0.25"/>
    <row r="7693" ht="13.5" customHeight="1" x14ac:dyDescent="0.25"/>
    <row r="7695" ht="13.5" customHeight="1" x14ac:dyDescent="0.25"/>
    <row r="7696" ht="13.5" customHeight="1" x14ac:dyDescent="0.25"/>
    <row r="7697" ht="13.5" customHeight="1" x14ac:dyDescent="0.25"/>
    <row r="7698" ht="13.5" customHeight="1" x14ac:dyDescent="0.25"/>
    <row r="7699" ht="12" customHeight="1" x14ac:dyDescent="0.25"/>
    <row r="7700" ht="12" customHeight="1" x14ac:dyDescent="0.25"/>
    <row r="7701" ht="12" customHeight="1" x14ac:dyDescent="0.25"/>
    <row r="7702" ht="12" customHeight="1" x14ac:dyDescent="0.25"/>
    <row r="7703" ht="20.25" customHeight="1" x14ac:dyDescent="0.25"/>
    <row r="7704" ht="13.5" customHeight="1" x14ac:dyDescent="0.25"/>
    <row r="7705" ht="13.5" customHeight="1" x14ac:dyDescent="0.25"/>
    <row r="7706" ht="13.5" customHeight="1" x14ac:dyDescent="0.25"/>
    <row r="7707" ht="13.5" customHeight="1" x14ac:dyDescent="0.25"/>
    <row r="7708" ht="13.5" customHeight="1" x14ac:dyDescent="0.25"/>
    <row r="7709" ht="13.5" customHeight="1" x14ac:dyDescent="0.25"/>
    <row r="7710" ht="13.5" customHeight="1" x14ac:dyDescent="0.25"/>
    <row r="7711" ht="12" customHeight="1" x14ac:dyDescent="0.25"/>
    <row r="7712" ht="12" customHeight="1" x14ac:dyDescent="0.25"/>
    <row r="7713" ht="12" customHeight="1" x14ac:dyDescent="0.25"/>
    <row r="7714" ht="12" customHeight="1" x14ac:dyDescent="0.25"/>
    <row r="7715" ht="20.25" customHeight="1" x14ac:dyDescent="0.25"/>
    <row r="7716" ht="13.5" customHeight="1" x14ac:dyDescent="0.25"/>
    <row r="7718" ht="13.5" customHeight="1" x14ac:dyDescent="0.25"/>
    <row r="7719" ht="13.5" customHeight="1" x14ac:dyDescent="0.25"/>
    <row r="7720" ht="13.5" customHeight="1" x14ac:dyDescent="0.25"/>
    <row r="7721" ht="13.5" customHeight="1" x14ac:dyDescent="0.25"/>
    <row r="7722" ht="12" customHeight="1" x14ac:dyDescent="0.25"/>
    <row r="7723" ht="12" customHeight="1" x14ac:dyDescent="0.25"/>
    <row r="7724" ht="12" customHeight="1" x14ac:dyDescent="0.25"/>
    <row r="7725" ht="12" customHeight="1" x14ac:dyDescent="0.25"/>
    <row r="7726" ht="20.25" customHeight="1" x14ac:dyDescent="0.25"/>
    <row r="7727" ht="13.5" customHeight="1" x14ac:dyDescent="0.25"/>
    <row r="7728" ht="13.5" customHeight="1" x14ac:dyDescent="0.25"/>
    <row r="7729" ht="13.5" customHeight="1" x14ac:dyDescent="0.25"/>
    <row r="7730" ht="13.5" customHeight="1" x14ac:dyDescent="0.25"/>
    <row r="7731" ht="13.5" customHeight="1" x14ac:dyDescent="0.25"/>
    <row r="7732" ht="13.5" customHeight="1" x14ac:dyDescent="0.25"/>
    <row r="7733" ht="13.5" customHeight="1" x14ac:dyDescent="0.25"/>
    <row r="7734" ht="12" customHeight="1" x14ac:dyDescent="0.25"/>
    <row r="7735" ht="12" customHeight="1" x14ac:dyDescent="0.25"/>
    <row r="7736" ht="12" customHeight="1" x14ac:dyDescent="0.25"/>
    <row r="7737" ht="12" customHeight="1" x14ac:dyDescent="0.25"/>
    <row r="7738" ht="20.25" customHeight="1" x14ac:dyDescent="0.25"/>
    <row r="7739" ht="13.5" customHeight="1" x14ac:dyDescent="0.25"/>
    <row r="7741" ht="13.5" customHeight="1" x14ac:dyDescent="0.25"/>
    <row r="7742" ht="13.5" customHeight="1" x14ac:dyDescent="0.25"/>
    <row r="7743" ht="13.5" customHeight="1" x14ac:dyDescent="0.25"/>
    <row r="7744" ht="13.5" customHeight="1" x14ac:dyDescent="0.25"/>
    <row r="7745" ht="12" customHeight="1" x14ac:dyDescent="0.25"/>
    <row r="7746" ht="12" customHeight="1" x14ac:dyDescent="0.25"/>
    <row r="7747" ht="12" customHeight="1" x14ac:dyDescent="0.25"/>
    <row r="7748" ht="12" customHeight="1" x14ac:dyDescent="0.25"/>
    <row r="7749" ht="20.25" customHeight="1" x14ac:dyDescent="0.25"/>
    <row r="7750" ht="13.5" customHeight="1" x14ac:dyDescent="0.25"/>
    <row r="7751" ht="13.5" customHeight="1" x14ac:dyDescent="0.25"/>
    <row r="7752" ht="13.5" customHeight="1" x14ac:dyDescent="0.25"/>
    <row r="7753" ht="13.5" customHeight="1" x14ac:dyDescent="0.25"/>
    <row r="7754" ht="13.5" customHeight="1" x14ac:dyDescent="0.25"/>
    <row r="7755" ht="13.5" customHeight="1" x14ac:dyDescent="0.25"/>
    <row r="7756" ht="13.5" customHeight="1" x14ac:dyDescent="0.25"/>
    <row r="7757" ht="12" customHeight="1" x14ac:dyDescent="0.25"/>
    <row r="7758" ht="12" customHeight="1" x14ac:dyDescent="0.25"/>
    <row r="7759" ht="12" customHeight="1" x14ac:dyDescent="0.25"/>
    <row r="7760" ht="12" customHeight="1" x14ac:dyDescent="0.25"/>
    <row r="7761" ht="20.25" customHeight="1" x14ac:dyDescent="0.25"/>
    <row r="7762" ht="13.5" customHeight="1" x14ac:dyDescent="0.25"/>
    <row r="7764" ht="13.5" customHeight="1" x14ac:dyDescent="0.25"/>
    <row r="7765" ht="13.5" customHeight="1" x14ac:dyDescent="0.25"/>
    <row r="7766" ht="13.5" customHeight="1" x14ac:dyDescent="0.25"/>
    <row r="7767" ht="13.5" customHeight="1" x14ac:dyDescent="0.25"/>
    <row r="7768" ht="12" customHeight="1" x14ac:dyDescent="0.25"/>
    <row r="7769" ht="12" customHeight="1" x14ac:dyDescent="0.25"/>
    <row r="7770" ht="12" customHeight="1" x14ac:dyDescent="0.25"/>
    <row r="7771" ht="12" customHeight="1" x14ac:dyDescent="0.25"/>
    <row r="7772" ht="20.25" customHeight="1" x14ac:dyDescent="0.25"/>
    <row r="7773" ht="13.5" customHeight="1" x14ac:dyDescent="0.25"/>
    <row r="7774" ht="13.5" customHeight="1" x14ac:dyDescent="0.25"/>
    <row r="7775" ht="13.5" customHeight="1" x14ac:dyDescent="0.25"/>
    <row r="7776" ht="13.5" customHeight="1" x14ac:dyDescent="0.25"/>
    <row r="7777" ht="13.5" customHeight="1" x14ac:dyDescent="0.25"/>
    <row r="7778" ht="13.5" customHeight="1" x14ac:dyDescent="0.25"/>
    <row r="7779" ht="13.5" customHeight="1" x14ac:dyDescent="0.25"/>
    <row r="7780" ht="12" customHeight="1" x14ac:dyDescent="0.25"/>
    <row r="7781" ht="12" customHeight="1" x14ac:dyDescent="0.25"/>
    <row r="7782" ht="12" customHeight="1" x14ac:dyDescent="0.25"/>
    <row r="7783" ht="12" customHeight="1" x14ac:dyDescent="0.25"/>
    <row r="7784" ht="20.25" customHeight="1" x14ac:dyDescent="0.25"/>
    <row r="7785" ht="13.5" customHeight="1" x14ac:dyDescent="0.25"/>
    <row r="7787" ht="13.5" customHeight="1" x14ac:dyDescent="0.25"/>
    <row r="7788" ht="13.5" customHeight="1" x14ac:dyDescent="0.25"/>
    <row r="7789" ht="13.5" customHeight="1" x14ac:dyDescent="0.25"/>
    <row r="7790" ht="13.5" customHeight="1" x14ac:dyDescent="0.25"/>
    <row r="7791" ht="12" customHeight="1" x14ac:dyDescent="0.25"/>
    <row r="7792" ht="12" customHeight="1" x14ac:dyDescent="0.25"/>
    <row r="7793" ht="12" customHeight="1" x14ac:dyDescent="0.25"/>
    <row r="7794" ht="12" customHeight="1" x14ac:dyDescent="0.25"/>
    <row r="7795" ht="20.25" customHeight="1" x14ac:dyDescent="0.25"/>
    <row r="7796" ht="13.5" customHeight="1" x14ac:dyDescent="0.25"/>
    <row r="7797" ht="13.5" customHeight="1" x14ac:dyDescent="0.25"/>
    <row r="7798" ht="13.5" customHeight="1" x14ac:dyDescent="0.25"/>
    <row r="7799" ht="13.5" customHeight="1" x14ac:dyDescent="0.25"/>
    <row r="7800" ht="13.5" customHeight="1" x14ac:dyDescent="0.25"/>
    <row r="7801" ht="13.5" customHeight="1" x14ac:dyDescent="0.25"/>
    <row r="7802" ht="13.5" customHeight="1" x14ac:dyDescent="0.25"/>
    <row r="7803" ht="12" customHeight="1" x14ac:dyDescent="0.25"/>
    <row r="7804" ht="12" customHeight="1" x14ac:dyDescent="0.25"/>
    <row r="7805" ht="12" customHeight="1" x14ac:dyDescent="0.25"/>
    <row r="7806" ht="12" customHeight="1" x14ac:dyDescent="0.25"/>
    <row r="7807" ht="20.25" customHeight="1" x14ac:dyDescent="0.25"/>
    <row r="7808" ht="13.5" customHeight="1" x14ac:dyDescent="0.25"/>
    <row r="7810" ht="13.5" customHeight="1" x14ac:dyDescent="0.25"/>
    <row r="7811" ht="13.5" customHeight="1" x14ac:dyDescent="0.25"/>
    <row r="7812" ht="13.5" customHeight="1" x14ac:dyDescent="0.25"/>
    <row r="7813" ht="13.5" customHeight="1" x14ac:dyDescent="0.25"/>
    <row r="7814" ht="12" customHeight="1" x14ac:dyDescent="0.25"/>
    <row r="7815" ht="12" customHeight="1" x14ac:dyDescent="0.25"/>
    <row r="7816" ht="12" customHeight="1" x14ac:dyDescent="0.25"/>
    <row r="7817" ht="12" customHeight="1" x14ac:dyDescent="0.25"/>
    <row r="7818" ht="20.25" customHeight="1" x14ac:dyDescent="0.25"/>
    <row r="7819" ht="13.5" customHeight="1" x14ac:dyDescent="0.25"/>
    <row r="7820" ht="13.5" customHeight="1" x14ac:dyDescent="0.25"/>
    <row r="7821" ht="13.5" customHeight="1" x14ac:dyDescent="0.25"/>
    <row r="7822" ht="13.5" customHeight="1" x14ac:dyDescent="0.25"/>
    <row r="7823" ht="13.5" customHeight="1" x14ac:dyDescent="0.25"/>
    <row r="7824" ht="13.5" customHeight="1" x14ac:dyDescent="0.25"/>
    <row r="7825" ht="13.5" customHeight="1" x14ac:dyDescent="0.25"/>
    <row r="7826" ht="12" customHeight="1" x14ac:dyDescent="0.25"/>
    <row r="7827" ht="12" customHeight="1" x14ac:dyDescent="0.25"/>
    <row r="7828" ht="12" customHeight="1" x14ac:dyDescent="0.25"/>
    <row r="7829" ht="12" customHeight="1" x14ac:dyDescent="0.25"/>
    <row r="7830" ht="20.25" customHeight="1" x14ac:dyDescent="0.25"/>
    <row r="7831" ht="13.5" customHeight="1" x14ac:dyDescent="0.25"/>
    <row r="7833" ht="13.5" customHeight="1" x14ac:dyDescent="0.25"/>
    <row r="7834" ht="13.5" customHeight="1" x14ac:dyDescent="0.25"/>
    <row r="7835" ht="13.5" customHeight="1" x14ac:dyDescent="0.25"/>
    <row r="7836" ht="13.5" customHeight="1" x14ac:dyDescent="0.25"/>
    <row r="7837" ht="12" customHeight="1" x14ac:dyDescent="0.25"/>
    <row r="7838" ht="12" customHeight="1" x14ac:dyDescent="0.25"/>
    <row r="7839" ht="12" customHeight="1" x14ac:dyDescent="0.25"/>
    <row r="7840" ht="12" customHeight="1" x14ac:dyDescent="0.25"/>
    <row r="7841" ht="20.25" customHeight="1" x14ac:dyDescent="0.25"/>
    <row r="7842" ht="13.5" customHeight="1" x14ac:dyDescent="0.25"/>
    <row r="7843" ht="13.5" customHeight="1" x14ac:dyDescent="0.25"/>
    <row r="7844" ht="13.5" customHeight="1" x14ac:dyDescent="0.25"/>
    <row r="7845" ht="13.5" customHeight="1" x14ac:dyDescent="0.25"/>
    <row r="7846" ht="13.5" customHeight="1" x14ac:dyDescent="0.25"/>
    <row r="7847" ht="13.5" customHeight="1" x14ac:dyDescent="0.25"/>
    <row r="7848" ht="13.5" customHeight="1" x14ac:dyDescent="0.25"/>
    <row r="7849" ht="12" customHeight="1" x14ac:dyDescent="0.25"/>
    <row r="7850" ht="12" customHeight="1" x14ac:dyDescent="0.25"/>
    <row r="7851" ht="12" customHeight="1" x14ac:dyDescent="0.25"/>
    <row r="7852" ht="12" customHeight="1" x14ac:dyDescent="0.25"/>
    <row r="7853" ht="20.25" customHeight="1" x14ac:dyDescent="0.25"/>
    <row r="7854" ht="13.5" customHeight="1" x14ac:dyDescent="0.25"/>
    <row r="7856" ht="13.5" customHeight="1" x14ac:dyDescent="0.25"/>
    <row r="7857" ht="13.5" customHeight="1" x14ac:dyDescent="0.25"/>
    <row r="7858" ht="13.5" customHeight="1" x14ac:dyDescent="0.25"/>
    <row r="7859" ht="13.5" customHeight="1" x14ac:dyDescent="0.25"/>
    <row r="7860" ht="12" customHeight="1" x14ac:dyDescent="0.25"/>
    <row r="7861" ht="12" customHeight="1" x14ac:dyDescent="0.25"/>
    <row r="7862" ht="12" customHeight="1" x14ac:dyDescent="0.25"/>
    <row r="7863" ht="12" customHeight="1" x14ac:dyDescent="0.25"/>
    <row r="7864" ht="20.25" customHeight="1" x14ac:dyDescent="0.25"/>
    <row r="7865" ht="13.5" customHeight="1" x14ac:dyDescent="0.25"/>
    <row r="7866" ht="13.5" customHeight="1" x14ac:dyDescent="0.25"/>
    <row r="7867" ht="13.5" customHeight="1" x14ac:dyDescent="0.25"/>
    <row r="7868" ht="13.5" customHeight="1" x14ac:dyDescent="0.25"/>
    <row r="7869" ht="13.5" customHeight="1" x14ac:dyDescent="0.25"/>
    <row r="7870" ht="13.5" customHeight="1" x14ac:dyDescent="0.25"/>
    <row r="7871" ht="13.5" customHeight="1" x14ac:dyDescent="0.25"/>
    <row r="7872" ht="12" customHeight="1" x14ac:dyDescent="0.25"/>
    <row r="7873" ht="12" customHeight="1" x14ac:dyDescent="0.25"/>
    <row r="7874" ht="12" customHeight="1" x14ac:dyDescent="0.25"/>
    <row r="7875" ht="12" customHeight="1" x14ac:dyDescent="0.25"/>
    <row r="7876" ht="20.25" customHeight="1" x14ac:dyDescent="0.25"/>
    <row r="7877" ht="13.5" customHeight="1" x14ac:dyDescent="0.25"/>
    <row r="7879" ht="13.5" customHeight="1" x14ac:dyDescent="0.25"/>
    <row r="7880" ht="13.5" customHeight="1" x14ac:dyDescent="0.25"/>
    <row r="7881" ht="13.5" customHeight="1" x14ac:dyDescent="0.25"/>
    <row r="7882" ht="13.5" customHeight="1" x14ac:dyDescent="0.25"/>
    <row r="7883" ht="12" customHeight="1" x14ac:dyDescent="0.25"/>
    <row r="7884" ht="12" customHeight="1" x14ac:dyDescent="0.25"/>
    <row r="7885" ht="12" customHeight="1" x14ac:dyDescent="0.25"/>
    <row r="7886" ht="12" customHeight="1" x14ac:dyDescent="0.25"/>
    <row r="7887" ht="20.25" customHeight="1" x14ac:dyDescent="0.25"/>
    <row r="7888" ht="13.5" customHeight="1" x14ac:dyDescent="0.25"/>
    <row r="7889" ht="13.5" customHeight="1" x14ac:dyDescent="0.25"/>
    <row r="7890" ht="13.5" customHeight="1" x14ac:dyDescent="0.25"/>
    <row r="7891" ht="13.5" customHeight="1" x14ac:dyDescent="0.25"/>
    <row r="7892" ht="13.5" customHeight="1" x14ac:dyDescent="0.25"/>
    <row r="7893" ht="13.5" customHeight="1" x14ac:dyDescent="0.25"/>
    <row r="7894" ht="13.5" customHeight="1" x14ac:dyDescent="0.25"/>
    <row r="7895" ht="12" customHeight="1" x14ac:dyDescent="0.25"/>
    <row r="7896" ht="12" customHeight="1" x14ac:dyDescent="0.25"/>
    <row r="7897" ht="12" customHeight="1" x14ac:dyDescent="0.25"/>
    <row r="7898" ht="12" customHeight="1" x14ac:dyDescent="0.25"/>
    <row r="7899" ht="20.25" customHeight="1" x14ac:dyDescent="0.25"/>
    <row r="7900" ht="13.5" customHeight="1" x14ac:dyDescent="0.25"/>
    <row r="7902" ht="13.5" customHeight="1" x14ac:dyDescent="0.25"/>
    <row r="7903" ht="13.5" customHeight="1" x14ac:dyDescent="0.25"/>
    <row r="7904" ht="13.5" customHeight="1" x14ac:dyDescent="0.25"/>
    <row r="7905" ht="13.5" customHeight="1" x14ac:dyDescent="0.25"/>
    <row r="7906" ht="12" customHeight="1" x14ac:dyDescent="0.25"/>
    <row r="7907" ht="12" customHeight="1" x14ac:dyDescent="0.25"/>
    <row r="7908" ht="12" customHeight="1" x14ac:dyDescent="0.25"/>
    <row r="7909" ht="12" customHeight="1" x14ac:dyDescent="0.25"/>
    <row r="7910" ht="20.25" customHeight="1" x14ac:dyDescent="0.25"/>
    <row r="7911" ht="13.5" customHeight="1" x14ac:dyDescent="0.25"/>
    <row r="7912" ht="13.5" customHeight="1" x14ac:dyDescent="0.25"/>
    <row r="7913" ht="13.5" customHeight="1" x14ac:dyDescent="0.25"/>
    <row r="7914" ht="13.5" customHeight="1" x14ac:dyDescent="0.25"/>
    <row r="7915" ht="13.5" customHeight="1" x14ac:dyDescent="0.25"/>
    <row r="7916" ht="13.5" customHeight="1" x14ac:dyDescent="0.25"/>
    <row r="7917" ht="13.5" customHeight="1" x14ac:dyDescent="0.25"/>
    <row r="7918" ht="12" customHeight="1" x14ac:dyDescent="0.25"/>
    <row r="7919" ht="12" customHeight="1" x14ac:dyDescent="0.25"/>
    <row r="7920" ht="12" customHeight="1" x14ac:dyDescent="0.25"/>
    <row r="7921" ht="12" customHeight="1" x14ac:dyDescent="0.25"/>
    <row r="7922" ht="20.25" customHeight="1" x14ac:dyDescent="0.25"/>
    <row r="7923" ht="13.5" customHeight="1" x14ac:dyDescent="0.25"/>
    <row r="7925" ht="13.5" customHeight="1" x14ac:dyDescent="0.25"/>
    <row r="7926" ht="13.5" customHeight="1" x14ac:dyDescent="0.25"/>
    <row r="7927" ht="13.5" customHeight="1" x14ac:dyDescent="0.25"/>
    <row r="7928" ht="13.5" customHeight="1" x14ac:dyDescent="0.25"/>
    <row r="7929" ht="12" customHeight="1" x14ac:dyDescent="0.25"/>
    <row r="7930" ht="12" customHeight="1" x14ac:dyDescent="0.25"/>
    <row r="7931" ht="12" customHeight="1" x14ac:dyDescent="0.25"/>
    <row r="7932" ht="12" customHeight="1" x14ac:dyDescent="0.25"/>
    <row r="7933" ht="20.25" customHeight="1" x14ac:dyDescent="0.25"/>
    <row r="7934" ht="13.5" customHeight="1" x14ac:dyDescent="0.25"/>
    <row r="7935" ht="13.5" customHeight="1" x14ac:dyDescent="0.25"/>
    <row r="7936" ht="13.5" customHeight="1" x14ac:dyDescent="0.25"/>
    <row r="7937" ht="13.5" customHeight="1" x14ac:dyDescent="0.25"/>
    <row r="7938" ht="13.5" customHeight="1" x14ac:dyDescent="0.25"/>
    <row r="7939" ht="13.5" customHeight="1" x14ac:dyDescent="0.25"/>
    <row r="7940" ht="13.5" customHeight="1" x14ac:dyDescent="0.25"/>
    <row r="7941" ht="12" customHeight="1" x14ac:dyDescent="0.25"/>
    <row r="7942" ht="12" customHeight="1" x14ac:dyDescent="0.25"/>
    <row r="7943" ht="12" customHeight="1" x14ac:dyDescent="0.25"/>
    <row r="7944" ht="12" customHeight="1" x14ac:dyDescent="0.25"/>
    <row r="7945" ht="20.25" customHeight="1" x14ac:dyDescent="0.25"/>
    <row r="7946" ht="13.5" customHeight="1" x14ac:dyDescent="0.25"/>
    <row r="7948" ht="13.5" customHeight="1" x14ac:dyDescent="0.25"/>
    <row r="7949" ht="13.5" customHeight="1" x14ac:dyDescent="0.25"/>
    <row r="7950" ht="13.5" customHeight="1" x14ac:dyDescent="0.25"/>
    <row r="7951" ht="13.5" customHeight="1" x14ac:dyDescent="0.25"/>
    <row r="7952" ht="12" customHeight="1" x14ac:dyDescent="0.25"/>
    <row r="7953" ht="12" customHeight="1" x14ac:dyDescent="0.25"/>
    <row r="7954" ht="12" customHeight="1" x14ac:dyDescent="0.25"/>
    <row r="7955" ht="12" customHeight="1" x14ac:dyDescent="0.25"/>
    <row r="7956" ht="20.25" customHeight="1" x14ac:dyDescent="0.25"/>
    <row r="7957" ht="13.5" customHeight="1" x14ac:dyDescent="0.25"/>
    <row r="7958" ht="13.5" customHeight="1" x14ac:dyDescent="0.25"/>
    <row r="7959" ht="13.5" customHeight="1" x14ac:dyDescent="0.25"/>
    <row r="7960" ht="13.5" customHeight="1" x14ac:dyDescent="0.25"/>
    <row r="7961" ht="13.5" customHeight="1" x14ac:dyDescent="0.25"/>
    <row r="7962" ht="13.5" customHeight="1" x14ac:dyDescent="0.25"/>
    <row r="7963" ht="13.5" customHeight="1" x14ac:dyDescent="0.25"/>
    <row r="7964" ht="12" customHeight="1" x14ac:dyDescent="0.25"/>
    <row r="7965" ht="12" customHeight="1" x14ac:dyDescent="0.25"/>
    <row r="7966" ht="12" customHeight="1" x14ac:dyDescent="0.25"/>
    <row r="7967" ht="12" customHeight="1" x14ac:dyDescent="0.25"/>
    <row r="7968" ht="20.25" customHeight="1" x14ac:dyDescent="0.25"/>
    <row r="7969" ht="13.5" customHeight="1" x14ac:dyDescent="0.25"/>
    <row r="7971" ht="13.5" customHeight="1" x14ac:dyDescent="0.25"/>
    <row r="7972" ht="13.5" customHeight="1" x14ac:dyDescent="0.25"/>
    <row r="7973" ht="13.5" customHeight="1" x14ac:dyDescent="0.25"/>
    <row r="7974" ht="13.5" customHeight="1" x14ac:dyDescent="0.25"/>
    <row r="7975" ht="12" customHeight="1" x14ac:dyDescent="0.25"/>
    <row r="7976" ht="12" customHeight="1" x14ac:dyDescent="0.25"/>
    <row r="7977" ht="12" customHeight="1" x14ac:dyDescent="0.25"/>
    <row r="7978" ht="12" customHeight="1" x14ac:dyDescent="0.25"/>
    <row r="7979" ht="20.25" customHeight="1" x14ac:dyDescent="0.25"/>
    <row r="7980" ht="13.5" customHeight="1" x14ac:dyDescent="0.25"/>
    <row r="7981" ht="13.5" customHeight="1" x14ac:dyDescent="0.25"/>
    <row r="7982" ht="13.5" customHeight="1" x14ac:dyDescent="0.25"/>
    <row r="7983" ht="13.5" customHeight="1" x14ac:dyDescent="0.25"/>
    <row r="7984" ht="13.5" customHeight="1" x14ac:dyDescent="0.25"/>
    <row r="7985" ht="13.5" customHeight="1" x14ac:dyDescent="0.25"/>
    <row r="7986" ht="13.5" customHeight="1" x14ac:dyDescent="0.25"/>
    <row r="7987" ht="12" customHeight="1" x14ac:dyDescent="0.25"/>
    <row r="7988" ht="12" customHeight="1" x14ac:dyDescent="0.25"/>
    <row r="7989" ht="12" customHeight="1" x14ac:dyDescent="0.25"/>
    <row r="7990" ht="12" customHeight="1" x14ac:dyDescent="0.25"/>
    <row r="7991" ht="20.25" customHeight="1" x14ac:dyDescent="0.25"/>
    <row r="7992" ht="13.5" customHeight="1" x14ac:dyDescent="0.25"/>
    <row r="7994" ht="13.5" customHeight="1" x14ac:dyDescent="0.25"/>
    <row r="7995" ht="13.5" customHeight="1" x14ac:dyDescent="0.25"/>
    <row r="7996" ht="13.5" customHeight="1" x14ac:dyDescent="0.25"/>
    <row r="7997" ht="13.5" customHeight="1" x14ac:dyDescent="0.25"/>
    <row r="7998" ht="12" customHeight="1" x14ac:dyDescent="0.25"/>
    <row r="7999" ht="12" customHeight="1" x14ac:dyDescent="0.25"/>
    <row r="8000" ht="12" customHeight="1" x14ac:dyDescent="0.25"/>
    <row r="8001" ht="12" customHeight="1" x14ac:dyDescent="0.25"/>
    <row r="8002" ht="20.25" customHeight="1" x14ac:dyDescent="0.25"/>
    <row r="8003" ht="13.5" customHeight="1" x14ac:dyDescent="0.25"/>
    <row r="8004" ht="13.5" customHeight="1" x14ac:dyDescent="0.25"/>
    <row r="8005" ht="13.5" customHeight="1" x14ac:dyDescent="0.25"/>
    <row r="8006" ht="13.5" customHeight="1" x14ac:dyDescent="0.25"/>
    <row r="8007" ht="13.5" customHeight="1" x14ac:dyDescent="0.25"/>
    <row r="8008" ht="13.5" customHeight="1" x14ac:dyDescent="0.25"/>
    <row r="8009" ht="13.5" customHeight="1" x14ac:dyDescent="0.25"/>
    <row r="8010" ht="12" customHeight="1" x14ac:dyDescent="0.25"/>
    <row r="8011" ht="12" customHeight="1" x14ac:dyDescent="0.25"/>
    <row r="8012" ht="12" customHeight="1" x14ac:dyDescent="0.25"/>
    <row r="8013" ht="12" customHeight="1" x14ac:dyDescent="0.25"/>
    <row r="8014" ht="20.25" customHeight="1" x14ac:dyDescent="0.25"/>
    <row r="8015" ht="13.5" customHeight="1" x14ac:dyDescent="0.25"/>
    <row r="8017" ht="13.5" customHeight="1" x14ac:dyDescent="0.25"/>
    <row r="8018" ht="13.5" customHeight="1" x14ac:dyDescent="0.25"/>
    <row r="8019" ht="13.5" customHeight="1" x14ac:dyDescent="0.25"/>
    <row r="8020" ht="13.5" customHeight="1" x14ac:dyDescent="0.25"/>
    <row r="8021" ht="12" customHeight="1" x14ac:dyDescent="0.25"/>
    <row r="8022" ht="12" customHeight="1" x14ac:dyDescent="0.25"/>
    <row r="8023" ht="12" customHeight="1" x14ac:dyDescent="0.25"/>
    <row r="8024" ht="12" customHeight="1" x14ac:dyDescent="0.25"/>
    <row r="8025" ht="20.25" customHeight="1" x14ac:dyDescent="0.25"/>
    <row r="8026" ht="13.5" customHeight="1" x14ac:dyDescent="0.25"/>
    <row r="8027" ht="13.5" customHeight="1" x14ac:dyDescent="0.25"/>
    <row r="8028" ht="13.5" customHeight="1" x14ac:dyDescent="0.25"/>
    <row r="8029" ht="13.5" customHeight="1" x14ac:dyDescent="0.25"/>
    <row r="8030" ht="13.5" customHeight="1" x14ac:dyDescent="0.25"/>
    <row r="8031" ht="13.5" customHeight="1" x14ac:dyDescent="0.25"/>
    <row r="8032" ht="13.5" customHeight="1" x14ac:dyDescent="0.25"/>
    <row r="8033" ht="12" customHeight="1" x14ac:dyDescent="0.25"/>
    <row r="8034" ht="12" customHeight="1" x14ac:dyDescent="0.25"/>
    <row r="8035" ht="12" customHeight="1" x14ac:dyDescent="0.25"/>
    <row r="8036" ht="12" customHeight="1" x14ac:dyDescent="0.25"/>
    <row r="8037" ht="20.25" customHeight="1" x14ac:dyDescent="0.25"/>
    <row r="8038" ht="13.5" customHeight="1" x14ac:dyDescent="0.25"/>
    <row r="8040" ht="13.5" customHeight="1" x14ac:dyDescent="0.25"/>
    <row r="8041" ht="13.5" customHeight="1" x14ac:dyDescent="0.25"/>
    <row r="8042" ht="13.5" customHeight="1" x14ac:dyDescent="0.25"/>
    <row r="8043" ht="13.5" customHeight="1" x14ac:dyDescent="0.25"/>
    <row r="8044" ht="12" customHeight="1" x14ac:dyDescent="0.25"/>
    <row r="8045" ht="12" customHeight="1" x14ac:dyDescent="0.25"/>
    <row r="8046" ht="12" customHeight="1" x14ac:dyDescent="0.25"/>
    <row r="8047" ht="12" customHeight="1" x14ac:dyDescent="0.25"/>
    <row r="8048" ht="20.25" customHeight="1" x14ac:dyDescent="0.25"/>
    <row r="8049" ht="13.5" customHeight="1" x14ac:dyDescent="0.25"/>
    <row r="8050" ht="13.5" customHeight="1" x14ac:dyDescent="0.25"/>
    <row r="8051" ht="13.5" customHeight="1" x14ac:dyDescent="0.25"/>
    <row r="8052" ht="13.5" customHeight="1" x14ac:dyDescent="0.25"/>
    <row r="8053" ht="13.5" customHeight="1" x14ac:dyDescent="0.25"/>
    <row r="8054" ht="13.5" customHeight="1" x14ac:dyDescent="0.25"/>
    <row r="8055" ht="13.5" customHeight="1" x14ac:dyDescent="0.25"/>
    <row r="8056" ht="12" customHeight="1" x14ac:dyDescent="0.25"/>
    <row r="8057" ht="12" customHeight="1" x14ac:dyDescent="0.25"/>
    <row r="8058" ht="12" customHeight="1" x14ac:dyDescent="0.25"/>
    <row r="8059" ht="12" customHeight="1" x14ac:dyDescent="0.25"/>
    <row r="8060" ht="20.25" customHeight="1" x14ac:dyDescent="0.25"/>
    <row r="8061" ht="13.5" customHeight="1" x14ac:dyDescent="0.25"/>
    <row r="8063" ht="13.5" customHeight="1" x14ac:dyDescent="0.25"/>
    <row r="8064" ht="13.5" customHeight="1" x14ac:dyDescent="0.25"/>
    <row r="8065" ht="13.5" customHeight="1" x14ac:dyDescent="0.25"/>
    <row r="8066" ht="13.5" customHeight="1" x14ac:dyDescent="0.25"/>
    <row r="8067" ht="12" customHeight="1" x14ac:dyDescent="0.25"/>
    <row r="8068" ht="12" customHeight="1" x14ac:dyDescent="0.25"/>
    <row r="8069" ht="12" customHeight="1" x14ac:dyDescent="0.25"/>
    <row r="8070" ht="12" customHeight="1" x14ac:dyDescent="0.25"/>
    <row r="8071" ht="20.25" customHeight="1" x14ac:dyDescent="0.25"/>
    <row r="8072" ht="13.5" customHeight="1" x14ac:dyDescent="0.25"/>
    <row r="8073" ht="13.5" customHeight="1" x14ac:dyDescent="0.25"/>
    <row r="8074" ht="13.5" customHeight="1" x14ac:dyDescent="0.25"/>
    <row r="8075" ht="13.5" customHeight="1" x14ac:dyDescent="0.25"/>
    <row r="8076" ht="13.5" customHeight="1" x14ac:dyDescent="0.25"/>
    <row r="8077" ht="13.5" customHeight="1" x14ac:dyDescent="0.25"/>
    <row r="8078" ht="13.5" customHeight="1" x14ac:dyDescent="0.25"/>
    <row r="8079" ht="12" customHeight="1" x14ac:dyDescent="0.25"/>
    <row r="8080" ht="12" customHeight="1" x14ac:dyDescent="0.25"/>
    <row r="8081" ht="12" customHeight="1" x14ac:dyDescent="0.25"/>
    <row r="8082" ht="12" customHeight="1" x14ac:dyDescent="0.25"/>
    <row r="8083" ht="20.25" customHeight="1" x14ac:dyDescent="0.25"/>
    <row r="8084" ht="13.5" customHeight="1" x14ac:dyDescent="0.25"/>
    <row r="8086" ht="13.5" customHeight="1" x14ac:dyDescent="0.25"/>
    <row r="8087" ht="13.5" customHeight="1" x14ac:dyDescent="0.25"/>
    <row r="8088" ht="13.5" customHeight="1" x14ac:dyDescent="0.25"/>
    <row r="8089" ht="13.5" customHeight="1" x14ac:dyDescent="0.25"/>
    <row r="8090" ht="12" customHeight="1" x14ac:dyDescent="0.25"/>
    <row r="8091" ht="12" customHeight="1" x14ac:dyDescent="0.25"/>
    <row r="8092" ht="12" customHeight="1" x14ac:dyDescent="0.25"/>
    <row r="8093" ht="12" customHeight="1" x14ac:dyDescent="0.25"/>
    <row r="8094" ht="20.25" customHeight="1" x14ac:dyDescent="0.25"/>
    <row r="8095" ht="13.5" customHeight="1" x14ac:dyDescent="0.25"/>
    <row r="8096" ht="13.5" customHeight="1" x14ac:dyDescent="0.25"/>
    <row r="8097" ht="13.5" customHeight="1" x14ac:dyDescent="0.25"/>
    <row r="8098" ht="13.5" customHeight="1" x14ac:dyDescent="0.25"/>
    <row r="8099" ht="13.5" customHeight="1" x14ac:dyDescent="0.25"/>
    <row r="8100" ht="13.5" customHeight="1" x14ac:dyDescent="0.25"/>
    <row r="8101" ht="13.5" customHeight="1" x14ac:dyDescent="0.25"/>
    <row r="8102" ht="12" customHeight="1" x14ac:dyDescent="0.25"/>
    <row r="8103" ht="12" customHeight="1" x14ac:dyDescent="0.25"/>
    <row r="8104" ht="12" customHeight="1" x14ac:dyDescent="0.25"/>
    <row r="8105" ht="12" customHeight="1" x14ac:dyDescent="0.25"/>
    <row r="8106" ht="20.25" customHeight="1" x14ac:dyDescent="0.25"/>
    <row r="8107" ht="13.5" customHeight="1" x14ac:dyDescent="0.25"/>
    <row r="8109" ht="13.5" customHeight="1" x14ac:dyDescent="0.25"/>
    <row r="8110" ht="13.5" customHeight="1" x14ac:dyDescent="0.25"/>
    <row r="8111" ht="13.5" customHeight="1" x14ac:dyDescent="0.25"/>
    <row r="8112" ht="13.5" customHeight="1" x14ac:dyDescent="0.25"/>
    <row r="8113" ht="12" customHeight="1" x14ac:dyDescent="0.25"/>
    <row r="8114" ht="12" customHeight="1" x14ac:dyDescent="0.25"/>
    <row r="8115" ht="12" customHeight="1" x14ac:dyDescent="0.25"/>
    <row r="8116" ht="12" customHeight="1" x14ac:dyDescent="0.25"/>
    <row r="8117" ht="20.25" customHeight="1" x14ac:dyDescent="0.25"/>
    <row r="8118" ht="13.5" customHeight="1" x14ac:dyDescent="0.25"/>
    <row r="8119" ht="13.5" customHeight="1" x14ac:dyDescent="0.25"/>
    <row r="8120" ht="13.5" customHeight="1" x14ac:dyDescent="0.25"/>
    <row r="8121" ht="13.5" customHeight="1" x14ac:dyDescent="0.25"/>
    <row r="8122" ht="13.5" customHeight="1" x14ac:dyDescent="0.25"/>
    <row r="8123" ht="13.5" customHeight="1" x14ac:dyDescent="0.25"/>
    <row r="8124" ht="13.5" customHeight="1" x14ac:dyDescent="0.25"/>
    <row r="8125" ht="12" customHeight="1" x14ac:dyDescent="0.25"/>
    <row r="8126" ht="12" customHeight="1" x14ac:dyDescent="0.25"/>
    <row r="8127" ht="12" customHeight="1" x14ac:dyDescent="0.25"/>
    <row r="8128" ht="12" customHeight="1" x14ac:dyDescent="0.25"/>
    <row r="8129" ht="20.25" customHeight="1" x14ac:dyDescent="0.25"/>
    <row r="8130" ht="13.5" customHeight="1" x14ac:dyDescent="0.25"/>
    <row r="8132" ht="13.5" customHeight="1" x14ac:dyDescent="0.25"/>
    <row r="8133" ht="13.5" customHeight="1" x14ac:dyDescent="0.25"/>
    <row r="8134" ht="13.5" customHeight="1" x14ac:dyDescent="0.25"/>
    <row r="8135" ht="13.5" customHeight="1" x14ac:dyDescent="0.25"/>
    <row r="8136" ht="12" customHeight="1" x14ac:dyDescent="0.25"/>
    <row r="8137" ht="12" customHeight="1" x14ac:dyDescent="0.25"/>
    <row r="8138" ht="12" customHeight="1" x14ac:dyDescent="0.25"/>
    <row r="8139" ht="12" customHeight="1" x14ac:dyDescent="0.25"/>
    <row r="8140" ht="20.25" customHeight="1" x14ac:dyDescent="0.25"/>
    <row r="8141" ht="13.5" customHeight="1" x14ac:dyDescent="0.25"/>
    <row r="8142" ht="13.5" customHeight="1" x14ac:dyDescent="0.25"/>
    <row r="8143" ht="13.5" customHeight="1" x14ac:dyDescent="0.25"/>
    <row r="8144" ht="13.5" customHeight="1" x14ac:dyDescent="0.25"/>
    <row r="8145" ht="13.5" customHeight="1" x14ac:dyDescent="0.25"/>
    <row r="8146" ht="13.5" customHeight="1" x14ac:dyDescent="0.25"/>
    <row r="8147" ht="13.5" customHeight="1" x14ac:dyDescent="0.25"/>
    <row r="8148" ht="12" customHeight="1" x14ac:dyDescent="0.25"/>
    <row r="8149" ht="12" customHeight="1" x14ac:dyDescent="0.25"/>
    <row r="8150" ht="12" customHeight="1" x14ac:dyDescent="0.25"/>
    <row r="8151" ht="12" customHeight="1" x14ac:dyDescent="0.25"/>
    <row r="8152" ht="20.25" customHeight="1" x14ac:dyDescent="0.25"/>
    <row r="8153" ht="13.5" customHeight="1" x14ac:dyDescent="0.25"/>
    <row r="8155" ht="13.5" customHeight="1" x14ac:dyDescent="0.25"/>
    <row r="8156" ht="13.5" customHeight="1" x14ac:dyDescent="0.25"/>
    <row r="8157" ht="13.5" customHeight="1" x14ac:dyDescent="0.25"/>
    <row r="8158" ht="13.5" customHeight="1" x14ac:dyDescent="0.25"/>
    <row r="8159" ht="12" customHeight="1" x14ac:dyDescent="0.25"/>
    <row r="8160" ht="12" customHeight="1" x14ac:dyDescent="0.25"/>
    <row r="8161" ht="12" customHeight="1" x14ac:dyDescent="0.25"/>
    <row r="8162" ht="12" customHeight="1" x14ac:dyDescent="0.25"/>
    <row r="8163" ht="20.25" customHeight="1" x14ac:dyDescent="0.25"/>
    <row r="8164" ht="13.5" customHeight="1" x14ac:dyDescent="0.25"/>
    <row r="8165" ht="13.5" customHeight="1" x14ac:dyDescent="0.25"/>
    <row r="8166" ht="13.5" customHeight="1" x14ac:dyDescent="0.25"/>
    <row r="8167" ht="13.5" customHeight="1" x14ac:dyDescent="0.25"/>
    <row r="8168" ht="13.5" customHeight="1" x14ac:dyDescent="0.25"/>
    <row r="8169" ht="13.5" customHeight="1" x14ac:dyDescent="0.25"/>
    <row r="8170" ht="13.5" customHeight="1" x14ac:dyDescent="0.25"/>
    <row r="8171" ht="12" customHeight="1" x14ac:dyDescent="0.25"/>
    <row r="8172" ht="12" customHeight="1" x14ac:dyDescent="0.25"/>
    <row r="8173" ht="12" customHeight="1" x14ac:dyDescent="0.25"/>
    <row r="8174" ht="12" customHeight="1" x14ac:dyDescent="0.25"/>
    <row r="8175" ht="20.25" customHeight="1" x14ac:dyDescent="0.25"/>
    <row r="8176" ht="13.5" customHeight="1" x14ac:dyDescent="0.25"/>
    <row r="8178" ht="13.5" customHeight="1" x14ac:dyDescent="0.25"/>
    <row r="8179" ht="13.5" customHeight="1" x14ac:dyDescent="0.25"/>
    <row r="8180" ht="13.5" customHeight="1" x14ac:dyDescent="0.25"/>
    <row r="8181" ht="13.5" customHeight="1" x14ac:dyDescent="0.25"/>
    <row r="8182" ht="12" customHeight="1" x14ac:dyDescent="0.25"/>
    <row r="8183" ht="12" customHeight="1" x14ac:dyDescent="0.25"/>
    <row r="8184" ht="12" customHeight="1" x14ac:dyDescent="0.25"/>
    <row r="8185" ht="12" customHeight="1" x14ac:dyDescent="0.25"/>
    <row r="8186" ht="20.25" customHeight="1" x14ac:dyDescent="0.25"/>
    <row r="8187" ht="13.5" customHeight="1" x14ac:dyDescent="0.25"/>
    <row r="8188" ht="13.5" customHeight="1" x14ac:dyDescent="0.25"/>
    <row r="8189" ht="13.5" customHeight="1" x14ac:dyDescent="0.25"/>
    <row r="8190" ht="13.5" customHeight="1" x14ac:dyDescent="0.25"/>
    <row r="8191" ht="13.5" customHeight="1" x14ac:dyDescent="0.25"/>
    <row r="8192" ht="13.5" customHeight="1" x14ac:dyDescent="0.25"/>
    <row r="8193" ht="13.5" customHeight="1" x14ac:dyDescent="0.25"/>
    <row r="8194" ht="12" customHeight="1" x14ac:dyDescent="0.25"/>
    <row r="8195" ht="12" customHeight="1" x14ac:dyDescent="0.25"/>
    <row r="8196" ht="12" customHeight="1" x14ac:dyDescent="0.25"/>
    <row r="8197" ht="12" customHeight="1" x14ac:dyDescent="0.25"/>
    <row r="8198" ht="20.25" customHeight="1" x14ac:dyDescent="0.25"/>
    <row r="8199" ht="13.5" customHeight="1" x14ac:dyDescent="0.25"/>
    <row r="8201" ht="13.5" customHeight="1" x14ac:dyDescent="0.25"/>
    <row r="8202" ht="13.5" customHeight="1" x14ac:dyDescent="0.25"/>
    <row r="8203" ht="13.5" customHeight="1" x14ac:dyDescent="0.25"/>
    <row r="8204" ht="13.5" customHeight="1" x14ac:dyDescent="0.25"/>
    <row r="8205" ht="12" customHeight="1" x14ac:dyDescent="0.25"/>
    <row r="8206" ht="12" customHeight="1" x14ac:dyDescent="0.25"/>
    <row r="8207" ht="12" customHeight="1" x14ac:dyDescent="0.25"/>
    <row r="8208" ht="12" customHeight="1" x14ac:dyDescent="0.25"/>
    <row r="8209" ht="20.25" customHeight="1" x14ac:dyDescent="0.25"/>
    <row r="8210" ht="13.5" customHeight="1" x14ac:dyDescent="0.25"/>
    <row r="8211" ht="13.5" customHeight="1" x14ac:dyDescent="0.25"/>
    <row r="8212" ht="13.5" customHeight="1" x14ac:dyDescent="0.25"/>
    <row r="8213" ht="13.5" customHeight="1" x14ac:dyDescent="0.25"/>
    <row r="8214" ht="13.5" customHeight="1" x14ac:dyDescent="0.25"/>
    <row r="8215" ht="13.5" customHeight="1" x14ac:dyDescent="0.25"/>
    <row r="8216" ht="13.5" customHeight="1" x14ac:dyDescent="0.25"/>
    <row r="8217" ht="12" customHeight="1" x14ac:dyDescent="0.25"/>
    <row r="8218" ht="12" customHeight="1" x14ac:dyDescent="0.25"/>
    <row r="8219" ht="12" customHeight="1" x14ac:dyDescent="0.25"/>
    <row r="8220" ht="12" customHeight="1" x14ac:dyDescent="0.25"/>
    <row r="8221" ht="20.25" customHeight="1" x14ac:dyDescent="0.25"/>
    <row r="8222" ht="13.5" customHeight="1" x14ac:dyDescent="0.25"/>
    <row r="8224" ht="13.5" customHeight="1" x14ac:dyDescent="0.25"/>
    <row r="8225" ht="13.5" customHeight="1" x14ac:dyDescent="0.25"/>
    <row r="8226" ht="13.5" customHeight="1" x14ac:dyDescent="0.25"/>
    <row r="8227" ht="13.5" customHeight="1" x14ac:dyDescent="0.25"/>
    <row r="8228" ht="12" customHeight="1" x14ac:dyDescent="0.25"/>
    <row r="8229" ht="12" customHeight="1" x14ac:dyDescent="0.25"/>
    <row r="8230" ht="12" customHeight="1" x14ac:dyDescent="0.25"/>
    <row r="8231" ht="12" customHeight="1" x14ac:dyDescent="0.25"/>
    <row r="8232" ht="20.25" customHeight="1" x14ac:dyDescent="0.25"/>
    <row r="8233" ht="13.5" customHeight="1" x14ac:dyDescent="0.25"/>
    <row r="8234" ht="13.5" customHeight="1" x14ac:dyDescent="0.25"/>
    <row r="8235" ht="13.5" customHeight="1" x14ac:dyDescent="0.25"/>
    <row r="8236" ht="13.5" customHeight="1" x14ac:dyDescent="0.25"/>
    <row r="8237" ht="13.5" customHeight="1" x14ac:dyDescent="0.25"/>
    <row r="8238" ht="13.5" customHeight="1" x14ac:dyDescent="0.25"/>
    <row r="8239" ht="13.5" customHeight="1" x14ac:dyDescent="0.25"/>
    <row r="8240" ht="12" customHeight="1" x14ac:dyDescent="0.25"/>
    <row r="8241" ht="12" customHeight="1" x14ac:dyDescent="0.25"/>
    <row r="8242" ht="12" customHeight="1" x14ac:dyDescent="0.25"/>
    <row r="8243" ht="12" customHeight="1" x14ac:dyDescent="0.25"/>
    <row r="8244" ht="20.25" customHeight="1" x14ac:dyDescent="0.25"/>
    <row r="8245" ht="13.5" customHeight="1" x14ac:dyDescent="0.25"/>
    <row r="8247" ht="13.5" customHeight="1" x14ac:dyDescent="0.25"/>
    <row r="8248" ht="13.5" customHeight="1" x14ac:dyDescent="0.25"/>
    <row r="8249" ht="13.5" customHeight="1" x14ac:dyDescent="0.25"/>
    <row r="8250" ht="13.5" customHeight="1" x14ac:dyDescent="0.25"/>
    <row r="8251" ht="12" customHeight="1" x14ac:dyDescent="0.25"/>
    <row r="8252" ht="12" customHeight="1" x14ac:dyDescent="0.25"/>
    <row r="8253" ht="12" customHeight="1" x14ac:dyDescent="0.25"/>
    <row r="8254" ht="12" customHeight="1" x14ac:dyDescent="0.25"/>
    <row r="8255" ht="20.25" customHeight="1" x14ac:dyDescent="0.25"/>
    <row r="8256" ht="13.5" customHeight="1" x14ac:dyDescent="0.25"/>
    <row r="8257" ht="13.5" customHeight="1" x14ac:dyDescent="0.25"/>
    <row r="8258" ht="13.5" customHeight="1" x14ac:dyDescent="0.25"/>
    <row r="8259" ht="13.5" customHeight="1" x14ac:dyDescent="0.25"/>
    <row r="8260" ht="13.5" customHeight="1" x14ac:dyDescent="0.25"/>
    <row r="8261" ht="13.5" customHeight="1" x14ac:dyDescent="0.25"/>
    <row r="8262" ht="13.5" customHeight="1" x14ac:dyDescent="0.25"/>
    <row r="8263" ht="12" customHeight="1" x14ac:dyDescent="0.25"/>
    <row r="8264" ht="12" customHeight="1" x14ac:dyDescent="0.25"/>
    <row r="8265" ht="12" customHeight="1" x14ac:dyDescent="0.25"/>
    <row r="8266" ht="12" customHeight="1" x14ac:dyDescent="0.25"/>
    <row r="8267" ht="20.25" customHeight="1" x14ac:dyDescent="0.25"/>
    <row r="8268" ht="13.5" customHeight="1" x14ac:dyDescent="0.25"/>
    <row r="8270" ht="13.5" customHeight="1" x14ac:dyDescent="0.25"/>
    <row r="8271" ht="13.5" customHeight="1" x14ac:dyDescent="0.25"/>
    <row r="8272" ht="13.5" customHeight="1" x14ac:dyDescent="0.25"/>
    <row r="8273" ht="13.5" customHeight="1" x14ac:dyDescent="0.25"/>
    <row r="8274" ht="12" customHeight="1" x14ac:dyDescent="0.25"/>
    <row r="8275" ht="12" customHeight="1" x14ac:dyDescent="0.25"/>
    <row r="8276" ht="12" customHeight="1" x14ac:dyDescent="0.25"/>
    <row r="8277" ht="12" customHeight="1" x14ac:dyDescent="0.25"/>
    <row r="8278" ht="20.25" customHeight="1" x14ac:dyDescent="0.25"/>
    <row r="8279" ht="13.5" customHeight="1" x14ac:dyDescent="0.25"/>
    <row r="8280" ht="13.5" customHeight="1" x14ac:dyDescent="0.25"/>
    <row r="8281" ht="13.5" customHeight="1" x14ac:dyDescent="0.25"/>
    <row r="8282" ht="13.5" customHeight="1" x14ac:dyDescent="0.25"/>
    <row r="8283" ht="13.5" customHeight="1" x14ac:dyDescent="0.25"/>
    <row r="8284" ht="13.5" customHeight="1" x14ac:dyDescent="0.25"/>
    <row r="8285" ht="13.5" customHeight="1" x14ac:dyDescent="0.25"/>
    <row r="8286" ht="12" customHeight="1" x14ac:dyDescent="0.25"/>
    <row r="8287" ht="12" customHeight="1" x14ac:dyDescent="0.25"/>
    <row r="8288" ht="12" customHeight="1" x14ac:dyDescent="0.25"/>
    <row r="8289" ht="12" customHeight="1" x14ac:dyDescent="0.25"/>
    <row r="8290" ht="20.25" customHeight="1" x14ac:dyDescent="0.25"/>
    <row r="8291" ht="13.5" customHeight="1" x14ac:dyDescent="0.25"/>
    <row r="8293" ht="13.5" customHeight="1" x14ac:dyDescent="0.25"/>
    <row r="8294" ht="13.5" customHeight="1" x14ac:dyDescent="0.25"/>
    <row r="8295" ht="13.5" customHeight="1" x14ac:dyDescent="0.25"/>
    <row r="8296" ht="13.5" customHeight="1" x14ac:dyDescent="0.25"/>
    <row r="8297" ht="12" customHeight="1" x14ac:dyDescent="0.25"/>
    <row r="8298" ht="12" customHeight="1" x14ac:dyDescent="0.25"/>
    <row r="8299" ht="12" customHeight="1" x14ac:dyDescent="0.25"/>
    <row r="8300" ht="12" customHeight="1" x14ac:dyDescent="0.25"/>
    <row r="8301" ht="20.25" customHeight="1" x14ac:dyDescent="0.25"/>
    <row r="8302" ht="13.5" customHeight="1" x14ac:dyDescent="0.25"/>
    <row r="8303" ht="13.5" customHeight="1" x14ac:dyDescent="0.25"/>
    <row r="8304" ht="13.5" customHeight="1" x14ac:dyDescent="0.25"/>
    <row r="8305" ht="13.5" customHeight="1" x14ac:dyDescent="0.25"/>
    <row r="8306" ht="13.5" customHeight="1" x14ac:dyDescent="0.25"/>
    <row r="8307" ht="13.5" customHeight="1" x14ac:dyDescent="0.25"/>
    <row r="8308" ht="13.5" customHeight="1" x14ac:dyDescent="0.25"/>
    <row r="8309" ht="12" customHeight="1" x14ac:dyDescent="0.25"/>
    <row r="8310" ht="12" customHeight="1" x14ac:dyDescent="0.25"/>
    <row r="8311" ht="12" customHeight="1" x14ac:dyDescent="0.25"/>
    <row r="8312" ht="12" customHeight="1" x14ac:dyDescent="0.25"/>
    <row r="8313" ht="20.25" customHeight="1" x14ac:dyDescent="0.25"/>
    <row r="8314" ht="13.5" customHeight="1" x14ac:dyDescent="0.25"/>
    <row r="8316" ht="13.5" customHeight="1" x14ac:dyDescent="0.25"/>
    <row r="8317" ht="13.5" customHeight="1" x14ac:dyDescent="0.25"/>
    <row r="8318" ht="13.5" customHeight="1" x14ac:dyDescent="0.25"/>
    <row r="8319" ht="13.5" customHeight="1" x14ac:dyDescent="0.25"/>
    <row r="8320" ht="12" customHeight="1" x14ac:dyDescent="0.25"/>
    <row r="8321" ht="12" customHeight="1" x14ac:dyDescent="0.25"/>
    <row r="8322" ht="12" customHeight="1" x14ac:dyDescent="0.25"/>
    <row r="8323" ht="12" customHeight="1" x14ac:dyDescent="0.25"/>
    <row r="8324" ht="20.25" customHeight="1" x14ac:dyDescent="0.25"/>
    <row r="8325" ht="13.5" customHeight="1" x14ac:dyDescent="0.25"/>
    <row r="8326" ht="13.5" customHeight="1" x14ac:dyDescent="0.25"/>
    <row r="8327" ht="13.5" customHeight="1" x14ac:dyDescent="0.25"/>
    <row r="8328" ht="13.5" customHeight="1" x14ac:dyDescent="0.25"/>
    <row r="8329" ht="13.5" customHeight="1" x14ac:dyDescent="0.25"/>
    <row r="8330" ht="13.5" customHeight="1" x14ac:dyDescent="0.25"/>
    <row r="8331" ht="13.5" customHeight="1" x14ac:dyDescent="0.25"/>
    <row r="8332" ht="12" customHeight="1" x14ac:dyDescent="0.25"/>
    <row r="8333" ht="12" customHeight="1" x14ac:dyDescent="0.25"/>
    <row r="8334" ht="12" customHeight="1" x14ac:dyDescent="0.25"/>
    <row r="8335" ht="12" customHeight="1" x14ac:dyDescent="0.25"/>
    <row r="8336" ht="20.25" customHeight="1" x14ac:dyDescent="0.25"/>
    <row r="8337" ht="13.5" customHeight="1" x14ac:dyDescent="0.25"/>
    <row r="8339" ht="13.5" customHeight="1" x14ac:dyDescent="0.25"/>
    <row r="8340" ht="13.5" customHeight="1" x14ac:dyDescent="0.25"/>
    <row r="8341" ht="13.5" customHeight="1" x14ac:dyDescent="0.25"/>
    <row r="8342" ht="13.5" customHeight="1" x14ac:dyDescent="0.25"/>
    <row r="8343" ht="12" customHeight="1" x14ac:dyDescent="0.25"/>
    <row r="8344" ht="12" customHeight="1" x14ac:dyDescent="0.25"/>
    <row r="8345" ht="12" customHeight="1" x14ac:dyDescent="0.25"/>
    <row r="8346" ht="12" customHeight="1" x14ac:dyDescent="0.25"/>
    <row r="8347" ht="20.25" customHeight="1" x14ac:dyDescent="0.25"/>
    <row r="8348" ht="13.5" customHeight="1" x14ac:dyDescent="0.25"/>
    <row r="8349" ht="13.5" customHeight="1" x14ac:dyDescent="0.25"/>
    <row r="8350" ht="13.5" customHeight="1" x14ac:dyDescent="0.25"/>
    <row r="8351" ht="13.5" customHeight="1" x14ac:dyDescent="0.25"/>
    <row r="8352" ht="13.5" customHeight="1" x14ac:dyDescent="0.25"/>
    <row r="8353" ht="13.5" customHeight="1" x14ac:dyDescent="0.25"/>
    <row r="8354" ht="13.5" customHeight="1" x14ac:dyDescent="0.25"/>
    <row r="8355" ht="12" customHeight="1" x14ac:dyDescent="0.25"/>
    <row r="8356" ht="12" customHeight="1" x14ac:dyDescent="0.25"/>
    <row r="8357" ht="12" customHeight="1" x14ac:dyDescent="0.25"/>
    <row r="8358" ht="12" customHeight="1" x14ac:dyDescent="0.25"/>
    <row r="8359" ht="20.25" customHeight="1" x14ac:dyDescent="0.25"/>
    <row r="8360" ht="13.5" customHeight="1" x14ac:dyDescent="0.25"/>
    <row r="8362" ht="13.5" customHeight="1" x14ac:dyDescent="0.25"/>
    <row r="8363" ht="13.5" customHeight="1" x14ac:dyDescent="0.25"/>
    <row r="8364" ht="13.5" customHeight="1" x14ac:dyDescent="0.25"/>
    <row r="8365" ht="13.5" customHeight="1" x14ac:dyDescent="0.25"/>
    <row r="8366" ht="12" customHeight="1" x14ac:dyDescent="0.25"/>
    <row r="8367" ht="12" customHeight="1" x14ac:dyDescent="0.25"/>
    <row r="8368" ht="12" customHeight="1" x14ac:dyDescent="0.25"/>
    <row r="8369" ht="12" customHeight="1" x14ac:dyDescent="0.25"/>
    <row r="8370" ht="20.25" customHeight="1" x14ac:dyDescent="0.25"/>
    <row r="8371" ht="13.5" customHeight="1" x14ac:dyDescent="0.25"/>
    <row r="8372" ht="13.5" customHeight="1" x14ac:dyDescent="0.25"/>
    <row r="8373" ht="13.5" customHeight="1" x14ac:dyDescent="0.25"/>
    <row r="8374" ht="13.5" customHeight="1" x14ac:dyDescent="0.25"/>
    <row r="8375" ht="13.5" customHeight="1" x14ac:dyDescent="0.25"/>
    <row r="8376" ht="13.5" customHeight="1" x14ac:dyDescent="0.25"/>
    <row r="8377" ht="13.5" customHeight="1" x14ac:dyDescent="0.25"/>
    <row r="8378" ht="12" customHeight="1" x14ac:dyDescent="0.25"/>
    <row r="8379" ht="12" customHeight="1" x14ac:dyDescent="0.25"/>
    <row r="8380" ht="12" customHeight="1" x14ac:dyDescent="0.25"/>
    <row r="8381" ht="12" customHeight="1" x14ac:dyDescent="0.25"/>
    <row r="8382" ht="20.25" customHeight="1" x14ac:dyDescent="0.25"/>
    <row r="8383" ht="13.5" customHeight="1" x14ac:dyDescent="0.25"/>
    <row r="8385" ht="13.5" customHeight="1" x14ac:dyDescent="0.25"/>
    <row r="8386" ht="13.5" customHeight="1" x14ac:dyDescent="0.25"/>
    <row r="8387" ht="13.5" customHeight="1" x14ac:dyDescent="0.25"/>
    <row r="8388" ht="13.5" customHeight="1" x14ac:dyDescent="0.25"/>
    <row r="8389" ht="12" customHeight="1" x14ac:dyDescent="0.25"/>
    <row r="8390" ht="12" customHeight="1" x14ac:dyDescent="0.25"/>
    <row r="8391" ht="12" customHeight="1" x14ac:dyDescent="0.25"/>
    <row r="8392" ht="12" customHeight="1" x14ac:dyDescent="0.25"/>
    <row r="8393" ht="20.25" customHeight="1" x14ac:dyDescent="0.25"/>
    <row r="8394" ht="13.5" customHeight="1" x14ac:dyDescent="0.25"/>
    <row r="8395" ht="13.5" customHeight="1" x14ac:dyDescent="0.25"/>
    <row r="8396" ht="13.5" customHeight="1" x14ac:dyDescent="0.25"/>
    <row r="8397" ht="13.5" customHeight="1" x14ac:dyDescent="0.25"/>
    <row r="8398" ht="13.5" customHeight="1" x14ac:dyDescent="0.25"/>
    <row r="8399" ht="13.5" customHeight="1" x14ac:dyDescent="0.25"/>
    <row r="8400" ht="13.5" customHeight="1" x14ac:dyDescent="0.25"/>
    <row r="8401" ht="12" customHeight="1" x14ac:dyDescent="0.25"/>
    <row r="8402" ht="12" customHeight="1" x14ac:dyDescent="0.25"/>
    <row r="8403" ht="12" customHeight="1" x14ac:dyDescent="0.25"/>
    <row r="8404" ht="12" customHeight="1" x14ac:dyDescent="0.25"/>
    <row r="8405" ht="20.25" customHeight="1" x14ac:dyDescent="0.25"/>
    <row r="8406" ht="13.5" customHeight="1" x14ac:dyDescent="0.25"/>
    <row r="8408" ht="13.5" customHeight="1" x14ac:dyDescent="0.25"/>
    <row r="8409" ht="13.5" customHeight="1" x14ac:dyDescent="0.25"/>
    <row r="8410" ht="13.5" customHeight="1" x14ac:dyDescent="0.25"/>
    <row r="8411" ht="13.5" customHeight="1" x14ac:dyDescent="0.25"/>
    <row r="8412" ht="12" customHeight="1" x14ac:dyDescent="0.25"/>
    <row r="8413" ht="12" customHeight="1" x14ac:dyDescent="0.25"/>
    <row r="8414" ht="12" customHeight="1" x14ac:dyDescent="0.25"/>
    <row r="8415" ht="12" customHeight="1" x14ac:dyDescent="0.25"/>
    <row r="8416" ht="20.25" customHeight="1" x14ac:dyDescent="0.25"/>
    <row r="8417" ht="13.5" customHeight="1" x14ac:dyDescent="0.25"/>
    <row r="8418" ht="13.5" customHeight="1" x14ac:dyDescent="0.25"/>
    <row r="8419" ht="13.5" customHeight="1" x14ac:dyDescent="0.25"/>
    <row r="8420" ht="13.5" customHeight="1" x14ac:dyDescent="0.25"/>
    <row r="8421" ht="13.5" customHeight="1" x14ac:dyDescent="0.25"/>
    <row r="8422" ht="13.5" customHeight="1" x14ac:dyDescent="0.25"/>
    <row r="8423" ht="13.5" customHeight="1" x14ac:dyDescent="0.25"/>
    <row r="8424" ht="12" customHeight="1" x14ac:dyDescent="0.25"/>
    <row r="8425" ht="12" customHeight="1" x14ac:dyDescent="0.25"/>
    <row r="8426" ht="12" customHeight="1" x14ac:dyDescent="0.25"/>
    <row r="8427" ht="12" customHeight="1" x14ac:dyDescent="0.25"/>
    <row r="8428" ht="20.25" customHeight="1" x14ac:dyDescent="0.25"/>
    <row r="8429" ht="13.5" customHeight="1" x14ac:dyDescent="0.25"/>
    <row r="8431" ht="13.5" customHeight="1" x14ac:dyDescent="0.25"/>
    <row r="8432" ht="13.5" customHeight="1" x14ac:dyDescent="0.25"/>
    <row r="8433" ht="13.5" customHeight="1" x14ac:dyDescent="0.25"/>
    <row r="8434" ht="13.5" customHeight="1" x14ac:dyDescent="0.25"/>
    <row r="8435" ht="12" customHeight="1" x14ac:dyDescent="0.25"/>
    <row r="8436" ht="12" customHeight="1" x14ac:dyDescent="0.25"/>
    <row r="8437" ht="12" customHeight="1" x14ac:dyDescent="0.25"/>
    <row r="8438" ht="12" customHeight="1" x14ac:dyDescent="0.25"/>
    <row r="8439" ht="20.25" customHeight="1" x14ac:dyDescent="0.25"/>
    <row r="8440" ht="13.5" customHeight="1" x14ac:dyDescent="0.25"/>
    <row r="8441" ht="13.5" customHeight="1" x14ac:dyDescent="0.25"/>
    <row r="8442" ht="13.5" customHeight="1" x14ac:dyDescent="0.25"/>
    <row r="8443" ht="13.5" customHeight="1" x14ac:dyDescent="0.25"/>
    <row r="8444" ht="13.5" customHeight="1" x14ac:dyDescent="0.25"/>
    <row r="8445" ht="13.5" customHeight="1" x14ac:dyDescent="0.25"/>
    <row r="8446" ht="13.5" customHeight="1" x14ac:dyDescent="0.25"/>
    <row r="8447" ht="12" customHeight="1" x14ac:dyDescent="0.25"/>
    <row r="8448" ht="12" customHeight="1" x14ac:dyDescent="0.25"/>
    <row r="8449" ht="12" customHeight="1" x14ac:dyDescent="0.25"/>
    <row r="8450" ht="12" customHeight="1" x14ac:dyDescent="0.25"/>
    <row r="8451" ht="20.25" customHeight="1" x14ac:dyDescent="0.25"/>
    <row r="8452" ht="13.5" customHeight="1" x14ac:dyDescent="0.25"/>
    <row r="8454" ht="13.5" customHeight="1" x14ac:dyDescent="0.25"/>
    <row r="8455" ht="13.5" customHeight="1" x14ac:dyDescent="0.25"/>
    <row r="8456" ht="13.5" customHeight="1" x14ac:dyDescent="0.25"/>
    <row r="8457" ht="13.5" customHeight="1" x14ac:dyDescent="0.25"/>
    <row r="8458" ht="12" customHeight="1" x14ac:dyDescent="0.25"/>
    <row r="8459" ht="12" customHeight="1" x14ac:dyDescent="0.25"/>
    <row r="8460" ht="12" customHeight="1" x14ac:dyDescent="0.25"/>
    <row r="8461" ht="12" customHeight="1" x14ac:dyDescent="0.25"/>
    <row r="8462" ht="20.25" customHeight="1" x14ac:dyDescent="0.25"/>
    <row r="8463" ht="13.5" customHeight="1" x14ac:dyDescent="0.25"/>
    <row r="8464" ht="13.5" customHeight="1" x14ac:dyDescent="0.25"/>
    <row r="8465" ht="13.5" customHeight="1" x14ac:dyDescent="0.25"/>
    <row r="8466" ht="13.5" customHeight="1" x14ac:dyDescent="0.25"/>
    <row r="8467" ht="13.5" customHeight="1" x14ac:dyDescent="0.25"/>
    <row r="8468" ht="13.5" customHeight="1" x14ac:dyDescent="0.25"/>
    <row r="8469" ht="13.5" customHeight="1" x14ac:dyDescent="0.25"/>
    <row r="8470" ht="12" customHeight="1" x14ac:dyDescent="0.25"/>
    <row r="8471" ht="12" customHeight="1" x14ac:dyDescent="0.25"/>
    <row r="8472" ht="12" customHeight="1" x14ac:dyDescent="0.25"/>
    <row r="8473" ht="12" customHeight="1" x14ac:dyDescent="0.25"/>
    <row r="8474" ht="20.25" customHeight="1" x14ac:dyDescent="0.25"/>
    <row r="8475" ht="13.5" customHeight="1" x14ac:dyDescent="0.25"/>
    <row r="8477" ht="13.5" customHeight="1" x14ac:dyDescent="0.25"/>
    <row r="8478" ht="13.5" customHeight="1" x14ac:dyDescent="0.25"/>
    <row r="8479" ht="13.5" customHeight="1" x14ac:dyDescent="0.25"/>
    <row r="8480" ht="13.5" customHeight="1" x14ac:dyDescent="0.25"/>
    <row r="8481" ht="12" customHeight="1" x14ac:dyDescent="0.25"/>
    <row r="8482" ht="12" customHeight="1" x14ac:dyDescent="0.25"/>
    <row r="8483" ht="12" customHeight="1" x14ac:dyDescent="0.25"/>
    <row r="8484" ht="12" customHeight="1" x14ac:dyDescent="0.25"/>
    <row r="8485" ht="20.25" customHeight="1" x14ac:dyDescent="0.25"/>
    <row r="8486" ht="13.5" customHeight="1" x14ac:dyDescent="0.25"/>
    <row r="8487" ht="13.5" customHeight="1" x14ac:dyDescent="0.25"/>
    <row r="8488" ht="13.5" customHeight="1" x14ac:dyDescent="0.25"/>
    <row r="8489" ht="13.5" customHeight="1" x14ac:dyDescent="0.25"/>
    <row r="8490" ht="13.5" customHeight="1" x14ac:dyDescent="0.25"/>
    <row r="8491" ht="13.5" customHeight="1" x14ac:dyDescent="0.25"/>
    <row r="8492" ht="13.5" customHeight="1" x14ac:dyDescent="0.25"/>
    <row r="8493" ht="12" customHeight="1" x14ac:dyDescent="0.25"/>
    <row r="8494" ht="12" customHeight="1" x14ac:dyDescent="0.25"/>
    <row r="8495" ht="12" customHeight="1" x14ac:dyDescent="0.25"/>
    <row r="8496" ht="12" customHeight="1" x14ac:dyDescent="0.25"/>
    <row r="8497" ht="20.25" customHeight="1" x14ac:dyDescent="0.25"/>
    <row r="8498" ht="13.5" customHeight="1" x14ac:dyDescent="0.25"/>
    <row r="8500" ht="13.5" customHeight="1" x14ac:dyDescent="0.25"/>
    <row r="8501" ht="13.5" customHeight="1" x14ac:dyDescent="0.25"/>
    <row r="8502" ht="13.5" customHeight="1" x14ac:dyDescent="0.25"/>
    <row r="8503" ht="13.5" customHeight="1" x14ac:dyDescent="0.25"/>
    <row r="8504" ht="12" customHeight="1" x14ac:dyDescent="0.25"/>
    <row r="8505" ht="12" customHeight="1" x14ac:dyDescent="0.25"/>
    <row r="8506" ht="12" customHeight="1" x14ac:dyDescent="0.25"/>
    <row r="8507" ht="12" customHeight="1" x14ac:dyDescent="0.25"/>
    <row r="8508" ht="20.25" customHeight="1" x14ac:dyDescent="0.25"/>
    <row r="8509" ht="13.5" customHeight="1" x14ac:dyDescent="0.25"/>
    <row r="8510" ht="13.5" customHeight="1" x14ac:dyDescent="0.25"/>
    <row r="8511" ht="13.5" customHeight="1" x14ac:dyDescent="0.25"/>
    <row r="8512" ht="13.5" customHeight="1" x14ac:dyDescent="0.25"/>
    <row r="8513" ht="13.5" customHeight="1" x14ac:dyDescent="0.25"/>
    <row r="8514" ht="13.5" customHeight="1" x14ac:dyDescent="0.25"/>
    <row r="8515" ht="13.5" customHeight="1" x14ac:dyDescent="0.25"/>
    <row r="8516" ht="12" customHeight="1" x14ac:dyDescent="0.25"/>
    <row r="8517" ht="12" customHeight="1" x14ac:dyDescent="0.25"/>
    <row r="8518" ht="12" customHeight="1" x14ac:dyDescent="0.25"/>
    <row r="8519" ht="12" customHeight="1" x14ac:dyDescent="0.25"/>
    <row r="8520" ht="20.25" customHeight="1" x14ac:dyDescent="0.25"/>
    <row r="8521" ht="13.5" customHeight="1" x14ac:dyDescent="0.25"/>
    <row r="8523" ht="13.5" customHeight="1" x14ac:dyDescent="0.25"/>
    <row r="8524" ht="13.5" customHeight="1" x14ac:dyDescent="0.25"/>
    <row r="8525" ht="13.5" customHeight="1" x14ac:dyDescent="0.25"/>
    <row r="8526" ht="13.5" customHeight="1" x14ac:dyDescent="0.25"/>
    <row r="8527" ht="12" customHeight="1" x14ac:dyDescent="0.25"/>
    <row r="8528" ht="12" customHeight="1" x14ac:dyDescent="0.25"/>
    <row r="8529" ht="12" customHeight="1" x14ac:dyDescent="0.25"/>
    <row r="8530" ht="12" customHeight="1" x14ac:dyDescent="0.25"/>
    <row r="8531" ht="20.25" customHeight="1" x14ac:dyDescent="0.25"/>
    <row r="8532" ht="13.5" customHeight="1" x14ac:dyDescent="0.25"/>
    <row r="8533" ht="13.5" customHeight="1" x14ac:dyDescent="0.25"/>
    <row r="8534" ht="13.5" customHeight="1" x14ac:dyDescent="0.25"/>
    <row r="8535" ht="13.5" customHeight="1" x14ac:dyDescent="0.25"/>
    <row r="8536" ht="13.5" customHeight="1" x14ac:dyDescent="0.25"/>
    <row r="8537" ht="13.5" customHeight="1" x14ac:dyDescent="0.25"/>
    <row r="8538" ht="13.5" customHeight="1" x14ac:dyDescent="0.25"/>
    <row r="8539" ht="12" customHeight="1" x14ac:dyDescent="0.25"/>
    <row r="8540" ht="12" customHeight="1" x14ac:dyDescent="0.25"/>
    <row r="8541" ht="12" customHeight="1" x14ac:dyDescent="0.25"/>
    <row r="8542" ht="12" customHeight="1" x14ac:dyDescent="0.25"/>
    <row r="8543" ht="20.25" customHeight="1" x14ac:dyDescent="0.25"/>
    <row r="8544" ht="13.5" customHeight="1" x14ac:dyDescent="0.25"/>
    <row r="8546" ht="13.5" customHeight="1" x14ac:dyDescent="0.25"/>
    <row r="8547" ht="13.5" customHeight="1" x14ac:dyDescent="0.25"/>
    <row r="8548" ht="13.5" customHeight="1" x14ac:dyDescent="0.25"/>
    <row r="8549" ht="13.5" customHeight="1" x14ac:dyDescent="0.25"/>
    <row r="8550" ht="12" customHeight="1" x14ac:dyDescent="0.25"/>
    <row r="8551" ht="12" customHeight="1" x14ac:dyDescent="0.25"/>
    <row r="8552" ht="12" customHeight="1" x14ac:dyDescent="0.25"/>
    <row r="8553" ht="12" customHeight="1" x14ac:dyDescent="0.25"/>
    <row r="8554" ht="20.25" customHeight="1" x14ac:dyDescent="0.25"/>
    <row r="8555" ht="13.5" customHeight="1" x14ac:dyDescent="0.25"/>
    <row r="8556" ht="13.5" customHeight="1" x14ac:dyDescent="0.25"/>
    <row r="8557" ht="13.5" customHeight="1" x14ac:dyDescent="0.25"/>
    <row r="8558" ht="13.5" customHeight="1" x14ac:dyDescent="0.25"/>
    <row r="8559" ht="13.5" customHeight="1" x14ac:dyDescent="0.25"/>
    <row r="8560" ht="13.5" customHeight="1" x14ac:dyDescent="0.25"/>
    <row r="8561" ht="13.5" customHeight="1" x14ac:dyDescent="0.25"/>
    <row r="8562" ht="12" customHeight="1" x14ac:dyDescent="0.25"/>
    <row r="8563" ht="12" customHeight="1" x14ac:dyDescent="0.25"/>
    <row r="8564" ht="12" customHeight="1" x14ac:dyDescent="0.25"/>
    <row r="8565" ht="12" customHeight="1" x14ac:dyDescent="0.25"/>
    <row r="8566" ht="20.25" customHeight="1" x14ac:dyDescent="0.25"/>
    <row r="8567" ht="13.5" customHeight="1" x14ac:dyDescent="0.25"/>
    <row r="8569" ht="13.5" customHeight="1" x14ac:dyDescent="0.25"/>
    <row r="8570" ht="13.5" customHeight="1" x14ac:dyDescent="0.25"/>
    <row r="8571" ht="13.5" customHeight="1" x14ac:dyDescent="0.25"/>
    <row r="8572" ht="13.5" customHeight="1" x14ac:dyDescent="0.25"/>
    <row r="8573" ht="12" customHeight="1" x14ac:dyDescent="0.25"/>
    <row r="8574" ht="12" customHeight="1" x14ac:dyDescent="0.25"/>
    <row r="8575" ht="12" customHeight="1" x14ac:dyDescent="0.25"/>
    <row r="8576" ht="12" customHeight="1" x14ac:dyDescent="0.25"/>
    <row r="8577" ht="20.25" customHeight="1" x14ac:dyDescent="0.25"/>
    <row r="8578" ht="13.5" customHeight="1" x14ac:dyDescent="0.25"/>
    <row r="8579" ht="13.5" customHeight="1" x14ac:dyDescent="0.25"/>
    <row r="8580" ht="13.5" customHeight="1" x14ac:dyDescent="0.25"/>
    <row r="8581" ht="13.5" customHeight="1" x14ac:dyDescent="0.25"/>
    <row r="8582" ht="13.5" customHeight="1" x14ac:dyDescent="0.25"/>
    <row r="8583" ht="13.5" customHeight="1" x14ac:dyDescent="0.25"/>
    <row r="8584" ht="13.5" customHeight="1" x14ac:dyDescent="0.25"/>
    <row r="8585" ht="12" customHeight="1" x14ac:dyDescent="0.25"/>
    <row r="8586" ht="12" customHeight="1" x14ac:dyDescent="0.25"/>
    <row r="8587" ht="12" customHeight="1" x14ac:dyDescent="0.25"/>
    <row r="8588" ht="12" customHeight="1" x14ac:dyDescent="0.25"/>
    <row r="8589" ht="20.25" customHeight="1" x14ac:dyDescent="0.25"/>
    <row r="8590" ht="13.5" customHeight="1" x14ac:dyDescent="0.25"/>
    <row r="8592" ht="13.5" customHeight="1" x14ac:dyDescent="0.25"/>
    <row r="8593" ht="13.5" customHeight="1" x14ac:dyDescent="0.25"/>
    <row r="8594" ht="13.5" customHeight="1" x14ac:dyDescent="0.25"/>
    <row r="8595" ht="13.5" customHeight="1" x14ac:dyDescent="0.25"/>
    <row r="8596" ht="12" customHeight="1" x14ac:dyDescent="0.25"/>
    <row r="8597" ht="12" customHeight="1" x14ac:dyDescent="0.25"/>
    <row r="8598" ht="12" customHeight="1" x14ac:dyDescent="0.25"/>
    <row r="8599" ht="12" customHeight="1" x14ac:dyDescent="0.25"/>
    <row r="8600" ht="20.25" customHeight="1" x14ac:dyDescent="0.25"/>
    <row r="8601" ht="13.5" customHeight="1" x14ac:dyDescent="0.25"/>
    <row r="8602" ht="13.5" customHeight="1" x14ac:dyDescent="0.25"/>
    <row r="8603" ht="13.5" customHeight="1" x14ac:dyDescent="0.25"/>
    <row r="8604" ht="13.5" customHeight="1" x14ac:dyDescent="0.25"/>
    <row r="8605" ht="13.5" customHeight="1" x14ac:dyDescent="0.25"/>
    <row r="8606" ht="13.5" customHeight="1" x14ac:dyDescent="0.25"/>
    <row r="8607" ht="13.5" customHeight="1" x14ac:dyDescent="0.25"/>
    <row r="8608" ht="12" customHeight="1" x14ac:dyDescent="0.25"/>
    <row r="8609" ht="12" customHeight="1" x14ac:dyDescent="0.25"/>
    <row r="8610" ht="12" customHeight="1" x14ac:dyDescent="0.25"/>
    <row r="8611" ht="12" customHeight="1" x14ac:dyDescent="0.25"/>
    <row r="8612" ht="20.25" customHeight="1" x14ac:dyDescent="0.25"/>
    <row r="8613" ht="13.5" customHeight="1" x14ac:dyDescent="0.25"/>
    <row r="8615" ht="13.5" customHeight="1" x14ac:dyDescent="0.25"/>
    <row r="8616" ht="13.5" customHeight="1" x14ac:dyDescent="0.25"/>
    <row r="8617" ht="13.5" customHeight="1" x14ac:dyDescent="0.25"/>
    <row r="8618" ht="13.5" customHeight="1" x14ac:dyDescent="0.25"/>
    <row r="8619" ht="12" customHeight="1" x14ac:dyDescent="0.25"/>
    <row r="8620" ht="12" customHeight="1" x14ac:dyDescent="0.25"/>
    <row r="8621" ht="12" customHeight="1" x14ac:dyDescent="0.25"/>
    <row r="8622" ht="12" customHeight="1" x14ac:dyDescent="0.25"/>
    <row r="8623" ht="20.25" customHeight="1" x14ac:dyDescent="0.25"/>
    <row r="8624" ht="13.5" customHeight="1" x14ac:dyDescent="0.25"/>
    <row r="8625" ht="13.5" customHeight="1" x14ac:dyDescent="0.25"/>
    <row r="8626" ht="13.5" customHeight="1" x14ac:dyDescent="0.25"/>
    <row r="8627" ht="13.5" customHeight="1" x14ac:dyDescent="0.25"/>
    <row r="8628" ht="13.5" customHeight="1" x14ac:dyDescent="0.25"/>
    <row r="8629" ht="13.5" customHeight="1" x14ac:dyDescent="0.25"/>
    <row r="8630" ht="13.5" customHeight="1" x14ac:dyDescent="0.25"/>
    <row r="8631" ht="12" customHeight="1" x14ac:dyDescent="0.25"/>
    <row r="8632" ht="12" customHeight="1" x14ac:dyDescent="0.25"/>
    <row r="8633" ht="12" customHeight="1" x14ac:dyDescent="0.25"/>
    <row r="8634" ht="12" customHeight="1" x14ac:dyDescent="0.25"/>
    <row r="8635" ht="20.25" customHeight="1" x14ac:dyDescent="0.25"/>
    <row r="8636" ht="13.5" customHeight="1" x14ac:dyDescent="0.25"/>
    <row r="8638" ht="13.5" customHeight="1" x14ac:dyDescent="0.25"/>
    <row r="8639" ht="13.5" customHeight="1" x14ac:dyDescent="0.25"/>
    <row r="8640" ht="13.5" customHeight="1" x14ac:dyDescent="0.25"/>
    <row r="8641" ht="13.5" customHeight="1" x14ac:dyDescent="0.25"/>
    <row r="8642" ht="12" customHeight="1" x14ac:dyDescent="0.25"/>
    <row r="8643" ht="12" customHeight="1" x14ac:dyDescent="0.25"/>
    <row r="8644" ht="12" customHeight="1" x14ac:dyDescent="0.25"/>
    <row r="8645" ht="12" customHeight="1" x14ac:dyDescent="0.25"/>
    <row r="8646" ht="20.25" customHeight="1" x14ac:dyDescent="0.25"/>
    <row r="8647" ht="13.5" customHeight="1" x14ac:dyDescent="0.25"/>
    <row r="8648" ht="13.5" customHeight="1" x14ac:dyDescent="0.25"/>
    <row r="8649" ht="13.5" customHeight="1" x14ac:dyDescent="0.25"/>
    <row r="8650" ht="13.5" customHeight="1" x14ac:dyDescent="0.25"/>
    <row r="8651" ht="13.5" customHeight="1" x14ac:dyDescent="0.25"/>
    <row r="8652" ht="13.5" customHeight="1" x14ac:dyDescent="0.25"/>
    <row r="8653" ht="13.5" customHeight="1" x14ac:dyDescent="0.25"/>
    <row r="8654" ht="12" customHeight="1" x14ac:dyDescent="0.25"/>
    <row r="8655" ht="12" customHeight="1" x14ac:dyDescent="0.25"/>
    <row r="8656" ht="12" customHeight="1" x14ac:dyDescent="0.25"/>
    <row r="8657" ht="12" customHeight="1" x14ac:dyDescent="0.25"/>
    <row r="8658" ht="20.25" customHeight="1" x14ac:dyDescent="0.25"/>
    <row r="8659" ht="13.5" customHeight="1" x14ac:dyDescent="0.25"/>
    <row r="8661" ht="13.5" customHeight="1" x14ac:dyDescent="0.25"/>
    <row r="8662" ht="13.5" customHeight="1" x14ac:dyDescent="0.25"/>
    <row r="8663" ht="13.5" customHeight="1" x14ac:dyDescent="0.25"/>
    <row r="8664" ht="13.5" customHeight="1" x14ac:dyDescent="0.25"/>
    <row r="8665" ht="12" customHeight="1" x14ac:dyDescent="0.25"/>
    <row r="8666" ht="12" customHeight="1" x14ac:dyDescent="0.25"/>
    <row r="8667" ht="12" customHeight="1" x14ac:dyDescent="0.25"/>
    <row r="8668" ht="12" customHeight="1" x14ac:dyDescent="0.25"/>
    <row r="8669" ht="20.25" customHeight="1" x14ac:dyDescent="0.25"/>
    <row r="8670" ht="13.5" customHeight="1" x14ac:dyDescent="0.25"/>
    <row r="8671" ht="13.5" customHeight="1" x14ac:dyDescent="0.25"/>
    <row r="8672" ht="13.5" customHeight="1" x14ac:dyDescent="0.25"/>
    <row r="8673" ht="13.5" customHeight="1" x14ac:dyDescent="0.25"/>
    <row r="8674" ht="13.5" customHeight="1" x14ac:dyDescent="0.25"/>
    <row r="8675" ht="13.5" customHeight="1" x14ac:dyDescent="0.25"/>
    <row r="8676" ht="13.5" customHeight="1" x14ac:dyDescent="0.25"/>
    <row r="8677" ht="12" customHeight="1" x14ac:dyDescent="0.25"/>
    <row r="8678" ht="12" customHeight="1" x14ac:dyDescent="0.25"/>
    <row r="8679" ht="12" customHeight="1" x14ac:dyDescent="0.25"/>
    <row r="8680" ht="12" customHeight="1" x14ac:dyDescent="0.25"/>
    <row r="8681" ht="20.25" customHeight="1" x14ac:dyDescent="0.25"/>
    <row r="8682" ht="13.5" customHeight="1" x14ac:dyDescent="0.25"/>
    <row r="8684" ht="13.5" customHeight="1" x14ac:dyDescent="0.25"/>
    <row r="8685" ht="13.5" customHeight="1" x14ac:dyDescent="0.25"/>
    <row r="8686" ht="13.5" customHeight="1" x14ac:dyDescent="0.25"/>
    <row r="8687" ht="13.5" customHeight="1" x14ac:dyDescent="0.25"/>
    <row r="8688" ht="12" customHeight="1" x14ac:dyDescent="0.25"/>
    <row r="8689" ht="12" customHeight="1" x14ac:dyDescent="0.25"/>
    <row r="8690" ht="12" customHeight="1" x14ac:dyDescent="0.25"/>
    <row r="8691" ht="12" customHeight="1" x14ac:dyDescent="0.25"/>
    <row r="8692" ht="20.25" customHeight="1" x14ac:dyDescent="0.25"/>
    <row r="8693" ht="13.5" customHeight="1" x14ac:dyDescent="0.25"/>
    <row r="8694" ht="13.5" customHeight="1" x14ac:dyDescent="0.25"/>
    <row r="8695" ht="13.5" customHeight="1" x14ac:dyDescent="0.25"/>
    <row r="8696" ht="13.5" customHeight="1" x14ac:dyDescent="0.25"/>
    <row r="8697" ht="13.5" customHeight="1" x14ac:dyDescent="0.25"/>
    <row r="8698" ht="13.5" customHeight="1" x14ac:dyDescent="0.25"/>
    <row r="8699" ht="13.5" customHeight="1" x14ac:dyDescent="0.25"/>
    <row r="8700" ht="12" customHeight="1" x14ac:dyDescent="0.25"/>
    <row r="8701" ht="12" customHeight="1" x14ac:dyDescent="0.25"/>
    <row r="8702" ht="12" customHeight="1" x14ac:dyDescent="0.25"/>
    <row r="8703" ht="12" customHeight="1" x14ac:dyDescent="0.25"/>
    <row r="8704" ht="20.25" customHeight="1" x14ac:dyDescent="0.25"/>
    <row r="8705" ht="13.5" customHeight="1" x14ac:dyDescent="0.25"/>
    <row r="8707" ht="13.5" customHeight="1" x14ac:dyDescent="0.25"/>
    <row r="8708" ht="13.5" customHeight="1" x14ac:dyDescent="0.25"/>
    <row r="8709" ht="13.5" customHeight="1" x14ac:dyDescent="0.25"/>
    <row r="8710" ht="13.5" customHeight="1" x14ac:dyDescent="0.25"/>
    <row r="8711" ht="12" customHeight="1" x14ac:dyDescent="0.25"/>
    <row r="8712" ht="12" customHeight="1" x14ac:dyDescent="0.25"/>
    <row r="8713" ht="12" customHeight="1" x14ac:dyDescent="0.25"/>
    <row r="8714" ht="12" customHeight="1" x14ac:dyDescent="0.25"/>
    <row r="8715" ht="20.25" customHeight="1" x14ac:dyDescent="0.25"/>
    <row r="8716" ht="13.5" customHeight="1" x14ac:dyDescent="0.25"/>
    <row r="8717" ht="13.5" customHeight="1" x14ac:dyDescent="0.25"/>
    <row r="8718" ht="13.5" customHeight="1" x14ac:dyDescent="0.25"/>
    <row r="8719" ht="13.5" customHeight="1" x14ac:dyDescent="0.25"/>
    <row r="8720" ht="13.5" customHeight="1" x14ac:dyDescent="0.25"/>
    <row r="8721" ht="13.5" customHeight="1" x14ac:dyDescent="0.25"/>
    <row r="8722" ht="13.5" customHeight="1" x14ac:dyDescent="0.25"/>
    <row r="8723" ht="12" customHeight="1" x14ac:dyDescent="0.25"/>
    <row r="8724" ht="12" customHeight="1" x14ac:dyDescent="0.25"/>
    <row r="8725" ht="12" customHeight="1" x14ac:dyDescent="0.25"/>
    <row r="8726" ht="12" customHeight="1" x14ac:dyDescent="0.25"/>
    <row r="8727" ht="20.25" customHeight="1" x14ac:dyDescent="0.25"/>
    <row r="8728" ht="13.5" customHeight="1" x14ac:dyDescent="0.25"/>
    <row r="8730" ht="13.5" customHeight="1" x14ac:dyDescent="0.25"/>
    <row r="8731" ht="13.5" customHeight="1" x14ac:dyDescent="0.25"/>
    <row r="8732" ht="13.5" customHeight="1" x14ac:dyDescent="0.25"/>
    <row r="8733" ht="13.5" customHeight="1" x14ac:dyDescent="0.25"/>
    <row r="8734" ht="12" customHeight="1" x14ac:dyDescent="0.25"/>
    <row r="8735" ht="12" customHeight="1" x14ac:dyDescent="0.25"/>
    <row r="8736" ht="12" customHeight="1" x14ac:dyDescent="0.25"/>
    <row r="8737" ht="12" customHeight="1" x14ac:dyDescent="0.25"/>
    <row r="8738" ht="20.25" customHeight="1" x14ac:dyDescent="0.25"/>
    <row r="8739" ht="13.5" customHeight="1" x14ac:dyDescent="0.25"/>
    <row r="8740" ht="13.5" customHeight="1" x14ac:dyDescent="0.25"/>
    <row r="8741" ht="13.5" customHeight="1" x14ac:dyDescent="0.25"/>
    <row r="8742" ht="13.5" customHeight="1" x14ac:dyDescent="0.25"/>
    <row r="8743" ht="13.5" customHeight="1" x14ac:dyDescent="0.25"/>
    <row r="8744" ht="13.5" customHeight="1" x14ac:dyDescent="0.25"/>
    <row r="8745" ht="13.5" customHeight="1" x14ac:dyDescent="0.25"/>
    <row r="8746" ht="12" customHeight="1" x14ac:dyDescent="0.25"/>
    <row r="8747" ht="12" customHeight="1" x14ac:dyDescent="0.25"/>
    <row r="8748" ht="12" customHeight="1" x14ac:dyDescent="0.25"/>
    <row r="8749" ht="12" customHeight="1" x14ac:dyDescent="0.25"/>
    <row r="8750" ht="20.25" customHeight="1" x14ac:dyDescent="0.25"/>
    <row r="8751" ht="13.5" customHeight="1" x14ac:dyDescent="0.25"/>
    <row r="8753" ht="13.5" customHeight="1" x14ac:dyDescent="0.25"/>
    <row r="8754" ht="13.5" customHeight="1" x14ac:dyDescent="0.25"/>
    <row r="8755" ht="13.5" customHeight="1" x14ac:dyDescent="0.25"/>
    <row r="8756" ht="13.5" customHeight="1" x14ac:dyDescent="0.25"/>
    <row r="8757" ht="12" customHeight="1" x14ac:dyDescent="0.25"/>
    <row r="8758" ht="12" customHeight="1" x14ac:dyDescent="0.25"/>
    <row r="8759" ht="12" customHeight="1" x14ac:dyDescent="0.25"/>
    <row r="8760" ht="12" customHeight="1" x14ac:dyDescent="0.25"/>
    <row r="8761" ht="20.25" customHeight="1" x14ac:dyDescent="0.25"/>
    <row r="8762" ht="13.5" customHeight="1" x14ac:dyDescent="0.25"/>
    <row r="8763" ht="13.5" customHeight="1" x14ac:dyDescent="0.25"/>
    <row r="8764" ht="13.5" customHeight="1" x14ac:dyDescent="0.25"/>
    <row r="8765" ht="13.5" customHeight="1" x14ac:dyDescent="0.25"/>
    <row r="8766" ht="13.5" customHeight="1" x14ac:dyDescent="0.25"/>
    <row r="8767" ht="13.5" customHeight="1" x14ac:dyDescent="0.25"/>
    <row r="8768" ht="13.5" customHeight="1" x14ac:dyDescent="0.25"/>
    <row r="8769" ht="12" customHeight="1" x14ac:dyDescent="0.25"/>
    <row r="8770" ht="12" customHeight="1" x14ac:dyDescent="0.25"/>
    <row r="8771" ht="12" customHeight="1" x14ac:dyDescent="0.25"/>
    <row r="8772" ht="12" customHeight="1" x14ac:dyDescent="0.25"/>
    <row r="8773" ht="20.25" customHeight="1" x14ac:dyDescent="0.25"/>
    <row r="8774" ht="13.5" customHeight="1" x14ac:dyDescent="0.25"/>
    <row r="8776" ht="13.5" customHeight="1" x14ac:dyDescent="0.25"/>
    <row r="8777" ht="13.5" customHeight="1" x14ac:dyDescent="0.25"/>
    <row r="8778" ht="13.5" customHeight="1" x14ac:dyDescent="0.25"/>
    <row r="8779" ht="13.5" customHeight="1" x14ac:dyDescent="0.25"/>
    <row r="8780" ht="12" customHeight="1" x14ac:dyDescent="0.25"/>
    <row r="8781" ht="12" customHeight="1" x14ac:dyDescent="0.25"/>
    <row r="8782" ht="12" customHeight="1" x14ac:dyDescent="0.25"/>
    <row r="8783" ht="12" customHeight="1" x14ac:dyDescent="0.25"/>
    <row r="8784" ht="20.25" customHeight="1" x14ac:dyDescent="0.25"/>
    <row r="8785" ht="13.5" customHeight="1" x14ac:dyDescent="0.25"/>
    <row r="8786" ht="13.5" customHeight="1" x14ac:dyDescent="0.25"/>
    <row r="8787" ht="13.5" customHeight="1" x14ac:dyDescent="0.25"/>
    <row r="8788" ht="13.5" customHeight="1" x14ac:dyDescent="0.25"/>
    <row r="8789" ht="13.5" customHeight="1" x14ac:dyDescent="0.25"/>
    <row r="8790" ht="13.5" customHeight="1" x14ac:dyDescent="0.25"/>
    <row r="8791" ht="13.5" customHeight="1" x14ac:dyDescent="0.25"/>
    <row r="8792" ht="12" customHeight="1" x14ac:dyDescent="0.25"/>
    <row r="8793" ht="12" customHeight="1" x14ac:dyDescent="0.25"/>
    <row r="8794" ht="12" customHeight="1" x14ac:dyDescent="0.25"/>
    <row r="8795" ht="12" customHeight="1" x14ac:dyDescent="0.25"/>
    <row r="8796" ht="20.25" customHeight="1" x14ac:dyDescent="0.25"/>
    <row r="8797" ht="13.5" customHeight="1" x14ac:dyDescent="0.25"/>
    <row r="8799" ht="13.5" customHeight="1" x14ac:dyDescent="0.25"/>
    <row r="8800" ht="13.5" customHeight="1" x14ac:dyDescent="0.25"/>
    <row r="8801" ht="13.5" customHeight="1" x14ac:dyDescent="0.25"/>
    <row r="8802" ht="13.5" customHeight="1" x14ac:dyDescent="0.25"/>
    <row r="8803" ht="12" customHeight="1" x14ac:dyDescent="0.25"/>
    <row r="8804" ht="12" customHeight="1" x14ac:dyDescent="0.25"/>
    <row r="8805" ht="12" customHeight="1" x14ac:dyDescent="0.25"/>
    <row r="8806" ht="12" customHeight="1" x14ac:dyDescent="0.25"/>
    <row r="8807" ht="20.25" customHeight="1" x14ac:dyDescent="0.25"/>
    <row r="8808" ht="13.5" customHeight="1" x14ac:dyDescent="0.25"/>
    <row r="8809" ht="13.5" customHeight="1" x14ac:dyDescent="0.25"/>
    <row r="8810" ht="13.5" customHeight="1" x14ac:dyDescent="0.25"/>
    <row r="8811" ht="13.5" customHeight="1" x14ac:dyDescent="0.25"/>
    <row r="8812" ht="13.5" customHeight="1" x14ac:dyDescent="0.25"/>
    <row r="8813" ht="13.5" customHeight="1" x14ac:dyDescent="0.25"/>
    <row r="8814" ht="13.5" customHeight="1" x14ac:dyDescent="0.25"/>
    <row r="8815" ht="12" customHeight="1" x14ac:dyDescent="0.25"/>
    <row r="8816" ht="12" customHeight="1" x14ac:dyDescent="0.25"/>
    <row r="8817" ht="12" customHeight="1" x14ac:dyDescent="0.25"/>
    <row r="8818" ht="12" customHeight="1" x14ac:dyDescent="0.25"/>
    <row r="8819" ht="20.25" customHeight="1" x14ac:dyDescent="0.25"/>
    <row r="8820" ht="13.5" customHeight="1" x14ac:dyDescent="0.25"/>
    <row r="8822" ht="13.5" customHeight="1" x14ac:dyDescent="0.25"/>
    <row r="8823" ht="13.5" customHeight="1" x14ac:dyDescent="0.25"/>
    <row r="8824" ht="13.5" customHeight="1" x14ac:dyDescent="0.25"/>
    <row r="8825" ht="13.5" customHeight="1" x14ac:dyDescent="0.25"/>
    <row r="8826" ht="12" customHeight="1" x14ac:dyDescent="0.25"/>
    <row r="8827" ht="12" customHeight="1" x14ac:dyDescent="0.25"/>
    <row r="8828" ht="12" customHeight="1" x14ac:dyDescent="0.25"/>
    <row r="8829" ht="12" customHeight="1" x14ac:dyDescent="0.25"/>
    <row r="8830" ht="20.25" customHeight="1" x14ac:dyDescent="0.25"/>
    <row r="8831" ht="13.5" customHeight="1" x14ac:dyDescent="0.25"/>
    <row r="8832" ht="13.5" customHeight="1" x14ac:dyDescent="0.25"/>
    <row r="8833" ht="13.5" customHeight="1" x14ac:dyDescent="0.25"/>
    <row r="8834" ht="13.5" customHeight="1" x14ac:dyDescent="0.25"/>
    <row r="8835" ht="13.5" customHeight="1" x14ac:dyDescent="0.25"/>
    <row r="8836" ht="13.5" customHeight="1" x14ac:dyDescent="0.25"/>
    <row r="8837" ht="13.5" customHeight="1" x14ac:dyDescent="0.25"/>
    <row r="8838" ht="12" customHeight="1" x14ac:dyDescent="0.25"/>
    <row r="8839" ht="12" customHeight="1" x14ac:dyDescent="0.25"/>
    <row r="8840" ht="12" customHeight="1" x14ac:dyDescent="0.25"/>
    <row r="8841" ht="12" customHeight="1" x14ac:dyDescent="0.25"/>
    <row r="8842" ht="20.25" customHeight="1" x14ac:dyDescent="0.25"/>
    <row r="8843" ht="13.5" customHeight="1" x14ac:dyDescent="0.25"/>
    <row r="8845" ht="13.5" customHeight="1" x14ac:dyDescent="0.25"/>
    <row r="8846" ht="13.5" customHeight="1" x14ac:dyDescent="0.25"/>
    <row r="8847" ht="13.5" customHeight="1" x14ac:dyDescent="0.25"/>
    <row r="8848" ht="13.5" customHeight="1" x14ac:dyDescent="0.25"/>
    <row r="8849" ht="12" customHeight="1" x14ac:dyDescent="0.25"/>
    <row r="8850" ht="12" customHeight="1" x14ac:dyDescent="0.25"/>
    <row r="8851" ht="12" customHeight="1" x14ac:dyDescent="0.25"/>
    <row r="8852" ht="12" customHeight="1" x14ac:dyDescent="0.25"/>
    <row r="8853" ht="20.25" customHeight="1" x14ac:dyDescent="0.25"/>
    <row r="8854" ht="13.5" customHeight="1" x14ac:dyDescent="0.25"/>
    <row r="8855" ht="13.5" customHeight="1" x14ac:dyDescent="0.25"/>
    <row r="8856" ht="13.5" customHeight="1" x14ac:dyDescent="0.25"/>
    <row r="8857" ht="13.5" customHeight="1" x14ac:dyDescent="0.25"/>
    <row r="8858" ht="13.5" customHeight="1" x14ac:dyDescent="0.25"/>
    <row r="8859" ht="13.5" customHeight="1" x14ac:dyDescent="0.25"/>
    <row r="8860" ht="13.5" customHeight="1" x14ac:dyDescent="0.25"/>
    <row r="8861" ht="12" customHeight="1" x14ac:dyDescent="0.25"/>
    <row r="8862" ht="12" customHeight="1" x14ac:dyDescent="0.25"/>
    <row r="8863" ht="12" customHeight="1" x14ac:dyDescent="0.25"/>
    <row r="8864" ht="12" customHeight="1" x14ac:dyDescent="0.25"/>
    <row r="8865" ht="20.25" customHeight="1" x14ac:dyDescent="0.25"/>
    <row r="8866" ht="13.5" customHeight="1" x14ac:dyDescent="0.25"/>
    <row r="8868" ht="13.5" customHeight="1" x14ac:dyDescent="0.25"/>
    <row r="8869" ht="13.5" customHeight="1" x14ac:dyDescent="0.25"/>
    <row r="8870" ht="13.5" customHeight="1" x14ac:dyDescent="0.25"/>
    <row r="8871" ht="13.5" customHeight="1" x14ac:dyDescent="0.25"/>
    <row r="8872" ht="12" customHeight="1" x14ac:dyDescent="0.25"/>
    <row r="8873" ht="12" customHeight="1" x14ac:dyDescent="0.25"/>
    <row r="8874" ht="12" customHeight="1" x14ac:dyDescent="0.25"/>
    <row r="8875" ht="12" customHeight="1" x14ac:dyDescent="0.25"/>
    <row r="8876" ht="20.25" customHeight="1" x14ac:dyDescent="0.25"/>
    <row r="8877" ht="13.5" customHeight="1" x14ac:dyDescent="0.25"/>
    <row r="8878" ht="13.5" customHeight="1" x14ac:dyDescent="0.25"/>
    <row r="8879" ht="13.5" customHeight="1" x14ac:dyDescent="0.25"/>
    <row r="8880" ht="13.5" customHeight="1" x14ac:dyDescent="0.25"/>
    <row r="8881" ht="13.5" customHeight="1" x14ac:dyDescent="0.25"/>
    <row r="8882" ht="13.5" customHeight="1" x14ac:dyDescent="0.25"/>
    <row r="8883" ht="13.5" customHeight="1" x14ac:dyDescent="0.25"/>
    <row r="8884" ht="12" customHeight="1" x14ac:dyDescent="0.25"/>
    <row r="8885" ht="12" customHeight="1" x14ac:dyDescent="0.25"/>
    <row r="8886" ht="12" customHeight="1" x14ac:dyDescent="0.25"/>
    <row r="8887" ht="12" customHeight="1" x14ac:dyDescent="0.25"/>
    <row r="8888" ht="20.25" customHeight="1" x14ac:dyDescent="0.25"/>
    <row r="8889" ht="13.5" customHeight="1" x14ac:dyDescent="0.25"/>
    <row r="8891" ht="13.5" customHeight="1" x14ac:dyDescent="0.25"/>
    <row r="8892" ht="13.5" customHeight="1" x14ac:dyDescent="0.25"/>
    <row r="8893" ht="13.5" customHeight="1" x14ac:dyDescent="0.25"/>
    <row r="8894" ht="13.5" customHeight="1" x14ac:dyDescent="0.25"/>
    <row r="8895" ht="12" customHeight="1" x14ac:dyDescent="0.25"/>
    <row r="8896" ht="12" customHeight="1" x14ac:dyDescent="0.25"/>
    <row r="8897" ht="12" customHeight="1" x14ac:dyDescent="0.25"/>
    <row r="8898" ht="12" customHeight="1" x14ac:dyDescent="0.25"/>
    <row r="8899" ht="20.25" customHeight="1" x14ac:dyDescent="0.25"/>
    <row r="8900" ht="13.5" customHeight="1" x14ac:dyDescent="0.25"/>
    <row r="8901" ht="13.5" customHeight="1" x14ac:dyDescent="0.25"/>
    <row r="8902" ht="13.5" customHeight="1" x14ac:dyDescent="0.25"/>
    <row r="8903" ht="13.5" customHeight="1" x14ac:dyDescent="0.25"/>
    <row r="8904" ht="13.5" customHeight="1" x14ac:dyDescent="0.25"/>
    <row r="8905" ht="13.5" customHeight="1" x14ac:dyDescent="0.25"/>
    <row r="8906" ht="13.5" customHeight="1" x14ac:dyDescent="0.25"/>
    <row r="8907" ht="12" customHeight="1" x14ac:dyDescent="0.25"/>
    <row r="8908" ht="12" customHeight="1" x14ac:dyDescent="0.25"/>
    <row r="8909" ht="12" customHeight="1" x14ac:dyDescent="0.25"/>
    <row r="8910" ht="12" customHeight="1" x14ac:dyDescent="0.25"/>
    <row r="8911" ht="20.25" customHeight="1" x14ac:dyDescent="0.25"/>
    <row r="8912" ht="13.5" customHeight="1" x14ac:dyDescent="0.25"/>
    <row r="8914" ht="13.5" customHeight="1" x14ac:dyDescent="0.25"/>
    <row r="8915" ht="13.5" customHeight="1" x14ac:dyDescent="0.25"/>
    <row r="8916" ht="13.5" customHeight="1" x14ac:dyDescent="0.25"/>
    <row r="8917" ht="13.5" customHeight="1" x14ac:dyDescent="0.25"/>
    <row r="8918" ht="12" customHeight="1" x14ac:dyDescent="0.25"/>
    <row r="8919" ht="12" customHeight="1" x14ac:dyDescent="0.25"/>
    <row r="8920" ht="12" customHeight="1" x14ac:dyDescent="0.25"/>
    <row r="8921" ht="12" customHeight="1" x14ac:dyDescent="0.25"/>
    <row r="8922" ht="20.25" customHeight="1" x14ac:dyDescent="0.25"/>
    <row r="8923" ht="13.5" customHeight="1" x14ac:dyDescent="0.25"/>
    <row r="8924" ht="13.5" customHeight="1" x14ac:dyDescent="0.25"/>
    <row r="8925" ht="13.5" customHeight="1" x14ac:dyDescent="0.25"/>
    <row r="8926" ht="13.5" customHeight="1" x14ac:dyDescent="0.25"/>
    <row r="8927" ht="13.5" customHeight="1" x14ac:dyDescent="0.25"/>
    <row r="8928" ht="13.5" customHeight="1" x14ac:dyDescent="0.25"/>
    <row r="8929" ht="13.5" customHeight="1" x14ac:dyDescent="0.25"/>
    <row r="8930" ht="12" customHeight="1" x14ac:dyDescent="0.25"/>
    <row r="8931" ht="12" customHeight="1" x14ac:dyDescent="0.25"/>
    <row r="8932" ht="12" customHeight="1" x14ac:dyDescent="0.25"/>
    <row r="8933" ht="12" customHeight="1" x14ac:dyDescent="0.25"/>
    <row r="8934" ht="20.25" customHeight="1" x14ac:dyDescent="0.25"/>
    <row r="8935" ht="13.5" customHeight="1" x14ac:dyDescent="0.25"/>
    <row r="8937" ht="13.5" customHeight="1" x14ac:dyDescent="0.25"/>
    <row r="8938" ht="13.5" customHeight="1" x14ac:dyDescent="0.25"/>
    <row r="8939" ht="13.5" customHeight="1" x14ac:dyDescent="0.25"/>
    <row r="8940" ht="13.5" customHeight="1" x14ac:dyDescent="0.25"/>
    <row r="8941" ht="12" customHeight="1" x14ac:dyDescent="0.25"/>
    <row r="8942" ht="12" customHeight="1" x14ac:dyDescent="0.25"/>
    <row r="8943" ht="12" customHeight="1" x14ac:dyDescent="0.25"/>
    <row r="8944" ht="12" customHeight="1" x14ac:dyDescent="0.25"/>
    <row r="8945" ht="20.25" customHeight="1" x14ac:dyDescent="0.25"/>
    <row r="8946" ht="13.5" customHeight="1" x14ac:dyDescent="0.25"/>
    <row r="8947" ht="13.5" customHeight="1" x14ac:dyDescent="0.25"/>
    <row r="8948" ht="13.5" customHeight="1" x14ac:dyDescent="0.25"/>
    <row r="8949" ht="13.5" customHeight="1" x14ac:dyDescent="0.25"/>
    <row r="8950" ht="13.5" customHeight="1" x14ac:dyDescent="0.25"/>
    <row r="8951" ht="13.5" customHeight="1" x14ac:dyDescent="0.25"/>
    <row r="8952" ht="13.5" customHeight="1" x14ac:dyDescent="0.25"/>
    <row r="8953" ht="12" customHeight="1" x14ac:dyDescent="0.25"/>
    <row r="8954" ht="12" customHeight="1" x14ac:dyDescent="0.25"/>
    <row r="8955" ht="12" customHeight="1" x14ac:dyDescent="0.25"/>
    <row r="8956" ht="12" customHeight="1" x14ac:dyDescent="0.25"/>
    <row r="8957" ht="20.25" customHeight="1" x14ac:dyDescent="0.25"/>
    <row r="8958" ht="13.5" customHeight="1" x14ac:dyDescent="0.25"/>
    <row r="8960" ht="13.5" customHeight="1" x14ac:dyDescent="0.25"/>
    <row r="8961" ht="13.5" customHeight="1" x14ac:dyDescent="0.25"/>
    <row r="8962" ht="13.5" customHeight="1" x14ac:dyDescent="0.25"/>
    <row r="8963" ht="13.5" customHeight="1" x14ac:dyDescent="0.25"/>
    <row r="8964" ht="12" customHeight="1" x14ac:dyDescent="0.25"/>
    <row r="8965" ht="12" customHeight="1" x14ac:dyDescent="0.25"/>
    <row r="8966" ht="12" customHeight="1" x14ac:dyDescent="0.25"/>
    <row r="8967" ht="12" customHeight="1" x14ac:dyDescent="0.25"/>
    <row r="8968" ht="20.25" customHeight="1" x14ac:dyDescent="0.25"/>
    <row r="8969" ht="13.5" customHeight="1" x14ac:dyDescent="0.25"/>
    <row r="8970" ht="13.5" customHeight="1" x14ac:dyDescent="0.25"/>
    <row r="8971" ht="13.5" customHeight="1" x14ac:dyDescent="0.25"/>
    <row r="8972" ht="13.5" customHeight="1" x14ac:dyDescent="0.25"/>
    <row r="8973" ht="13.5" customHeight="1" x14ac:dyDescent="0.25"/>
    <row r="8974" ht="13.5" customHeight="1" x14ac:dyDescent="0.25"/>
    <row r="8975" ht="13.5" customHeight="1" x14ac:dyDescent="0.25"/>
    <row r="8976" ht="12" customHeight="1" x14ac:dyDescent="0.25"/>
    <row r="8977" ht="12" customHeight="1" x14ac:dyDescent="0.25"/>
    <row r="8978" ht="12" customHeight="1" x14ac:dyDescent="0.25"/>
    <row r="8979" ht="12" customHeight="1" x14ac:dyDescent="0.25"/>
    <row r="8980" ht="20.25" customHeight="1" x14ac:dyDescent="0.25"/>
    <row r="8981" ht="13.5" customHeight="1" x14ac:dyDescent="0.25"/>
    <row r="8983" ht="13.5" customHeight="1" x14ac:dyDescent="0.25"/>
    <row r="8984" ht="13.5" customHeight="1" x14ac:dyDescent="0.25"/>
    <row r="8985" ht="13.5" customHeight="1" x14ac:dyDescent="0.25"/>
    <row r="8986" ht="13.5" customHeight="1" x14ac:dyDescent="0.25"/>
    <row r="8987" ht="12" customHeight="1" x14ac:dyDescent="0.25"/>
    <row r="8988" ht="12" customHeight="1" x14ac:dyDescent="0.25"/>
    <row r="8989" ht="12" customHeight="1" x14ac:dyDescent="0.25"/>
    <row r="8990" ht="12" customHeight="1" x14ac:dyDescent="0.25"/>
    <row r="8991" ht="20.25" customHeight="1" x14ac:dyDescent="0.25"/>
    <row r="8992" ht="13.5" customHeight="1" x14ac:dyDescent="0.25"/>
    <row r="8993" ht="13.5" customHeight="1" x14ac:dyDescent="0.25"/>
    <row r="8994" ht="13.5" customHeight="1" x14ac:dyDescent="0.25"/>
    <row r="8995" ht="13.5" customHeight="1" x14ac:dyDescent="0.25"/>
    <row r="8996" ht="13.5" customHeight="1" x14ac:dyDescent="0.25"/>
    <row r="8997" ht="13.5" customHeight="1" x14ac:dyDescent="0.25"/>
    <row r="8998" ht="13.5" customHeight="1" x14ac:dyDescent="0.25"/>
    <row r="8999" ht="12" customHeight="1" x14ac:dyDescent="0.25"/>
    <row r="9000" ht="12" customHeight="1" x14ac:dyDescent="0.25"/>
    <row r="9001" ht="12" customHeight="1" x14ac:dyDescent="0.25"/>
    <row r="9002" ht="12" customHeight="1" x14ac:dyDescent="0.25"/>
    <row r="9003" ht="20.25" customHeight="1" x14ac:dyDescent="0.25"/>
    <row r="9004" ht="13.5" customHeight="1" x14ac:dyDescent="0.25"/>
    <row r="9006" ht="13.5" customHeight="1" x14ac:dyDescent="0.25"/>
    <row r="9007" ht="13.5" customHeight="1" x14ac:dyDescent="0.25"/>
    <row r="9008" ht="13.5" customHeight="1" x14ac:dyDescent="0.25"/>
    <row r="9009" ht="13.5" customHeight="1" x14ac:dyDescent="0.25"/>
    <row r="9010" ht="12" customHeight="1" x14ac:dyDescent="0.25"/>
    <row r="9011" ht="12" customHeight="1" x14ac:dyDescent="0.25"/>
    <row r="9012" ht="12" customHeight="1" x14ac:dyDescent="0.25"/>
    <row r="9013" ht="12" customHeight="1" x14ac:dyDescent="0.25"/>
    <row r="9014" ht="20.25" customHeight="1" x14ac:dyDescent="0.25"/>
    <row r="9015" ht="13.5" customHeight="1" x14ac:dyDescent="0.25"/>
    <row r="9016" ht="13.5" customHeight="1" x14ac:dyDescent="0.25"/>
    <row r="9017" ht="13.5" customHeight="1" x14ac:dyDescent="0.25"/>
    <row r="9018" ht="13.5" customHeight="1" x14ac:dyDescent="0.25"/>
    <row r="9019" ht="13.5" customHeight="1" x14ac:dyDescent="0.25"/>
    <row r="9020" ht="13.5" customHeight="1" x14ac:dyDescent="0.25"/>
    <row r="9021" ht="13.5" customHeight="1" x14ac:dyDescent="0.25"/>
    <row r="9022" ht="12" customHeight="1" x14ac:dyDescent="0.25"/>
    <row r="9023" ht="12" customHeight="1" x14ac:dyDescent="0.25"/>
    <row r="9024" ht="12" customHeight="1" x14ac:dyDescent="0.25"/>
    <row r="9025" ht="12" customHeight="1" x14ac:dyDescent="0.25"/>
    <row r="9026" ht="20.25" customHeight="1" x14ac:dyDescent="0.25"/>
    <row r="9027" ht="13.5" customHeight="1" x14ac:dyDescent="0.25"/>
    <row r="9029" ht="13.5" customHeight="1" x14ac:dyDescent="0.25"/>
    <row r="9030" ht="13.5" customHeight="1" x14ac:dyDescent="0.25"/>
    <row r="9031" ht="13.5" customHeight="1" x14ac:dyDescent="0.25"/>
    <row r="9032" ht="13.5" customHeight="1" x14ac:dyDescent="0.25"/>
    <row r="9033" ht="12" customHeight="1" x14ac:dyDescent="0.25"/>
    <row r="9034" ht="12" customHeight="1" x14ac:dyDescent="0.25"/>
    <row r="9035" ht="12" customHeight="1" x14ac:dyDescent="0.25"/>
    <row r="9036" ht="12" customHeight="1" x14ac:dyDescent="0.25"/>
    <row r="9037" ht="20.25" customHeight="1" x14ac:dyDescent="0.25"/>
    <row r="9038" ht="13.5" customHeight="1" x14ac:dyDescent="0.25"/>
    <row r="9039" ht="13.5" customHeight="1" x14ac:dyDescent="0.25"/>
    <row r="9040" ht="13.5" customHeight="1" x14ac:dyDescent="0.25"/>
    <row r="9041" ht="13.5" customHeight="1" x14ac:dyDescent="0.25"/>
    <row r="9042" ht="13.5" customHeight="1" x14ac:dyDescent="0.25"/>
    <row r="9043" ht="13.5" customHeight="1" x14ac:dyDescent="0.25"/>
    <row r="9044" ht="13.5" customHeight="1" x14ac:dyDescent="0.25"/>
    <row r="9045" ht="12" customHeight="1" x14ac:dyDescent="0.25"/>
    <row r="9046" ht="12" customHeight="1" x14ac:dyDescent="0.25"/>
    <row r="9047" ht="12" customHeight="1" x14ac:dyDescent="0.25"/>
    <row r="9048" ht="12" customHeight="1" x14ac:dyDescent="0.25"/>
    <row r="9049" ht="20.25" customHeight="1" x14ac:dyDescent="0.25"/>
    <row r="9050" ht="13.5" customHeight="1" x14ac:dyDescent="0.25"/>
    <row r="9052" ht="13.5" customHeight="1" x14ac:dyDescent="0.25"/>
    <row r="9053" ht="13.5" customHeight="1" x14ac:dyDescent="0.25"/>
    <row r="9054" ht="13.5" customHeight="1" x14ac:dyDescent="0.25"/>
    <row r="9055" ht="13.5" customHeight="1" x14ac:dyDescent="0.25"/>
    <row r="9056" ht="12" customHeight="1" x14ac:dyDescent="0.25"/>
    <row r="9057" ht="12" customHeight="1" x14ac:dyDescent="0.25"/>
    <row r="9058" ht="12" customHeight="1" x14ac:dyDescent="0.25"/>
    <row r="9059" ht="12" customHeight="1" x14ac:dyDescent="0.25"/>
    <row r="9060" ht="20.25" customHeight="1" x14ac:dyDescent="0.25"/>
    <row r="9061" ht="13.5" customHeight="1" x14ac:dyDescent="0.25"/>
    <row r="9062" ht="13.5" customHeight="1" x14ac:dyDescent="0.25"/>
    <row r="9063" ht="13.5" customHeight="1" x14ac:dyDescent="0.25"/>
    <row r="9064" ht="13.5" customHeight="1" x14ac:dyDescent="0.25"/>
    <row r="9065" ht="13.5" customHeight="1" x14ac:dyDescent="0.25"/>
    <row r="9066" ht="13.5" customHeight="1" x14ac:dyDescent="0.25"/>
    <row r="9067" ht="13.5" customHeight="1" x14ac:dyDescent="0.25"/>
    <row r="9068" ht="12" customHeight="1" x14ac:dyDescent="0.25"/>
    <row r="9069" ht="12" customHeight="1" x14ac:dyDescent="0.25"/>
    <row r="9070" ht="12" customHeight="1" x14ac:dyDescent="0.25"/>
    <row r="9071" ht="12" customHeight="1" x14ac:dyDescent="0.25"/>
    <row r="9072" ht="20.25" customHeight="1" x14ac:dyDescent="0.25"/>
    <row r="9073" ht="13.5" customHeight="1" x14ac:dyDescent="0.25"/>
    <row r="9075" ht="13.5" customHeight="1" x14ac:dyDescent="0.25"/>
    <row r="9076" ht="13.5" customHeight="1" x14ac:dyDescent="0.25"/>
    <row r="9077" ht="13.5" customHeight="1" x14ac:dyDescent="0.25"/>
    <row r="9078" ht="13.5" customHeight="1" x14ac:dyDescent="0.25"/>
    <row r="9079" ht="12" customHeight="1" x14ac:dyDescent="0.25"/>
    <row r="9080" ht="12" customHeight="1" x14ac:dyDescent="0.25"/>
    <row r="9081" ht="12" customHeight="1" x14ac:dyDescent="0.25"/>
    <row r="9082" ht="12" customHeight="1" x14ac:dyDescent="0.25"/>
    <row r="9083" ht="20.25" customHeight="1" x14ac:dyDescent="0.25"/>
    <row r="9084" ht="13.5" customHeight="1" x14ac:dyDescent="0.25"/>
    <row r="9085" ht="13.5" customHeight="1" x14ac:dyDescent="0.25"/>
    <row r="9086" ht="13.5" customHeight="1" x14ac:dyDescent="0.25"/>
    <row r="9087" ht="13.5" customHeight="1" x14ac:dyDescent="0.25"/>
    <row r="9088" ht="13.5" customHeight="1" x14ac:dyDescent="0.25"/>
    <row r="9089" ht="13.5" customHeight="1" x14ac:dyDescent="0.25"/>
    <row r="9090" ht="13.5" customHeight="1" x14ac:dyDescent="0.25"/>
    <row r="9091" ht="12" customHeight="1" x14ac:dyDescent="0.25"/>
    <row r="9092" ht="12" customHeight="1" x14ac:dyDescent="0.25"/>
    <row r="9093" ht="12" customHeight="1" x14ac:dyDescent="0.25"/>
    <row r="9094" ht="12" customHeight="1" x14ac:dyDescent="0.25"/>
    <row r="9095" ht="20.25" customHeight="1" x14ac:dyDescent="0.25"/>
    <row r="9096" ht="13.5" customHeight="1" x14ac:dyDescent="0.25"/>
    <row r="9098" ht="13.5" customHeight="1" x14ac:dyDescent="0.25"/>
    <row r="9099" ht="13.5" customHeight="1" x14ac:dyDescent="0.25"/>
    <row r="9100" ht="13.5" customHeight="1" x14ac:dyDescent="0.25"/>
    <row r="9101" ht="13.5" customHeight="1" x14ac:dyDescent="0.25"/>
    <row r="9102" ht="12" customHeight="1" x14ac:dyDescent="0.25"/>
    <row r="9103" ht="12" customHeight="1" x14ac:dyDescent="0.25"/>
    <row r="9104" ht="12" customHeight="1" x14ac:dyDescent="0.25"/>
    <row r="9105" ht="12" customHeight="1" x14ac:dyDescent="0.25"/>
    <row r="9106" ht="20.25" customHeight="1" x14ac:dyDescent="0.25"/>
    <row r="9107" ht="13.5" customHeight="1" x14ac:dyDescent="0.25"/>
    <row r="9108" ht="13.5" customHeight="1" x14ac:dyDescent="0.25"/>
    <row r="9109" ht="13.5" customHeight="1" x14ac:dyDescent="0.25"/>
    <row r="9110" ht="13.5" customHeight="1" x14ac:dyDescent="0.25"/>
    <row r="9111" ht="13.5" customHeight="1" x14ac:dyDescent="0.25"/>
    <row r="9112" ht="13.5" customHeight="1" x14ac:dyDescent="0.25"/>
    <row r="9113" ht="13.5" customHeight="1" x14ac:dyDescent="0.25"/>
    <row r="9114" ht="12" customHeight="1" x14ac:dyDescent="0.25"/>
    <row r="9115" ht="12" customHeight="1" x14ac:dyDescent="0.25"/>
    <row r="9116" ht="12" customHeight="1" x14ac:dyDescent="0.25"/>
    <row r="9117" ht="12" customHeight="1" x14ac:dyDescent="0.25"/>
    <row r="9118" ht="20.25" customHeight="1" x14ac:dyDescent="0.25"/>
    <row r="9119" ht="13.5" customHeight="1" x14ac:dyDescent="0.25"/>
    <row r="9121" ht="13.5" customHeight="1" x14ac:dyDescent="0.25"/>
    <row r="9122" ht="13.5" customHeight="1" x14ac:dyDescent="0.25"/>
    <row r="9123" ht="13.5" customHeight="1" x14ac:dyDescent="0.25"/>
    <row r="9124" ht="13.5" customHeight="1" x14ac:dyDescent="0.25"/>
    <row r="9125" ht="12" customHeight="1" x14ac:dyDescent="0.25"/>
    <row r="9126" ht="12" customHeight="1" x14ac:dyDescent="0.25"/>
    <row r="9127" ht="12" customHeight="1" x14ac:dyDescent="0.25"/>
    <row r="9128" ht="12" customHeight="1" x14ac:dyDescent="0.25"/>
    <row r="9129" ht="20.25" customHeight="1" x14ac:dyDescent="0.25"/>
    <row r="9130" ht="13.5" customHeight="1" x14ac:dyDescent="0.25"/>
    <row r="9131" ht="13.5" customHeight="1" x14ac:dyDescent="0.25"/>
    <row r="9132" ht="13.5" customHeight="1" x14ac:dyDescent="0.25"/>
    <row r="9133" ht="13.5" customHeight="1" x14ac:dyDescent="0.25"/>
    <row r="9134" ht="13.5" customHeight="1" x14ac:dyDescent="0.25"/>
    <row r="9135" ht="13.5" customHeight="1" x14ac:dyDescent="0.25"/>
    <row r="9136" ht="13.5" customHeight="1" x14ac:dyDescent="0.25"/>
    <row r="9137" ht="12" customHeight="1" x14ac:dyDescent="0.25"/>
    <row r="9138" ht="12" customHeight="1" x14ac:dyDescent="0.25"/>
    <row r="9139" ht="12" customHeight="1" x14ac:dyDescent="0.25"/>
    <row r="9140" ht="12" customHeight="1" x14ac:dyDescent="0.25"/>
    <row r="9141" ht="20.25" customHeight="1" x14ac:dyDescent="0.25"/>
    <row r="9142" ht="13.5" customHeight="1" x14ac:dyDescent="0.25"/>
    <row r="9144" ht="13.5" customHeight="1" x14ac:dyDescent="0.25"/>
    <row r="9145" ht="13.5" customHeight="1" x14ac:dyDescent="0.25"/>
    <row r="9146" ht="13.5" customHeight="1" x14ac:dyDescent="0.25"/>
    <row r="9147" ht="13.5" customHeight="1" x14ac:dyDescent="0.25"/>
    <row r="9148" ht="12" customHeight="1" x14ac:dyDescent="0.25"/>
    <row r="9149" ht="12" customHeight="1" x14ac:dyDescent="0.25"/>
    <row r="9150" ht="12" customHeight="1" x14ac:dyDescent="0.25"/>
    <row r="9151" ht="12" customHeight="1" x14ac:dyDescent="0.25"/>
    <row r="9152" ht="20.25" customHeight="1" x14ac:dyDescent="0.25"/>
    <row r="9153" ht="13.5" customHeight="1" x14ac:dyDescent="0.25"/>
    <row r="9154" ht="13.5" customHeight="1" x14ac:dyDescent="0.25"/>
    <row r="9155" ht="13.5" customHeight="1" x14ac:dyDescent="0.25"/>
    <row r="9156" ht="13.5" customHeight="1" x14ac:dyDescent="0.25"/>
    <row r="9157" ht="13.5" customHeight="1" x14ac:dyDescent="0.25"/>
    <row r="9158" ht="13.5" customHeight="1" x14ac:dyDescent="0.25"/>
    <row r="9159" ht="13.5" customHeight="1" x14ac:dyDescent="0.25"/>
    <row r="9160" ht="12" customHeight="1" x14ac:dyDescent="0.25"/>
    <row r="9161" ht="12" customHeight="1" x14ac:dyDescent="0.25"/>
    <row r="9162" ht="12" customHeight="1" x14ac:dyDescent="0.25"/>
    <row r="9163" ht="12" customHeight="1" x14ac:dyDescent="0.25"/>
    <row r="9164" ht="20.25" customHeight="1" x14ac:dyDescent="0.25"/>
    <row r="9165" ht="13.5" customHeight="1" x14ac:dyDescent="0.25"/>
    <row r="9167" ht="13.5" customHeight="1" x14ac:dyDescent="0.25"/>
    <row r="9168" ht="13.5" customHeight="1" x14ac:dyDescent="0.25"/>
    <row r="9169" ht="13.5" customHeight="1" x14ac:dyDescent="0.25"/>
    <row r="9170" ht="13.5" customHeight="1" x14ac:dyDescent="0.25"/>
    <row r="9171" ht="12" customHeight="1" x14ac:dyDescent="0.25"/>
    <row r="9172" ht="12" customHeight="1" x14ac:dyDescent="0.25"/>
    <row r="9173" ht="12" customHeight="1" x14ac:dyDescent="0.25"/>
    <row r="9174" ht="12" customHeight="1" x14ac:dyDescent="0.25"/>
    <row r="9175" ht="20.25" customHeight="1" x14ac:dyDescent="0.25"/>
    <row r="9176" ht="13.5" customHeight="1" x14ac:dyDescent="0.25"/>
    <row r="9177" ht="13.5" customHeight="1" x14ac:dyDescent="0.25"/>
    <row r="9178" ht="13.5" customHeight="1" x14ac:dyDescent="0.25"/>
    <row r="9179" ht="13.5" customHeight="1" x14ac:dyDescent="0.25"/>
    <row r="9180" ht="13.5" customHeight="1" x14ac:dyDescent="0.25"/>
    <row r="9181" ht="13.5" customHeight="1" x14ac:dyDescent="0.25"/>
    <row r="9182" ht="13.5" customHeight="1" x14ac:dyDescent="0.25"/>
    <row r="9183" ht="12" customHeight="1" x14ac:dyDescent="0.25"/>
    <row r="9184" ht="12" customHeight="1" x14ac:dyDescent="0.25"/>
    <row r="9185" ht="12" customHeight="1" x14ac:dyDescent="0.25"/>
    <row r="9186" ht="12" customHeight="1" x14ac:dyDescent="0.25"/>
    <row r="9187" ht="20.25" customHeight="1" x14ac:dyDescent="0.25"/>
    <row r="9188" ht="13.5" customHeight="1" x14ac:dyDescent="0.25"/>
    <row r="9190" ht="13.5" customHeight="1" x14ac:dyDescent="0.25"/>
    <row r="9191" ht="13.5" customHeight="1" x14ac:dyDescent="0.25"/>
    <row r="9192" ht="13.5" customHeight="1" x14ac:dyDescent="0.25"/>
    <row r="9193" ht="13.5" customHeight="1" x14ac:dyDescent="0.25"/>
    <row r="9194" ht="12" customHeight="1" x14ac:dyDescent="0.25"/>
    <row r="9195" ht="12" customHeight="1" x14ac:dyDescent="0.25"/>
    <row r="9196" ht="12" customHeight="1" x14ac:dyDescent="0.25"/>
    <row r="9197" ht="12" customHeight="1" x14ac:dyDescent="0.25"/>
    <row r="9198" ht="20.25" customHeight="1" x14ac:dyDescent="0.25"/>
    <row r="9199" ht="13.5" customHeight="1" x14ac:dyDescent="0.25"/>
    <row r="9200" ht="13.5" customHeight="1" x14ac:dyDescent="0.25"/>
    <row r="9201" ht="13.5" customHeight="1" x14ac:dyDescent="0.25"/>
    <row r="9202" ht="13.5" customHeight="1" x14ac:dyDescent="0.25"/>
    <row r="9203" ht="13.5" customHeight="1" x14ac:dyDescent="0.25"/>
    <row r="9204" ht="13.5" customHeight="1" x14ac:dyDescent="0.25"/>
    <row r="9205" ht="13.5" customHeight="1" x14ac:dyDescent="0.25"/>
    <row r="9206" ht="12" customHeight="1" x14ac:dyDescent="0.25"/>
    <row r="9207" ht="12" customHeight="1" x14ac:dyDescent="0.25"/>
    <row r="9208" ht="12" customHeight="1" x14ac:dyDescent="0.25"/>
    <row r="9209" ht="12" customHeight="1" x14ac:dyDescent="0.25"/>
    <row r="9210" ht="20.25" customHeight="1" x14ac:dyDescent="0.25"/>
    <row r="9211" ht="13.5" customHeight="1" x14ac:dyDescent="0.25"/>
    <row r="9213" ht="13.5" customHeight="1" x14ac:dyDescent="0.25"/>
    <row r="9214" ht="13.5" customHeight="1" x14ac:dyDescent="0.25"/>
    <row r="9215" ht="13.5" customHeight="1" x14ac:dyDescent="0.25"/>
    <row r="9216" ht="13.5" customHeight="1" x14ac:dyDescent="0.25"/>
    <row r="9217" ht="12" customHeight="1" x14ac:dyDescent="0.25"/>
    <row r="9218" ht="12" customHeight="1" x14ac:dyDescent="0.25"/>
    <row r="9219" ht="12" customHeight="1" x14ac:dyDescent="0.25"/>
    <row r="9220" ht="12" customHeight="1" x14ac:dyDescent="0.25"/>
    <row r="9221" ht="20.25" customHeight="1" x14ac:dyDescent="0.25"/>
    <row r="9222" ht="13.5" customHeight="1" x14ac:dyDescent="0.25"/>
    <row r="9223" ht="13.5" customHeight="1" x14ac:dyDescent="0.25"/>
    <row r="9224" ht="13.5" customHeight="1" x14ac:dyDescent="0.25"/>
    <row r="9225" ht="13.5" customHeight="1" x14ac:dyDescent="0.25"/>
    <row r="9226" ht="13.5" customHeight="1" x14ac:dyDescent="0.25"/>
    <row r="9227" ht="13.5" customHeight="1" x14ac:dyDescent="0.25"/>
    <row r="9228" ht="13.5" customHeight="1" x14ac:dyDescent="0.25"/>
    <row r="9229" ht="12" customHeight="1" x14ac:dyDescent="0.25"/>
    <row r="9230" ht="12" customHeight="1" x14ac:dyDescent="0.25"/>
    <row r="9231" ht="12" customHeight="1" x14ac:dyDescent="0.25"/>
    <row r="9232" ht="12" customHeight="1" x14ac:dyDescent="0.25"/>
    <row r="9233" ht="20.25" customHeight="1" x14ac:dyDescent="0.25"/>
    <row r="9234" ht="13.5" customHeight="1" x14ac:dyDescent="0.25"/>
    <row r="9236" ht="13.5" customHeight="1" x14ac:dyDescent="0.25"/>
    <row r="9237" ht="13.5" customHeight="1" x14ac:dyDescent="0.25"/>
    <row r="9238" ht="13.5" customHeight="1" x14ac:dyDescent="0.25"/>
    <row r="9239" ht="13.5" customHeight="1" x14ac:dyDescent="0.25"/>
    <row r="9240" ht="12" customHeight="1" x14ac:dyDescent="0.25"/>
    <row r="9241" ht="12" customHeight="1" x14ac:dyDescent="0.25"/>
    <row r="9242" ht="12" customHeight="1" x14ac:dyDescent="0.25"/>
    <row r="9243" ht="12" customHeight="1" x14ac:dyDescent="0.25"/>
    <row r="9244" ht="20.25" customHeight="1" x14ac:dyDescent="0.25"/>
    <row r="9245" ht="13.5" customHeight="1" x14ac:dyDescent="0.25"/>
    <row r="9246" ht="13.5" customHeight="1" x14ac:dyDescent="0.25"/>
    <row r="9247" ht="13.5" customHeight="1" x14ac:dyDescent="0.25"/>
    <row r="9248" ht="13.5" customHeight="1" x14ac:dyDescent="0.25"/>
    <row r="9249" ht="13.5" customHeight="1" x14ac:dyDescent="0.25"/>
    <row r="9250" ht="13.5" customHeight="1" x14ac:dyDescent="0.25"/>
    <row r="9251" ht="13.5" customHeight="1" x14ac:dyDescent="0.25"/>
    <row r="9252" ht="12" customHeight="1" x14ac:dyDescent="0.25"/>
    <row r="9253" ht="12" customHeight="1" x14ac:dyDescent="0.25"/>
    <row r="9254" ht="12" customHeight="1" x14ac:dyDescent="0.25"/>
    <row r="9255" ht="12" customHeight="1" x14ac:dyDescent="0.25"/>
    <row r="9256" ht="20.25" customHeight="1" x14ac:dyDescent="0.25"/>
    <row r="9257" ht="13.5" customHeight="1" x14ac:dyDescent="0.25"/>
    <row r="9259" ht="13.5" customHeight="1" x14ac:dyDescent="0.25"/>
    <row r="9260" ht="13.5" customHeight="1" x14ac:dyDescent="0.25"/>
    <row r="9261" ht="13.5" customHeight="1" x14ac:dyDescent="0.25"/>
    <row r="9262" ht="13.5" customHeight="1" x14ac:dyDescent="0.25"/>
    <row r="9263" ht="12" customHeight="1" x14ac:dyDescent="0.25"/>
    <row r="9264" ht="12" customHeight="1" x14ac:dyDescent="0.25"/>
    <row r="9265" ht="12" customHeight="1" x14ac:dyDescent="0.25"/>
    <row r="9266" ht="12" customHeight="1" x14ac:dyDescent="0.25"/>
    <row r="9267" ht="20.25" customHeight="1" x14ac:dyDescent="0.25"/>
    <row r="9268" ht="13.5" customHeight="1" x14ac:dyDescent="0.25"/>
    <row r="9269" ht="13.5" customHeight="1" x14ac:dyDescent="0.25"/>
    <row r="9270" ht="13.5" customHeight="1" x14ac:dyDescent="0.25"/>
    <row r="9271" ht="13.5" customHeight="1" x14ac:dyDescent="0.25"/>
    <row r="9272" ht="13.5" customHeight="1" x14ac:dyDescent="0.25"/>
    <row r="9273" ht="13.5" customHeight="1" x14ac:dyDescent="0.25"/>
    <row r="9274" ht="13.5" customHeight="1" x14ac:dyDescent="0.25"/>
    <row r="9275" ht="12" customHeight="1" x14ac:dyDescent="0.25"/>
    <row r="9276" ht="12" customHeight="1" x14ac:dyDescent="0.25"/>
    <row r="9277" ht="12" customHeight="1" x14ac:dyDescent="0.25"/>
    <row r="9278" ht="12" customHeight="1" x14ac:dyDescent="0.25"/>
    <row r="9279" ht="20.25" customHeight="1" x14ac:dyDescent="0.25"/>
    <row r="9280" ht="13.5" customHeight="1" x14ac:dyDescent="0.25"/>
    <row r="9282" ht="13.5" customHeight="1" x14ac:dyDescent="0.25"/>
    <row r="9283" ht="13.5" customHeight="1" x14ac:dyDescent="0.25"/>
    <row r="9284" ht="13.5" customHeight="1" x14ac:dyDescent="0.25"/>
    <row r="9285" ht="13.5" customHeight="1" x14ac:dyDescent="0.25"/>
    <row r="9286" ht="12" customHeight="1" x14ac:dyDescent="0.25"/>
    <row r="9287" ht="12" customHeight="1" x14ac:dyDescent="0.25"/>
    <row r="9288" ht="12" customHeight="1" x14ac:dyDescent="0.25"/>
    <row r="9289" ht="12" customHeight="1" x14ac:dyDescent="0.25"/>
    <row r="9290" ht="20.25" customHeight="1" x14ac:dyDescent="0.25"/>
    <row r="9291" ht="13.5" customHeight="1" x14ac:dyDescent="0.25"/>
    <row r="9292" ht="13.5" customHeight="1" x14ac:dyDescent="0.25"/>
    <row r="9293" ht="13.5" customHeight="1" x14ac:dyDescent="0.25"/>
    <row r="9294" ht="13.5" customHeight="1" x14ac:dyDescent="0.25"/>
    <row r="9295" ht="13.5" customHeight="1" x14ac:dyDescent="0.25"/>
    <row r="9296" ht="13.5" customHeight="1" x14ac:dyDescent="0.25"/>
    <row r="9297" ht="13.5" customHeight="1" x14ac:dyDescent="0.25"/>
    <row r="9298" ht="12" customHeight="1" x14ac:dyDescent="0.25"/>
    <row r="9299" ht="12" customHeight="1" x14ac:dyDescent="0.25"/>
    <row r="9300" ht="12" customHeight="1" x14ac:dyDescent="0.25"/>
    <row r="9301" ht="12" customHeight="1" x14ac:dyDescent="0.25"/>
    <row r="9302" ht="20.25" customHeight="1" x14ac:dyDescent="0.25"/>
    <row r="9303" ht="13.5" customHeight="1" x14ac:dyDescent="0.25"/>
    <row r="9305" ht="13.5" customHeight="1" x14ac:dyDescent="0.25"/>
    <row r="9306" ht="13.5" customHeight="1" x14ac:dyDescent="0.25"/>
    <row r="9307" ht="13.5" customHeight="1" x14ac:dyDescent="0.25"/>
    <row r="9308" ht="13.5" customHeight="1" x14ac:dyDescent="0.25"/>
    <row r="9309" ht="12" customHeight="1" x14ac:dyDescent="0.25"/>
    <row r="9310" ht="12" customHeight="1" x14ac:dyDescent="0.25"/>
    <row r="9311" ht="12" customHeight="1" x14ac:dyDescent="0.25"/>
    <row r="9312" ht="12" customHeight="1" x14ac:dyDescent="0.25"/>
    <row r="9313" ht="20.25" customHeight="1" x14ac:dyDescent="0.25"/>
    <row r="9314" ht="13.5" customHeight="1" x14ac:dyDescent="0.25"/>
    <row r="9315" ht="13.5" customHeight="1" x14ac:dyDescent="0.25"/>
    <row r="9316" ht="13.5" customHeight="1" x14ac:dyDescent="0.25"/>
    <row r="9317" ht="13.5" customHeight="1" x14ac:dyDescent="0.25"/>
    <row r="9318" ht="13.5" customHeight="1" x14ac:dyDescent="0.25"/>
    <row r="9319" ht="13.5" customHeight="1" x14ac:dyDescent="0.25"/>
    <row r="9320" ht="13.5" customHeight="1" x14ac:dyDescent="0.25"/>
    <row r="9321" ht="12" customHeight="1" x14ac:dyDescent="0.25"/>
    <row r="9322" ht="12" customHeight="1" x14ac:dyDescent="0.25"/>
    <row r="9323" ht="12" customHeight="1" x14ac:dyDescent="0.25"/>
    <row r="9324" ht="12" customHeight="1" x14ac:dyDescent="0.25"/>
    <row r="9325" ht="20.25" customHeight="1" x14ac:dyDescent="0.25"/>
    <row r="9326" ht="13.5" customHeight="1" x14ac:dyDescent="0.25"/>
    <row r="9328" ht="13.5" customHeight="1" x14ac:dyDescent="0.25"/>
    <row r="9329" ht="13.5" customHeight="1" x14ac:dyDescent="0.25"/>
    <row r="9330" ht="13.5" customHeight="1" x14ac:dyDescent="0.25"/>
    <row r="9331" ht="13.5" customHeight="1" x14ac:dyDescent="0.25"/>
    <row r="9332" ht="12" customHeight="1" x14ac:dyDescent="0.25"/>
    <row r="9333" ht="12" customHeight="1" x14ac:dyDescent="0.25"/>
    <row r="9334" ht="12" customHeight="1" x14ac:dyDescent="0.25"/>
    <row r="9335" ht="12" customHeight="1" x14ac:dyDescent="0.25"/>
    <row r="9336" ht="20.25" customHeight="1" x14ac:dyDescent="0.25"/>
    <row r="9337" ht="13.5" customHeight="1" x14ac:dyDescent="0.25"/>
    <row r="9338" ht="13.5" customHeight="1" x14ac:dyDescent="0.25"/>
    <row r="9339" ht="13.5" customHeight="1" x14ac:dyDescent="0.25"/>
    <row r="9340" ht="13.5" customHeight="1" x14ac:dyDescent="0.25"/>
    <row r="9341" ht="13.5" customHeight="1" x14ac:dyDescent="0.25"/>
    <row r="9342" ht="13.5" customHeight="1" x14ac:dyDescent="0.25"/>
    <row r="9343" ht="13.5" customHeight="1" x14ac:dyDescent="0.25"/>
    <row r="9344" ht="12" customHeight="1" x14ac:dyDescent="0.25"/>
    <row r="9345" ht="12" customHeight="1" x14ac:dyDescent="0.25"/>
    <row r="9346" ht="12" customHeight="1" x14ac:dyDescent="0.25"/>
    <row r="9347" ht="12" customHeight="1" x14ac:dyDescent="0.25"/>
    <row r="9348" ht="20.25" customHeight="1" x14ac:dyDescent="0.25"/>
    <row r="9349" ht="13.5" customHeight="1" x14ac:dyDescent="0.25"/>
    <row r="9351" ht="13.5" customHeight="1" x14ac:dyDescent="0.25"/>
    <row r="9352" ht="13.5" customHeight="1" x14ac:dyDescent="0.25"/>
    <row r="9353" ht="13.5" customHeight="1" x14ac:dyDescent="0.25"/>
    <row r="9354" ht="13.5" customHeight="1" x14ac:dyDescent="0.25"/>
    <row r="9355" ht="12" customHeight="1" x14ac:dyDescent="0.25"/>
    <row r="9356" ht="12" customHeight="1" x14ac:dyDescent="0.25"/>
    <row r="9357" ht="12" customHeight="1" x14ac:dyDescent="0.25"/>
    <row r="9358" ht="12" customHeight="1" x14ac:dyDescent="0.25"/>
    <row r="9359" ht="20.25" customHeight="1" x14ac:dyDescent="0.25"/>
    <row r="9360" ht="13.5" customHeight="1" x14ac:dyDescent="0.25"/>
    <row r="9361" ht="13.5" customHeight="1" x14ac:dyDescent="0.25"/>
    <row r="9362" ht="13.5" customHeight="1" x14ac:dyDescent="0.25"/>
    <row r="9363" ht="13.5" customHeight="1" x14ac:dyDescent="0.25"/>
    <row r="9364" ht="13.5" customHeight="1" x14ac:dyDescent="0.25"/>
    <row r="9365" ht="13.5" customHeight="1" x14ac:dyDescent="0.25"/>
    <row r="9366" ht="13.5" customHeight="1" x14ac:dyDescent="0.25"/>
    <row r="9367" ht="12" customHeight="1" x14ac:dyDescent="0.25"/>
    <row r="9368" ht="12" customHeight="1" x14ac:dyDescent="0.25"/>
    <row r="9369" ht="12" customHeight="1" x14ac:dyDescent="0.25"/>
    <row r="9370" ht="12" customHeight="1" x14ac:dyDescent="0.25"/>
    <row r="9371" ht="20.25" customHeight="1" x14ac:dyDescent="0.25"/>
    <row r="9372" ht="13.5" customHeight="1" x14ac:dyDescent="0.25"/>
    <row r="9374" ht="13.5" customHeight="1" x14ac:dyDescent="0.25"/>
    <row r="9375" ht="13.5" customHeight="1" x14ac:dyDescent="0.25"/>
    <row r="9376" ht="13.5" customHeight="1" x14ac:dyDescent="0.25"/>
    <row r="9377" ht="13.5" customHeight="1" x14ac:dyDescent="0.25"/>
    <row r="9378" ht="12" customHeight="1" x14ac:dyDescent="0.25"/>
    <row r="9379" ht="12" customHeight="1" x14ac:dyDescent="0.25"/>
    <row r="9380" ht="12" customHeight="1" x14ac:dyDescent="0.25"/>
    <row r="9381" ht="12" customHeight="1" x14ac:dyDescent="0.25"/>
    <row r="9382" ht="20.25" customHeight="1" x14ac:dyDescent="0.25"/>
    <row r="9383" ht="13.5" customHeight="1" x14ac:dyDescent="0.25"/>
    <row r="9384" ht="13.5" customHeight="1" x14ac:dyDescent="0.25"/>
    <row r="9385" ht="13.5" customHeight="1" x14ac:dyDescent="0.25"/>
    <row r="9386" ht="13.5" customHeight="1" x14ac:dyDescent="0.25"/>
    <row r="9387" ht="13.5" customHeight="1" x14ac:dyDescent="0.25"/>
    <row r="9388" ht="13.5" customHeight="1" x14ac:dyDescent="0.25"/>
    <row r="9389" ht="13.5" customHeight="1" x14ac:dyDescent="0.25"/>
    <row r="9390" ht="12" customHeight="1" x14ac:dyDescent="0.25"/>
    <row r="9391" ht="12" customHeight="1" x14ac:dyDescent="0.25"/>
    <row r="9392" ht="12" customHeight="1" x14ac:dyDescent="0.25"/>
    <row r="9393" ht="12" customHeight="1" x14ac:dyDescent="0.25"/>
    <row r="9394" ht="20.25" customHeight="1" x14ac:dyDescent="0.25"/>
    <row r="9395" ht="13.5" customHeight="1" x14ac:dyDescent="0.25"/>
    <row r="9397" ht="13.5" customHeight="1" x14ac:dyDescent="0.25"/>
    <row r="9398" ht="13.5" customHeight="1" x14ac:dyDescent="0.25"/>
    <row r="9399" ht="13.5" customHeight="1" x14ac:dyDescent="0.25"/>
    <row r="9400" ht="13.5" customHeight="1" x14ac:dyDescent="0.25"/>
    <row r="9401" ht="12" customHeight="1" x14ac:dyDescent="0.25"/>
    <row r="9402" ht="12" customHeight="1" x14ac:dyDescent="0.25"/>
    <row r="9403" ht="12" customHeight="1" x14ac:dyDescent="0.25"/>
    <row r="9404" ht="12" customHeight="1" x14ac:dyDescent="0.25"/>
    <row r="9405" ht="20.25" customHeight="1" x14ac:dyDescent="0.25"/>
    <row r="9406" ht="13.5" customHeight="1" x14ac:dyDescent="0.25"/>
    <row r="9407" ht="13.5" customHeight="1" x14ac:dyDescent="0.25"/>
    <row r="9408" ht="13.5" customHeight="1" x14ac:dyDescent="0.25"/>
    <row r="9409" ht="13.5" customHeight="1" x14ac:dyDescent="0.25"/>
    <row r="9410" ht="13.5" customHeight="1" x14ac:dyDescent="0.25"/>
    <row r="9411" ht="13.5" customHeight="1" x14ac:dyDescent="0.25"/>
    <row r="9412" ht="13.5" customHeight="1" x14ac:dyDescent="0.25"/>
    <row r="9413" ht="12" customHeight="1" x14ac:dyDescent="0.25"/>
    <row r="9414" ht="12" customHeight="1" x14ac:dyDescent="0.25"/>
    <row r="9415" ht="12" customHeight="1" x14ac:dyDescent="0.25"/>
    <row r="9416" ht="12" customHeight="1" x14ac:dyDescent="0.25"/>
    <row r="9417" ht="20.25" customHeight="1" x14ac:dyDescent="0.25"/>
    <row r="9418" ht="13.5" customHeight="1" x14ac:dyDescent="0.25"/>
    <row r="9420" ht="13.5" customHeight="1" x14ac:dyDescent="0.25"/>
    <row r="9421" ht="13.5" customHeight="1" x14ac:dyDescent="0.25"/>
    <row r="9422" ht="13.5" customHeight="1" x14ac:dyDescent="0.25"/>
    <row r="9423" ht="13.5" customHeight="1" x14ac:dyDescent="0.25"/>
    <row r="9424" ht="12" customHeight="1" x14ac:dyDescent="0.25"/>
    <row r="9425" ht="12" customHeight="1" x14ac:dyDescent="0.25"/>
    <row r="9426" ht="12" customHeight="1" x14ac:dyDescent="0.25"/>
    <row r="9427" ht="12" customHeight="1" x14ac:dyDescent="0.25"/>
    <row r="9428" ht="20.25" customHeight="1" x14ac:dyDescent="0.25"/>
    <row r="9429" ht="13.5" customHeight="1" x14ac:dyDescent="0.25"/>
    <row r="9430" ht="13.5" customHeight="1" x14ac:dyDescent="0.25"/>
    <row r="9431" ht="13.5" customHeight="1" x14ac:dyDescent="0.25"/>
    <row r="9432" ht="13.5" customHeight="1" x14ac:dyDescent="0.25"/>
    <row r="9433" ht="13.5" customHeight="1" x14ac:dyDescent="0.25"/>
    <row r="9434" ht="13.5" customHeight="1" x14ac:dyDescent="0.25"/>
    <row r="9435" ht="13.5" customHeight="1" x14ac:dyDescent="0.25"/>
    <row r="9436" ht="12" customHeight="1" x14ac:dyDescent="0.25"/>
    <row r="9437" ht="12" customHeight="1" x14ac:dyDescent="0.25"/>
    <row r="9438" ht="12" customHeight="1" x14ac:dyDescent="0.25"/>
    <row r="9439" ht="12" customHeight="1" x14ac:dyDescent="0.25"/>
    <row r="9440" ht="20.25" customHeight="1" x14ac:dyDescent="0.25"/>
    <row r="9441" ht="13.5" customHeight="1" x14ac:dyDescent="0.25"/>
    <row r="9443" ht="13.5" customHeight="1" x14ac:dyDescent="0.25"/>
    <row r="9444" ht="13.5" customHeight="1" x14ac:dyDescent="0.25"/>
    <row r="9445" ht="13.5" customHeight="1" x14ac:dyDescent="0.25"/>
    <row r="9446" ht="13.5" customHeight="1" x14ac:dyDescent="0.25"/>
    <row r="9447" ht="12" customHeight="1" x14ac:dyDescent="0.25"/>
    <row r="9448" ht="12" customHeight="1" x14ac:dyDescent="0.25"/>
    <row r="9449" ht="12" customHeight="1" x14ac:dyDescent="0.25"/>
    <row r="9450" ht="12" customHeight="1" x14ac:dyDescent="0.25"/>
    <row r="9451" ht="20.25" customHeight="1" x14ac:dyDescent="0.25"/>
    <row r="9452" ht="13.5" customHeight="1" x14ac:dyDescent="0.25"/>
    <row r="9453" ht="13.5" customHeight="1" x14ac:dyDescent="0.25"/>
    <row r="9454" ht="13.5" customHeight="1" x14ac:dyDescent="0.25"/>
    <row r="9455" ht="13.5" customHeight="1" x14ac:dyDescent="0.25"/>
    <row r="9456" ht="13.5" customHeight="1" x14ac:dyDescent="0.25"/>
    <row r="9457" ht="13.5" customHeight="1" x14ac:dyDescent="0.25"/>
    <row r="9458" ht="13.5" customHeight="1" x14ac:dyDescent="0.25"/>
    <row r="9459" ht="12" customHeight="1" x14ac:dyDescent="0.25"/>
    <row r="9460" ht="12" customHeight="1" x14ac:dyDescent="0.25"/>
    <row r="9461" ht="12" customHeight="1" x14ac:dyDescent="0.25"/>
    <row r="9462" ht="12" customHeight="1" x14ac:dyDescent="0.25"/>
    <row r="9463" ht="20.25" customHeight="1" x14ac:dyDescent="0.25"/>
    <row r="9464" ht="13.5" customHeight="1" x14ac:dyDescent="0.25"/>
    <row r="9466" ht="13.5" customHeight="1" x14ac:dyDescent="0.25"/>
    <row r="9467" ht="13.5" customHeight="1" x14ac:dyDescent="0.25"/>
    <row r="9468" ht="13.5" customHeight="1" x14ac:dyDescent="0.25"/>
    <row r="9469" ht="13.5" customHeight="1" x14ac:dyDescent="0.25"/>
    <row r="9470" ht="12" customHeight="1" x14ac:dyDescent="0.25"/>
    <row r="9471" ht="12" customHeight="1" x14ac:dyDescent="0.25"/>
    <row r="9472" ht="12" customHeight="1" x14ac:dyDescent="0.25"/>
    <row r="9473" ht="12" customHeight="1" x14ac:dyDescent="0.25"/>
    <row r="9474" ht="20.25" customHeight="1" x14ac:dyDescent="0.25"/>
    <row r="9475" ht="13.5" customHeight="1" x14ac:dyDescent="0.25"/>
    <row r="9476" ht="13.5" customHeight="1" x14ac:dyDescent="0.25"/>
    <row r="9477" ht="13.5" customHeight="1" x14ac:dyDescent="0.25"/>
    <row r="9478" ht="13.5" customHeight="1" x14ac:dyDescent="0.25"/>
    <row r="9479" ht="13.5" customHeight="1" x14ac:dyDescent="0.25"/>
    <row r="9480" ht="13.5" customHeight="1" x14ac:dyDescent="0.25"/>
    <row r="9481" ht="13.5" customHeight="1" x14ac:dyDescent="0.25"/>
    <row r="9482" ht="12" customHeight="1" x14ac:dyDescent="0.25"/>
    <row r="9483" ht="12" customHeight="1" x14ac:dyDescent="0.25"/>
    <row r="9484" ht="12" customHeight="1" x14ac:dyDescent="0.25"/>
    <row r="9485" ht="12" customHeight="1" x14ac:dyDescent="0.25"/>
    <row r="9486" ht="20.25" customHeight="1" x14ac:dyDescent="0.25"/>
    <row r="9487" ht="13.5" customHeight="1" x14ac:dyDescent="0.25"/>
    <row r="9489" ht="13.5" customHeight="1" x14ac:dyDescent="0.25"/>
    <row r="9490" ht="13.5" customHeight="1" x14ac:dyDescent="0.25"/>
    <row r="9491" ht="13.5" customHeight="1" x14ac:dyDescent="0.25"/>
    <row r="9492" ht="13.5" customHeight="1" x14ac:dyDescent="0.25"/>
    <row r="9493" ht="12" customHeight="1" x14ac:dyDescent="0.25"/>
    <row r="9494" ht="12" customHeight="1" x14ac:dyDescent="0.25"/>
    <row r="9495" ht="12" customHeight="1" x14ac:dyDescent="0.25"/>
    <row r="9496" ht="12" customHeight="1" x14ac:dyDescent="0.25"/>
    <row r="9497" ht="20.25" customHeight="1" x14ac:dyDescent="0.25"/>
    <row r="9498" ht="13.5" customHeight="1" x14ac:dyDescent="0.25"/>
    <row r="9499" ht="13.5" customHeight="1" x14ac:dyDescent="0.25"/>
    <row r="9500" ht="13.5" customHeight="1" x14ac:dyDescent="0.25"/>
    <row r="9501" ht="13.5" customHeight="1" x14ac:dyDescent="0.25"/>
    <row r="9502" ht="13.5" customHeight="1" x14ac:dyDescent="0.25"/>
    <row r="9503" ht="13.5" customHeight="1" x14ac:dyDescent="0.25"/>
    <row r="9504" ht="13.5" customHeight="1" x14ac:dyDescent="0.25"/>
    <row r="9505" ht="12" customHeight="1" x14ac:dyDescent="0.25"/>
    <row r="9506" ht="12" customHeight="1" x14ac:dyDescent="0.25"/>
    <row r="9507" ht="12" customHeight="1" x14ac:dyDescent="0.25"/>
    <row r="9508" ht="12" customHeight="1" x14ac:dyDescent="0.25"/>
    <row r="9509" ht="20.25" customHeight="1" x14ac:dyDescent="0.25"/>
    <row r="9510" ht="13.5" customHeight="1" x14ac:dyDescent="0.25"/>
    <row r="9512" ht="13.5" customHeight="1" x14ac:dyDescent="0.25"/>
    <row r="9513" ht="13.5" customHeight="1" x14ac:dyDescent="0.25"/>
    <row r="9514" ht="13.5" customHeight="1" x14ac:dyDescent="0.25"/>
    <row r="9515" ht="13.5" customHeight="1" x14ac:dyDescent="0.25"/>
    <row r="9516" ht="12" customHeight="1" x14ac:dyDescent="0.25"/>
    <row r="9517" ht="12" customHeight="1" x14ac:dyDescent="0.25"/>
    <row r="9518" ht="12" customHeight="1" x14ac:dyDescent="0.25"/>
    <row r="9519" ht="12" customHeight="1" x14ac:dyDescent="0.25"/>
    <row r="9520" ht="20.25" customHeight="1" x14ac:dyDescent="0.25"/>
    <row r="9521" ht="13.5" customHeight="1" x14ac:dyDescent="0.25"/>
    <row r="9522" ht="13.5" customHeight="1" x14ac:dyDescent="0.25"/>
    <row r="9523" ht="13.5" customHeight="1" x14ac:dyDescent="0.25"/>
    <row r="9524" ht="13.5" customHeight="1" x14ac:dyDescent="0.25"/>
    <row r="9525" ht="13.5" customHeight="1" x14ac:dyDescent="0.25"/>
    <row r="9526" ht="13.5" customHeight="1" x14ac:dyDescent="0.25"/>
    <row r="9527" ht="13.5" customHeight="1" x14ac:dyDescent="0.25"/>
    <row r="9528" ht="12" customHeight="1" x14ac:dyDescent="0.25"/>
    <row r="9529" ht="12" customHeight="1" x14ac:dyDescent="0.25"/>
    <row r="9530" ht="12" customHeight="1" x14ac:dyDescent="0.25"/>
    <row r="9531" ht="12" customHeight="1" x14ac:dyDescent="0.25"/>
    <row r="9532" ht="20.25" customHeight="1" x14ac:dyDescent="0.25"/>
    <row r="9533" ht="13.5" customHeight="1" x14ac:dyDescent="0.25"/>
    <row r="9535" ht="13.5" customHeight="1" x14ac:dyDescent="0.25"/>
    <row r="9536" ht="13.5" customHeight="1" x14ac:dyDescent="0.25"/>
    <row r="9537" ht="13.5" customHeight="1" x14ac:dyDescent="0.25"/>
    <row r="9538" ht="13.5" customHeight="1" x14ac:dyDescent="0.25"/>
    <row r="9539" ht="12" customHeight="1" x14ac:dyDescent="0.25"/>
    <row r="9540" ht="12" customHeight="1" x14ac:dyDescent="0.25"/>
    <row r="9541" ht="12" customHeight="1" x14ac:dyDescent="0.25"/>
    <row r="9542" ht="12" customHeight="1" x14ac:dyDescent="0.25"/>
    <row r="9543" ht="20.25" customHeight="1" x14ac:dyDescent="0.25"/>
    <row r="9544" ht="13.5" customHeight="1" x14ac:dyDescent="0.25"/>
    <row r="9545" ht="13.5" customHeight="1" x14ac:dyDescent="0.25"/>
    <row r="9546" ht="13.5" customHeight="1" x14ac:dyDescent="0.25"/>
    <row r="9547" ht="13.5" customHeight="1" x14ac:dyDescent="0.25"/>
    <row r="9548" ht="13.5" customHeight="1" x14ac:dyDescent="0.25"/>
    <row r="9549" ht="13.5" customHeight="1" x14ac:dyDescent="0.25"/>
    <row r="9550" ht="13.5" customHeight="1" x14ac:dyDescent="0.25"/>
    <row r="9551" ht="12" customHeight="1" x14ac:dyDescent="0.25"/>
    <row r="9552" ht="12" customHeight="1" x14ac:dyDescent="0.25"/>
    <row r="9553" ht="12" customHeight="1" x14ac:dyDescent="0.25"/>
    <row r="9554" ht="12" customHeight="1" x14ac:dyDescent="0.25"/>
    <row r="9555" ht="20.25" customHeight="1" x14ac:dyDescent="0.25"/>
    <row r="9556" ht="13.5" customHeight="1" x14ac:dyDescent="0.25"/>
    <row r="9558" ht="13.5" customHeight="1" x14ac:dyDescent="0.25"/>
    <row r="9559" ht="13.5" customHeight="1" x14ac:dyDescent="0.25"/>
    <row r="9560" ht="13.5" customHeight="1" x14ac:dyDescent="0.25"/>
    <row r="9561" ht="13.5" customHeight="1" x14ac:dyDescent="0.25"/>
    <row r="9562" ht="12" customHeight="1" x14ac:dyDescent="0.25"/>
    <row r="9563" ht="12" customHeight="1" x14ac:dyDescent="0.25"/>
    <row r="9564" ht="12" customHeight="1" x14ac:dyDescent="0.25"/>
    <row r="9565" ht="12" customHeight="1" x14ac:dyDescent="0.25"/>
    <row r="9566" ht="20.25" customHeight="1" x14ac:dyDescent="0.25"/>
    <row r="9567" ht="13.5" customHeight="1" x14ac:dyDescent="0.25"/>
    <row r="9568" ht="13.5" customHeight="1" x14ac:dyDescent="0.25"/>
    <row r="9569" ht="13.5" customHeight="1" x14ac:dyDescent="0.25"/>
    <row r="9570" ht="13.5" customHeight="1" x14ac:dyDescent="0.25"/>
    <row r="9571" ht="13.5" customHeight="1" x14ac:dyDescent="0.25"/>
    <row r="9572" ht="13.5" customHeight="1" x14ac:dyDescent="0.25"/>
    <row r="9573" ht="13.5" customHeight="1" x14ac:dyDescent="0.25"/>
    <row r="9574" ht="12" customHeight="1" x14ac:dyDescent="0.25"/>
    <row r="9575" ht="12" customHeight="1" x14ac:dyDescent="0.25"/>
    <row r="9576" ht="12" customHeight="1" x14ac:dyDescent="0.25"/>
    <row r="9577" ht="12" customHeight="1" x14ac:dyDescent="0.25"/>
    <row r="9578" ht="20.25" customHeight="1" x14ac:dyDescent="0.25"/>
    <row r="9579" ht="13.5" customHeight="1" x14ac:dyDescent="0.25"/>
    <row r="9581" ht="13.5" customHeight="1" x14ac:dyDescent="0.25"/>
    <row r="9582" ht="13.5" customHeight="1" x14ac:dyDescent="0.25"/>
    <row r="9583" ht="13.5" customHeight="1" x14ac:dyDescent="0.25"/>
    <row r="9584" ht="13.5" customHeight="1" x14ac:dyDescent="0.25"/>
    <row r="9585" ht="12" customHeight="1" x14ac:dyDescent="0.25"/>
    <row r="9586" ht="12" customHeight="1" x14ac:dyDescent="0.25"/>
    <row r="9587" ht="12" customHeight="1" x14ac:dyDescent="0.25"/>
    <row r="9588" ht="12" customHeight="1" x14ac:dyDescent="0.25"/>
    <row r="9589" ht="20.25" customHeight="1" x14ac:dyDescent="0.25"/>
    <row r="9590" ht="13.5" customHeight="1" x14ac:dyDescent="0.25"/>
    <row r="9591" ht="13.5" customHeight="1" x14ac:dyDescent="0.25"/>
    <row r="9592" ht="13.5" customHeight="1" x14ac:dyDescent="0.25"/>
    <row r="9593" ht="13.5" customHeight="1" x14ac:dyDescent="0.25"/>
    <row r="9594" ht="13.5" customHeight="1" x14ac:dyDescent="0.25"/>
    <row r="9595" ht="13.5" customHeight="1" x14ac:dyDescent="0.25"/>
    <row r="9596" ht="13.5" customHeight="1" x14ac:dyDescent="0.25"/>
    <row r="9597" ht="12" customHeight="1" x14ac:dyDescent="0.25"/>
    <row r="9598" ht="12" customHeight="1" x14ac:dyDescent="0.25"/>
    <row r="9599" ht="12" customHeight="1" x14ac:dyDescent="0.25"/>
    <row r="9600" ht="12" customHeight="1" x14ac:dyDescent="0.25"/>
    <row r="9601" ht="20.25" customHeight="1" x14ac:dyDescent="0.25"/>
    <row r="9602" ht="13.5" customHeight="1" x14ac:dyDescent="0.25"/>
    <row r="9604" ht="13.5" customHeight="1" x14ac:dyDescent="0.25"/>
    <row r="9605" ht="13.5" customHeight="1" x14ac:dyDescent="0.25"/>
    <row r="9606" ht="13.5" customHeight="1" x14ac:dyDescent="0.25"/>
    <row r="9607" ht="13.5" customHeight="1" x14ac:dyDescent="0.25"/>
    <row r="9608" ht="12" customHeight="1" x14ac:dyDescent="0.25"/>
    <row r="9609" ht="12" customHeight="1" x14ac:dyDescent="0.25"/>
    <row r="9610" ht="12" customHeight="1" x14ac:dyDescent="0.25"/>
    <row r="9611" ht="12" customHeight="1" x14ac:dyDescent="0.25"/>
    <row r="9612" ht="20.25" customHeight="1" x14ac:dyDescent="0.25"/>
    <row r="9613" ht="13.5" customHeight="1" x14ac:dyDescent="0.25"/>
    <row r="9614" ht="13.5" customHeight="1" x14ac:dyDescent="0.25"/>
    <row r="9615" ht="13.5" customHeight="1" x14ac:dyDescent="0.25"/>
    <row r="9616" ht="13.5" customHeight="1" x14ac:dyDescent="0.25"/>
    <row r="9617" ht="13.5" customHeight="1" x14ac:dyDescent="0.25"/>
    <row r="9618" ht="13.5" customHeight="1" x14ac:dyDescent="0.25"/>
    <row r="9619" ht="13.5" customHeight="1" x14ac:dyDescent="0.25"/>
    <row r="9620" ht="12" customHeight="1" x14ac:dyDescent="0.25"/>
    <row r="9621" ht="12" customHeight="1" x14ac:dyDescent="0.25"/>
    <row r="9622" ht="12" customHeight="1" x14ac:dyDescent="0.25"/>
    <row r="9623" ht="12" customHeight="1" x14ac:dyDescent="0.25"/>
    <row r="9624" ht="20.25" customHeight="1" x14ac:dyDescent="0.25"/>
    <row r="9625" ht="13.5" customHeight="1" x14ac:dyDescent="0.25"/>
    <row r="9627" ht="13.5" customHeight="1" x14ac:dyDescent="0.25"/>
    <row r="9628" ht="13.5" customHeight="1" x14ac:dyDescent="0.25"/>
    <row r="9629" ht="13.5" customHeight="1" x14ac:dyDescent="0.25"/>
    <row r="9630" ht="13.5" customHeight="1" x14ac:dyDescent="0.25"/>
    <row r="9631" ht="12" customHeight="1" x14ac:dyDescent="0.25"/>
    <row r="9632" ht="12" customHeight="1" x14ac:dyDescent="0.25"/>
    <row r="9633" ht="12" customHeight="1" x14ac:dyDescent="0.25"/>
    <row r="9634" ht="12" customHeight="1" x14ac:dyDescent="0.25"/>
    <row r="9635" ht="20.25" customHeight="1" x14ac:dyDescent="0.25"/>
    <row r="9636" ht="13.5" customHeight="1" x14ac:dyDescent="0.25"/>
    <row r="9637" ht="13.5" customHeight="1" x14ac:dyDescent="0.25"/>
    <row r="9638" ht="13.5" customHeight="1" x14ac:dyDescent="0.25"/>
    <row r="9639" ht="13.5" customHeight="1" x14ac:dyDescent="0.25"/>
    <row r="9640" ht="13.5" customHeight="1" x14ac:dyDescent="0.25"/>
    <row r="9641" ht="13.5" customHeight="1" x14ac:dyDescent="0.25"/>
    <row r="9642" ht="13.5" customHeight="1" x14ac:dyDescent="0.25"/>
    <row r="9643" ht="12" customHeight="1" x14ac:dyDescent="0.25"/>
    <row r="9644" ht="12" customHeight="1" x14ac:dyDescent="0.25"/>
    <row r="9645" ht="12" customHeight="1" x14ac:dyDescent="0.25"/>
    <row r="9646" ht="12" customHeight="1" x14ac:dyDescent="0.25"/>
    <row r="9647" ht="20.25" customHeight="1" x14ac:dyDescent="0.25"/>
    <row r="9648" ht="13.5" customHeight="1" x14ac:dyDescent="0.25"/>
    <row r="9650" ht="13.5" customHeight="1" x14ac:dyDescent="0.25"/>
    <row r="9651" ht="13.5" customHeight="1" x14ac:dyDescent="0.25"/>
    <row r="9652" ht="13.5" customHeight="1" x14ac:dyDescent="0.25"/>
    <row r="9653" ht="13.5" customHeight="1" x14ac:dyDescent="0.25"/>
    <row r="9654" ht="12" customHeight="1" x14ac:dyDescent="0.25"/>
    <row r="9655" ht="12" customHeight="1" x14ac:dyDescent="0.25"/>
    <row r="9656" ht="12" customHeight="1" x14ac:dyDescent="0.25"/>
    <row r="9657" ht="12" customHeight="1" x14ac:dyDescent="0.25"/>
    <row r="9658" ht="20.25" customHeight="1" x14ac:dyDescent="0.25"/>
    <row r="9659" ht="13.5" customHeight="1" x14ac:dyDescent="0.25"/>
    <row r="9660" ht="13.5" customHeight="1" x14ac:dyDescent="0.25"/>
    <row r="9661" ht="13.5" customHeight="1" x14ac:dyDescent="0.25"/>
    <row r="9662" ht="13.5" customHeight="1" x14ac:dyDescent="0.25"/>
    <row r="9663" ht="13.5" customHeight="1" x14ac:dyDescent="0.25"/>
    <row r="9664" ht="13.5" customHeight="1" x14ac:dyDescent="0.25"/>
    <row r="9665" ht="13.5" customHeight="1" x14ac:dyDescent="0.25"/>
    <row r="9666" ht="12" customHeight="1" x14ac:dyDescent="0.25"/>
    <row r="9667" ht="12" customHeight="1" x14ac:dyDescent="0.25"/>
    <row r="9668" ht="12" customHeight="1" x14ac:dyDescent="0.25"/>
    <row r="9669" ht="12" customHeight="1" x14ac:dyDescent="0.25"/>
    <row r="9670" ht="20.25" customHeight="1" x14ac:dyDescent="0.25"/>
    <row r="9671" ht="13.5" customHeight="1" x14ac:dyDescent="0.25"/>
    <row r="9673" ht="13.5" customHeight="1" x14ac:dyDescent="0.25"/>
    <row r="9674" ht="13.5" customHeight="1" x14ac:dyDescent="0.25"/>
    <row r="9675" ht="13.5" customHeight="1" x14ac:dyDescent="0.25"/>
    <row r="9676" ht="13.5" customHeight="1" x14ac:dyDescent="0.25"/>
    <row r="9677" ht="12" customHeight="1" x14ac:dyDescent="0.25"/>
    <row r="9678" ht="12" customHeight="1" x14ac:dyDescent="0.25"/>
    <row r="9679" ht="12" customHeight="1" x14ac:dyDescent="0.25"/>
    <row r="9680" ht="12" customHeight="1" x14ac:dyDescent="0.25"/>
    <row r="9681" ht="20.25" customHeight="1" x14ac:dyDescent="0.25"/>
    <row r="9682" ht="13.5" customHeight="1" x14ac:dyDescent="0.25"/>
    <row r="9683" ht="13.5" customHeight="1" x14ac:dyDescent="0.25"/>
    <row r="9684" ht="13.5" customHeight="1" x14ac:dyDescent="0.25"/>
    <row r="9685" ht="13.5" customHeight="1" x14ac:dyDescent="0.25"/>
    <row r="9686" ht="13.5" customHeight="1" x14ac:dyDescent="0.25"/>
    <row r="9687" ht="13.5" customHeight="1" x14ac:dyDescent="0.25"/>
    <row r="9688" ht="13.5" customHeight="1" x14ac:dyDescent="0.25"/>
    <row r="9689" ht="12" customHeight="1" x14ac:dyDescent="0.25"/>
    <row r="9690" ht="12" customHeight="1" x14ac:dyDescent="0.25"/>
    <row r="9691" ht="12" customHeight="1" x14ac:dyDescent="0.25"/>
    <row r="9692" ht="12" customHeight="1" x14ac:dyDescent="0.25"/>
    <row r="9693" ht="20.25" customHeight="1" x14ac:dyDescent="0.25"/>
    <row r="9694" ht="13.5" customHeight="1" x14ac:dyDescent="0.25"/>
    <row r="9696" ht="13.5" customHeight="1" x14ac:dyDescent="0.25"/>
    <row r="9697" ht="13.5" customHeight="1" x14ac:dyDescent="0.25"/>
    <row r="9698" ht="13.5" customHeight="1" x14ac:dyDescent="0.25"/>
    <row r="9699" ht="13.5" customHeight="1" x14ac:dyDescent="0.25"/>
    <row r="9700" ht="12" customHeight="1" x14ac:dyDescent="0.25"/>
    <row r="9701" ht="12" customHeight="1" x14ac:dyDescent="0.25"/>
    <row r="9702" ht="12" customHeight="1" x14ac:dyDescent="0.25"/>
    <row r="9703" ht="12" customHeight="1" x14ac:dyDescent="0.25"/>
    <row r="9704" ht="20.25" customHeight="1" x14ac:dyDescent="0.25"/>
    <row r="9705" ht="13.5" customHeight="1" x14ac:dyDescent="0.25"/>
    <row r="9706" ht="13.5" customHeight="1" x14ac:dyDescent="0.25"/>
    <row r="9707" ht="13.5" customHeight="1" x14ac:dyDescent="0.25"/>
    <row r="9708" ht="13.5" customHeight="1" x14ac:dyDescent="0.25"/>
    <row r="9709" ht="13.5" customHeight="1" x14ac:dyDescent="0.25"/>
    <row r="9710" ht="13.5" customHeight="1" x14ac:dyDescent="0.25"/>
    <row r="9711" ht="13.5" customHeight="1" x14ac:dyDescent="0.25"/>
    <row r="9712" ht="12" customHeight="1" x14ac:dyDescent="0.25"/>
    <row r="9713" ht="12" customHeight="1" x14ac:dyDescent="0.25"/>
    <row r="9714" ht="12" customHeight="1" x14ac:dyDescent="0.25"/>
    <row r="9715" ht="12" customHeight="1" x14ac:dyDescent="0.25"/>
    <row r="9716" ht="20.25" customHeight="1" x14ac:dyDescent="0.25"/>
    <row r="9717" ht="13.5" customHeight="1" x14ac:dyDescent="0.25"/>
    <row r="9719" ht="13.5" customHeight="1" x14ac:dyDescent="0.25"/>
    <row r="9720" ht="13.5" customHeight="1" x14ac:dyDescent="0.25"/>
    <row r="9721" ht="13.5" customHeight="1" x14ac:dyDescent="0.25"/>
    <row r="9722" ht="13.5" customHeight="1" x14ac:dyDescent="0.25"/>
    <row r="9723" ht="12" customHeight="1" x14ac:dyDescent="0.25"/>
    <row r="9724" ht="12" customHeight="1" x14ac:dyDescent="0.25"/>
    <row r="9725" ht="12" customHeight="1" x14ac:dyDescent="0.25"/>
    <row r="9726" ht="12" customHeight="1" x14ac:dyDescent="0.25"/>
    <row r="9727" ht="20.25" customHeight="1" x14ac:dyDescent="0.25"/>
    <row r="9728" ht="13.5" customHeight="1" x14ac:dyDescent="0.25"/>
    <row r="9729" ht="13.5" customHeight="1" x14ac:dyDescent="0.25"/>
    <row r="9730" ht="13.5" customHeight="1" x14ac:dyDescent="0.25"/>
    <row r="9731" ht="13.5" customHeight="1" x14ac:dyDescent="0.25"/>
    <row r="9732" ht="13.5" customHeight="1" x14ac:dyDescent="0.25"/>
    <row r="9733" ht="13.5" customHeight="1" x14ac:dyDescent="0.25"/>
    <row r="9734" ht="13.5" customHeight="1" x14ac:dyDescent="0.25"/>
    <row r="9735" ht="12" customHeight="1" x14ac:dyDescent="0.25"/>
    <row r="9736" ht="12" customHeight="1" x14ac:dyDescent="0.25"/>
    <row r="9737" ht="12" customHeight="1" x14ac:dyDescent="0.25"/>
    <row r="9738" ht="12" customHeight="1" x14ac:dyDescent="0.25"/>
    <row r="9739" ht="20.25" customHeight="1" x14ac:dyDescent="0.25"/>
    <row r="9740" ht="13.5" customHeight="1" x14ac:dyDescent="0.25"/>
    <row r="9742" ht="13.5" customHeight="1" x14ac:dyDescent="0.25"/>
    <row r="9743" ht="13.5" customHeight="1" x14ac:dyDescent="0.25"/>
    <row r="9744" ht="13.5" customHeight="1" x14ac:dyDescent="0.25"/>
    <row r="9745" ht="13.5" customHeight="1" x14ac:dyDescent="0.25"/>
    <row r="9746" ht="12" customHeight="1" x14ac:dyDescent="0.25"/>
    <row r="9747" ht="12" customHeight="1" x14ac:dyDescent="0.25"/>
    <row r="9748" ht="12" customHeight="1" x14ac:dyDescent="0.25"/>
    <row r="9749" ht="12" customHeight="1" x14ac:dyDescent="0.25"/>
    <row r="9750" ht="20.25" customHeight="1" x14ac:dyDescent="0.25"/>
    <row r="9751" ht="13.5" customHeight="1" x14ac:dyDescent="0.25"/>
    <row r="9752" ht="13.5" customHeight="1" x14ac:dyDescent="0.25"/>
    <row r="9753" ht="13.5" customHeight="1" x14ac:dyDescent="0.25"/>
    <row r="9754" ht="13.5" customHeight="1" x14ac:dyDescent="0.25"/>
    <row r="9755" ht="13.5" customHeight="1" x14ac:dyDescent="0.25"/>
    <row r="9756" ht="13.5" customHeight="1" x14ac:dyDescent="0.25"/>
    <row r="9757" ht="13.5" customHeight="1" x14ac:dyDescent="0.25"/>
    <row r="9758" ht="12" customHeight="1" x14ac:dyDescent="0.25"/>
    <row r="9759" ht="12" customHeight="1" x14ac:dyDescent="0.25"/>
    <row r="9760" ht="12" customHeight="1" x14ac:dyDescent="0.25"/>
    <row r="9761" ht="12" customHeight="1" x14ac:dyDescent="0.25"/>
    <row r="9762" ht="20.25" customHeight="1" x14ac:dyDescent="0.25"/>
    <row r="9763" ht="13.5" customHeight="1" x14ac:dyDescent="0.25"/>
    <row r="9765" ht="13.5" customHeight="1" x14ac:dyDescent="0.25"/>
    <row r="9766" ht="13.5" customHeight="1" x14ac:dyDescent="0.25"/>
    <row r="9767" ht="13.5" customHeight="1" x14ac:dyDescent="0.25"/>
    <row r="9768" ht="13.5" customHeight="1" x14ac:dyDescent="0.25"/>
    <row r="9769" ht="12" customHeight="1" x14ac:dyDescent="0.25"/>
    <row r="9770" ht="12" customHeight="1" x14ac:dyDescent="0.25"/>
    <row r="9771" ht="12" customHeight="1" x14ac:dyDescent="0.25"/>
    <row r="9772" ht="12" customHeight="1" x14ac:dyDescent="0.25"/>
    <row r="9773" ht="20.25" customHeight="1" x14ac:dyDescent="0.25"/>
    <row r="9774" ht="13.5" customHeight="1" x14ac:dyDescent="0.25"/>
    <row r="9775" ht="13.5" customHeight="1" x14ac:dyDescent="0.25"/>
    <row r="9776" ht="13.5" customHeight="1" x14ac:dyDescent="0.25"/>
    <row r="9777" ht="13.5" customHeight="1" x14ac:dyDescent="0.25"/>
    <row r="9778" ht="13.5" customHeight="1" x14ac:dyDescent="0.25"/>
    <row r="9779" ht="13.5" customHeight="1" x14ac:dyDescent="0.25"/>
    <row r="9780" ht="13.5" customHeight="1" x14ac:dyDescent="0.25"/>
    <row r="9781" ht="12" customHeight="1" x14ac:dyDescent="0.25"/>
    <row r="9782" ht="12" customHeight="1" x14ac:dyDescent="0.25"/>
    <row r="9783" ht="12" customHeight="1" x14ac:dyDescent="0.25"/>
    <row r="9784" ht="12" customHeight="1" x14ac:dyDescent="0.25"/>
    <row r="9785" ht="20.25" customHeight="1" x14ac:dyDescent="0.25"/>
    <row r="9786" ht="13.5" customHeight="1" x14ac:dyDescent="0.25"/>
    <row r="9788" ht="13.5" customHeight="1" x14ac:dyDescent="0.25"/>
    <row r="9789" ht="13.5" customHeight="1" x14ac:dyDescent="0.25"/>
    <row r="9790" ht="13.5" customHeight="1" x14ac:dyDescent="0.25"/>
    <row r="9791" ht="13.5" customHeight="1" x14ac:dyDescent="0.25"/>
    <row r="9792" ht="12" customHeight="1" x14ac:dyDescent="0.25"/>
    <row r="9793" ht="12" customHeight="1" x14ac:dyDescent="0.25"/>
    <row r="9794" ht="12" customHeight="1" x14ac:dyDescent="0.25"/>
    <row r="9795" ht="12" customHeight="1" x14ac:dyDescent="0.25"/>
    <row r="9796" ht="20.25" customHeight="1" x14ac:dyDescent="0.25"/>
    <row r="9797" ht="13.5" customHeight="1" x14ac:dyDescent="0.25"/>
    <row r="9798" ht="13.5" customHeight="1" x14ac:dyDescent="0.25"/>
    <row r="9799" ht="13.5" customHeight="1" x14ac:dyDescent="0.25"/>
    <row r="9800" ht="13.5" customHeight="1" x14ac:dyDescent="0.25"/>
    <row r="9801" ht="13.5" customHeight="1" x14ac:dyDescent="0.25"/>
    <row r="9802" ht="13.5" customHeight="1" x14ac:dyDescent="0.25"/>
    <row r="9803" ht="13.5" customHeight="1" x14ac:dyDescent="0.25"/>
    <row r="9804" ht="12" customHeight="1" x14ac:dyDescent="0.25"/>
    <row r="9805" ht="12" customHeight="1" x14ac:dyDescent="0.25"/>
    <row r="9806" ht="12" customHeight="1" x14ac:dyDescent="0.25"/>
    <row r="9807" ht="12" customHeight="1" x14ac:dyDescent="0.25"/>
    <row r="9808" ht="20.25" customHeight="1" x14ac:dyDescent="0.25"/>
    <row r="9809" ht="13.5" customHeight="1" x14ac:dyDescent="0.25"/>
    <row r="9811" ht="13.5" customHeight="1" x14ac:dyDescent="0.25"/>
    <row r="9812" ht="13.5" customHeight="1" x14ac:dyDescent="0.25"/>
    <row r="9813" ht="13.5" customHeight="1" x14ac:dyDescent="0.25"/>
    <row r="9814" ht="13.5" customHeight="1" x14ac:dyDescent="0.25"/>
    <row r="9815" ht="12" customHeight="1" x14ac:dyDescent="0.25"/>
    <row r="9816" ht="12" customHeight="1" x14ac:dyDescent="0.25"/>
    <row r="9817" ht="12" customHeight="1" x14ac:dyDescent="0.25"/>
    <row r="9818" ht="12" customHeight="1" x14ac:dyDescent="0.25"/>
    <row r="9819" ht="20.25" customHeight="1" x14ac:dyDescent="0.25"/>
    <row r="9820" ht="13.5" customHeight="1" x14ac:dyDescent="0.25"/>
    <row r="9821" ht="13.5" customHeight="1" x14ac:dyDescent="0.25"/>
    <row r="9822" ht="13.5" customHeight="1" x14ac:dyDescent="0.25"/>
    <row r="9823" ht="13.5" customHeight="1" x14ac:dyDescent="0.25"/>
    <row r="9824" ht="13.5" customHeight="1" x14ac:dyDescent="0.25"/>
    <row r="9825" ht="13.5" customHeight="1" x14ac:dyDescent="0.25"/>
    <row r="9826" ht="13.5" customHeight="1" x14ac:dyDescent="0.25"/>
    <row r="9827" ht="12" customHeight="1" x14ac:dyDescent="0.25"/>
    <row r="9828" ht="12" customHeight="1" x14ac:dyDescent="0.25"/>
    <row r="9829" ht="12" customHeight="1" x14ac:dyDescent="0.25"/>
    <row r="9830" ht="12" customHeight="1" x14ac:dyDescent="0.25"/>
    <row r="9831" ht="20.25" customHeight="1" x14ac:dyDescent="0.25"/>
    <row r="9832" ht="13.5" customHeight="1" x14ac:dyDescent="0.25"/>
    <row r="9834" ht="13.5" customHeight="1" x14ac:dyDescent="0.25"/>
    <row r="9835" ht="13.5" customHeight="1" x14ac:dyDescent="0.25"/>
    <row r="9836" ht="13.5" customHeight="1" x14ac:dyDescent="0.25"/>
    <row r="9837" ht="13.5" customHeight="1" x14ac:dyDescent="0.25"/>
    <row r="9838" ht="12" customHeight="1" x14ac:dyDescent="0.25"/>
    <row r="9839" ht="12" customHeight="1" x14ac:dyDescent="0.25"/>
    <row r="9840" ht="12" customHeight="1" x14ac:dyDescent="0.25"/>
    <row r="9841" ht="12" customHeight="1" x14ac:dyDescent="0.25"/>
    <row r="9842" ht="20.25" customHeight="1" x14ac:dyDescent="0.25"/>
    <row r="9843" ht="13.5" customHeight="1" x14ac:dyDescent="0.25"/>
    <row r="9844" ht="13.5" customHeight="1" x14ac:dyDescent="0.25"/>
    <row r="9845" ht="13.5" customHeight="1" x14ac:dyDescent="0.25"/>
    <row r="9846" ht="13.5" customHeight="1" x14ac:dyDescent="0.25"/>
    <row r="9847" ht="13.5" customHeight="1" x14ac:dyDescent="0.25"/>
    <row r="9848" ht="13.5" customHeight="1" x14ac:dyDescent="0.25"/>
    <row r="9849" ht="13.5" customHeight="1" x14ac:dyDescent="0.25"/>
    <row r="9850" ht="12" customHeight="1" x14ac:dyDescent="0.25"/>
    <row r="9851" ht="12" customHeight="1" x14ac:dyDescent="0.25"/>
    <row r="9852" ht="12" customHeight="1" x14ac:dyDescent="0.25"/>
    <row r="9853" ht="12" customHeight="1" x14ac:dyDescent="0.25"/>
    <row r="9854" ht="20.25" customHeight="1" x14ac:dyDescent="0.25"/>
    <row r="9855" ht="13.5" customHeight="1" x14ac:dyDescent="0.25"/>
    <row r="9857" ht="13.5" customHeight="1" x14ac:dyDescent="0.25"/>
    <row r="9858" ht="13.5" customHeight="1" x14ac:dyDescent="0.25"/>
    <row r="9859" ht="13.5" customHeight="1" x14ac:dyDescent="0.25"/>
    <row r="9860" ht="13.5" customHeight="1" x14ac:dyDescent="0.25"/>
    <row r="9861" ht="12" customHeight="1" x14ac:dyDescent="0.25"/>
    <row r="9862" ht="12" customHeight="1" x14ac:dyDescent="0.25"/>
    <row r="9863" ht="12" customHeight="1" x14ac:dyDescent="0.25"/>
    <row r="9864" ht="12" customHeight="1" x14ac:dyDescent="0.25"/>
    <row r="9865" ht="20.25" customHeight="1" x14ac:dyDescent="0.25"/>
    <row r="9866" ht="13.5" customHeight="1" x14ac:dyDescent="0.25"/>
    <row r="9867" ht="13.5" customHeight="1" x14ac:dyDescent="0.25"/>
    <row r="9868" ht="13.5" customHeight="1" x14ac:dyDescent="0.25"/>
    <row r="9869" ht="13.5" customHeight="1" x14ac:dyDescent="0.25"/>
    <row r="9870" ht="13.5" customHeight="1" x14ac:dyDescent="0.25"/>
    <row r="9871" ht="13.5" customHeight="1" x14ac:dyDescent="0.25"/>
    <row r="9872" ht="13.5" customHeight="1" x14ac:dyDescent="0.25"/>
    <row r="9873" ht="12" customHeight="1" x14ac:dyDescent="0.25"/>
    <row r="9874" ht="12" customHeight="1" x14ac:dyDescent="0.25"/>
    <row r="9875" ht="12" customHeight="1" x14ac:dyDescent="0.25"/>
    <row r="9876" ht="12" customHeight="1" x14ac:dyDescent="0.25"/>
    <row r="9877" ht="20.25" customHeight="1" x14ac:dyDescent="0.25"/>
    <row r="9878" ht="13.5" customHeight="1" x14ac:dyDescent="0.25"/>
    <row r="9880" ht="13.5" customHeight="1" x14ac:dyDescent="0.25"/>
    <row r="9881" ht="13.5" customHeight="1" x14ac:dyDescent="0.25"/>
    <row r="9882" ht="13.5" customHeight="1" x14ac:dyDescent="0.25"/>
    <row r="9883" ht="13.5" customHeight="1" x14ac:dyDescent="0.25"/>
    <row r="9884" ht="12" customHeight="1" x14ac:dyDescent="0.25"/>
    <row r="9885" ht="12" customHeight="1" x14ac:dyDescent="0.25"/>
    <row r="9886" ht="12" customHeight="1" x14ac:dyDescent="0.25"/>
    <row r="9887" ht="12" customHeight="1" x14ac:dyDescent="0.25"/>
    <row r="9888" ht="20.25" customHeight="1" x14ac:dyDescent="0.25"/>
    <row r="9889" ht="13.5" customHeight="1" x14ac:dyDescent="0.25"/>
    <row r="9890" ht="13.5" customHeight="1" x14ac:dyDescent="0.25"/>
    <row r="9891" ht="13.5" customHeight="1" x14ac:dyDescent="0.25"/>
    <row r="9892" ht="13.5" customHeight="1" x14ac:dyDescent="0.25"/>
    <row r="9893" ht="13.5" customHeight="1" x14ac:dyDescent="0.25"/>
    <row r="9894" ht="13.5" customHeight="1" x14ac:dyDescent="0.25"/>
    <row r="9895" ht="13.5" customHeight="1" x14ac:dyDescent="0.25"/>
    <row r="9896" ht="12" customHeight="1" x14ac:dyDescent="0.25"/>
    <row r="9897" ht="12" customHeight="1" x14ac:dyDescent="0.25"/>
    <row r="9898" ht="12" customHeight="1" x14ac:dyDescent="0.25"/>
    <row r="9899" ht="12" customHeight="1" x14ac:dyDescent="0.25"/>
    <row r="9900" ht="20.25" customHeight="1" x14ac:dyDescent="0.25"/>
    <row r="9901" ht="13.5" customHeight="1" x14ac:dyDescent="0.25"/>
    <row r="9903" ht="13.5" customHeight="1" x14ac:dyDescent="0.25"/>
    <row r="9904" ht="13.5" customHeight="1" x14ac:dyDescent="0.25"/>
    <row r="9905" ht="13.5" customHeight="1" x14ac:dyDescent="0.25"/>
    <row r="9906" ht="13.5" customHeight="1" x14ac:dyDescent="0.25"/>
    <row r="9907" ht="12" customHeight="1" x14ac:dyDescent="0.25"/>
    <row r="9908" ht="12" customHeight="1" x14ac:dyDescent="0.25"/>
    <row r="9909" ht="12" customHeight="1" x14ac:dyDescent="0.25"/>
    <row r="9910" ht="12" customHeight="1" x14ac:dyDescent="0.25"/>
    <row r="9911" ht="20.25" customHeight="1" x14ac:dyDescent="0.25"/>
    <row r="9912" ht="13.5" customHeight="1" x14ac:dyDescent="0.25"/>
    <row r="9913" ht="13.5" customHeight="1" x14ac:dyDescent="0.25"/>
    <row r="9914" ht="13.5" customHeight="1" x14ac:dyDescent="0.25"/>
    <row r="9915" ht="13.5" customHeight="1" x14ac:dyDescent="0.25"/>
    <row r="9916" ht="13.5" customHeight="1" x14ac:dyDescent="0.25"/>
    <row r="9917" ht="13.5" customHeight="1" x14ac:dyDescent="0.25"/>
    <row r="9918" ht="13.5" customHeight="1" x14ac:dyDescent="0.25"/>
    <row r="9919" ht="12" customHeight="1" x14ac:dyDescent="0.25"/>
    <row r="9920" ht="12" customHeight="1" x14ac:dyDescent="0.25"/>
    <row r="9921" ht="12" customHeight="1" x14ac:dyDescent="0.25"/>
    <row r="9922" ht="12" customHeight="1" x14ac:dyDescent="0.25"/>
    <row r="9923" ht="20.25" customHeight="1" x14ac:dyDescent="0.25"/>
    <row r="9924" ht="13.5" customHeight="1" x14ac:dyDescent="0.25"/>
    <row r="9926" ht="13.5" customHeight="1" x14ac:dyDescent="0.25"/>
    <row r="9927" ht="13.5" customHeight="1" x14ac:dyDescent="0.25"/>
    <row r="9928" ht="13.5" customHeight="1" x14ac:dyDescent="0.25"/>
    <row r="9929" ht="13.5" customHeight="1" x14ac:dyDescent="0.25"/>
    <row r="9930" ht="12" customHeight="1" x14ac:dyDescent="0.25"/>
    <row r="9931" ht="12" customHeight="1" x14ac:dyDescent="0.25"/>
    <row r="9932" ht="12" customHeight="1" x14ac:dyDescent="0.25"/>
    <row r="9933" ht="12" customHeight="1" x14ac:dyDescent="0.25"/>
    <row r="9934" ht="20.25" customHeight="1" x14ac:dyDescent="0.25"/>
    <row r="9935" ht="13.5" customHeight="1" x14ac:dyDescent="0.25"/>
    <row r="9936" ht="13.5" customHeight="1" x14ac:dyDescent="0.25"/>
    <row r="9937" ht="13.5" customHeight="1" x14ac:dyDescent="0.25"/>
    <row r="9938" ht="13.5" customHeight="1" x14ac:dyDescent="0.25"/>
    <row r="9939" ht="13.5" customHeight="1" x14ac:dyDescent="0.25"/>
    <row r="9940" ht="13.5" customHeight="1" x14ac:dyDescent="0.25"/>
    <row r="9941" ht="13.5" customHeight="1" x14ac:dyDescent="0.25"/>
    <row r="9942" ht="12" customHeight="1" x14ac:dyDescent="0.25"/>
    <row r="9943" ht="12" customHeight="1" x14ac:dyDescent="0.25"/>
    <row r="9944" ht="12" customHeight="1" x14ac:dyDescent="0.25"/>
    <row r="9945" ht="12" customHeight="1" x14ac:dyDescent="0.25"/>
    <row r="9946" ht="20.25" customHeight="1" x14ac:dyDescent="0.25"/>
    <row r="9947" ht="13.5" customHeight="1" x14ac:dyDescent="0.25"/>
    <row r="9949" ht="13.5" customHeight="1" x14ac:dyDescent="0.25"/>
    <row r="9950" ht="13.5" customHeight="1" x14ac:dyDescent="0.25"/>
    <row r="9951" ht="13.5" customHeight="1" x14ac:dyDescent="0.25"/>
    <row r="9952" ht="13.5" customHeight="1" x14ac:dyDescent="0.25"/>
    <row r="9953" ht="12" customHeight="1" x14ac:dyDescent="0.25"/>
    <row r="9954" ht="12" customHeight="1" x14ac:dyDescent="0.25"/>
    <row r="9955" ht="12" customHeight="1" x14ac:dyDescent="0.25"/>
    <row r="9956" ht="12" customHeight="1" x14ac:dyDescent="0.25"/>
    <row r="9957" ht="20.25" customHeight="1" x14ac:dyDescent="0.25"/>
    <row r="9958" ht="13.5" customHeight="1" x14ac:dyDescent="0.25"/>
    <row r="9959" ht="13.5" customHeight="1" x14ac:dyDescent="0.25"/>
    <row r="9960" ht="13.5" customHeight="1" x14ac:dyDescent="0.25"/>
    <row r="9961" ht="13.5" customHeight="1" x14ac:dyDescent="0.25"/>
    <row r="9962" ht="13.5" customHeight="1" x14ac:dyDescent="0.25"/>
    <row r="9963" ht="13.5" customHeight="1" x14ac:dyDescent="0.25"/>
    <row r="9964" ht="13.5" customHeight="1" x14ac:dyDescent="0.25"/>
    <row r="9965" ht="12" customHeight="1" x14ac:dyDescent="0.25"/>
    <row r="9966" ht="12" customHeight="1" x14ac:dyDescent="0.25"/>
    <row r="9967" ht="12" customHeight="1" x14ac:dyDescent="0.25"/>
    <row r="9968" ht="12" customHeight="1" x14ac:dyDescent="0.25"/>
    <row r="9969" ht="20.25" customHeight="1" x14ac:dyDescent="0.25"/>
    <row r="9970" ht="13.5" customHeight="1" x14ac:dyDescent="0.25"/>
    <row r="9972" ht="13.5" customHeight="1" x14ac:dyDescent="0.25"/>
    <row r="9973" ht="13.5" customHeight="1" x14ac:dyDescent="0.25"/>
    <row r="9974" ht="13.5" customHeight="1" x14ac:dyDescent="0.25"/>
    <row r="9975" ht="13.5" customHeight="1" x14ac:dyDescent="0.25"/>
    <row r="9976" ht="12" customHeight="1" x14ac:dyDescent="0.25"/>
    <row r="9977" ht="12" customHeight="1" x14ac:dyDescent="0.25"/>
    <row r="9978" ht="12" customHeight="1" x14ac:dyDescent="0.25"/>
    <row r="9979" ht="12" customHeight="1" x14ac:dyDescent="0.25"/>
    <row r="9980" ht="20.25" customHeight="1" x14ac:dyDescent="0.25"/>
    <row r="9981" ht="13.5" customHeight="1" x14ac:dyDescent="0.25"/>
    <row r="9982" ht="13.5" customHeight="1" x14ac:dyDescent="0.25"/>
    <row r="9983" ht="13.5" customHeight="1" x14ac:dyDescent="0.25"/>
    <row r="9984" ht="13.5" customHeight="1" x14ac:dyDescent="0.25"/>
    <row r="9985" ht="13.5" customHeight="1" x14ac:dyDescent="0.25"/>
    <row r="9986" ht="13.5" customHeight="1" x14ac:dyDescent="0.25"/>
    <row r="9987" ht="13.5" customHeight="1" x14ac:dyDescent="0.25"/>
    <row r="9988" ht="12" customHeight="1" x14ac:dyDescent="0.25"/>
    <row r="9989" ht="12" customHeight="1" x14ac:dyDescent="0.25"/>
    <row r="9990" ht="12" customHeight="1" x14ac:dyDescent="0.25"/>
    <row r="9991" ht="12" customHeight="1" x14ac:dyDescent="0.25"/>
    <row r="9992" ht="20.25" customHeight="1" x14ac:dyDescent="0.25"/>
    <row r="9993" ht="13.5" customHeight="1" x14ac:dyDescent="0.25"/>
    <row r="9995" ht="13.5" customHeight="1" x14ac:dyDescent="0.25"/>
    <row r="9996" ht="13.5" customHeight="1" x14ac:dyDescent="0.25"/>
    <row r="9997" ht="13.5" customHeight="1" x14ac:dyDescent="0.25"/>
    <row r="9998" ht="13.5" customHeight="1" x14ac:dyDescent="0.25"/>
    <row r="9999" ht="12" customHeight="1" x14ac:dyDescent="0.25"/>
    <row r="10000" ht="12" customHeight="1" x14ac:dyDescent="0.25"/>
    <row r="10001" ht="12" customHeight="1" x14ac:dyDescent="0.25"/>
    <row r="10002" ht="12" customHeight="1" x14ac:dyDescent="0.25"/>
    <row r="10003" ht="20.25" customHeight="1" x14ac:dyDescent="0.25"/>
    <row r="10004" ht="13.5" customHeight="1" x14ac:dyDescent="0.25"/>
    <row r="10005" ht="13.5" customHeight="1" x14ac:dyDescent="0.25"/>
    <row r="10006" ht="13.5" customHeight="1" x14ac:dyDescent="0.25"/>
    <row r="10007" ht="13.5" customHeight="1" x14ac:dyDescent="0.25"/>
    <row r="10008" ht="13.5" customHeight="1" x14ac:dyDescent="0.25"/>
    <row r="10009" ht="13.5" customHeight="1" x14ac:dyDescent="0.25"/>
    <row r="10010" ht="13.5" customHeight="1" x14ac:dyDescent="0.25"/>
    <row r="10011" ht="12" customHeight="1" x14ac:dyDescent="0.25"/>
    <row r="10012" ht="12" customHeight="1" x14ac:dyDescent="0.25"/>
    <row r="10013" ht="12" customHeight="1" x14ac:dyDescent="0.25"/>
    <row r="10014" ht="12" customHeight="1" x14ac:dyDescent="0.25"/>
    <row r="10015" ht="20.25" customHeight="1" x14ac:dyDescent="0.25"/>
    <row r="10016" ht="13.5" customHeight="1" x14ac:dyDescent="0.25"/>
    <row r="10018" ht="13.5" customHeight="1" x14ac:dyDescent="0.25"/>
    <row r="10019" ht="13.5" customHeight="1" x14ac:dyDescent="0.25"/>
    <row r="10020" ht="13.5" customHeight="1" x14ac:dyDescent="0.25"/>
    <row r="10021" ht="13.5" customHeight="1" x14ac:dyDescent="0.25"/>
    <row r="10022" ht="12" customHeight="1" x14ac:dyDescent="0.25"/>
    <row r="10023" ht="12" customHeight="1" x14ac:dyDescent="0.25"/>
    <row r="10024" ht="12" customHeight="1" x14ac:dyDescent="0.25"/>
    <row r="10025" ht="12" customHeight="1" x14ac:dyDescent="0.25"/>
    <row r="10026" ht="20.25" customHeight="1" x14ac:dyDescent="0.25"/>
    <row r="10027" ht="13.5" customHeight="1" x14ac:dyDescent="0.25"/>
    <row r="10028" ht="13.5" customHeight="1" x14ac:dyDescent="0.25"/>
    <row r="10029" ht="13.5" customHeight="1" x14ac:dyDescent="0.25"/>
    <row r="10030" ht="13.5" customHeight="1" x14ac:dyDescent="0.25"/>
    <row r="10031" ht="13.5" customHeight="1" x14ac:dyDescent="0.25"/>
    <row r="10032" ht="13.5" customHeight="1" x14ac:dyDescent="0.25"/>
    <row r="10033" ht="13.5" customHeight="1" x14ac:dyDescent="0.25"/>
    <row r="10034" ht="12" customHeight="1" x14ac:dyDescent="0.25"/>
    <row r="10035" ht="12" customHeight="1" x14ac:dyDescent="0.25"/>
    <row r="10036" ht="12" customHeight="1" x14ac:dyDescent="0.25"/>
    <row r="10037" ht="12" customHeight="1" x14ac:dyDescent="0.25"/>
    <row r="10038" ht="20.25" customHeight="1" x14ac:dyDescent="0.25"/>
    <row r="10039" ht="13.5" customHeight="1" x14ac:dyDescent="0.25"/>
    <row r="10041" ht="13.5" customHeight="1" x14ac:dyDescent="0.25"/>
    <row r="10042" ht="13.5" customHeight="1" x14ac:dyDescent="0.25"/>
    <row r="10043" ht="13.5" customHeight="1" x14ac:dyDescent="0.25"/>
    <row r="10044" ht="13.5" customHeight="1" x14ac:dyDescent="0.25"/>
    <row r="10045" ht="12" customHeight="1" x14ac:dyDescent="0.25"/>
    <row r="10046" ht="12" customHeight="1" x14ac:dyDescent="0.25"/>
    <row r="10047" ht="12" customHeight="1" x14ac:dyDescent="0.25"/>
    <row r="10048" ht="12" customHeight="1" x14ac:dyDescent="0.25"/>
    <row r="10049" ht="20.25" customHeight="1" x14ac:dyDescent="0.25"/>
    <row r="10050" ht="13.5" customHeight="1" x14ac:dyDescent="0.25"/>
    <row r="10051" ht="13.5" customHeight="1" x14ac:dyDescent="0.25"/>
    <row r="10052" ht="13.5" customHeight="1" x14ac:dyDescent="0.25"/>
    <row r="10053" ht="13.5" customHeight="1" x14ac:dyDescent="0.25"/>
    <row r="10054" ht="13.5" customHeight="1" x14ac:dyDescent="0.25"/>
    <row r="10055" ht="13.5" customHeight="1" x14ac:dyDescent="0.25"/>
    <row r="10056" ht="13.5" customHeight="1" x14ac:dyDescent="0.25"/>
    <row r="10057" ht="12" customHeight="1" x14ac:dyDescent="0.25"/>
    <row r="10058" ht="12" customHeight="1" x14ac:dyDescent="0.25"/>
    <row r="10059" ht="12" customHeight="1" x14ac:dyDescent="0.25"/>
    <row r="10060" ht="12" customHeight="1" x14ac:dyDescent="0.25"/>
    <row r="10061" ht="20.25" customHeight="1" x14ac:dyDescent="0.25"/>
    <row r="10062" ht="13.5" customHeight="1" x14ac:dyDescent="0.25"/>
    <row r="10064" ht="13.5" customHeight="1" x14ac:dyDescent="0.25"/>
    <row r="10065" ht="13.5" customHeight="1" x14ac:dyDescent="0.25"/>
    <row r="10066" ht="13.5" customHeight="1" x14ac:dyDescent="0.25"/>
    <row r="10067" ht="13.5" customHeight="1" x14ac:dyDescent="0.25"/>
    <row r="10068" ht="12" customHeight="1" x14ac:dyDescent="0.25"/>
    <row r="10069" ht="12" customHeight="1" x14ac:dyDescent="0.25"/>
    <row r="10070" ht="12" customHeight="1" x14ac:dyDescent="0.25"/>
    <row r="10071" ht="12" customHeight="1" x14ac:dyDescent="0.25"/>
    <row r="10072" ht="20.25" customHeight="1" x14ac:dyDescent="0.25"/>
    <row r="10073" ht="13.5" customHeight="1" x14ac:dyDescent="0.25"/>
    <row r="10074" ht="13.5" customHeight="1" x14ac:dyDescent="0.25"/>
    <row r="10075" ht="13.5" customHeight="1" x14ac:dyDescent="0.25"/>
    <row r="10076" ht="13.5" customHeight="1" x14ac:dyDescent="0.25"/>
    <row r="10077" ht="13.5" customHeight="1" x14ac:dyDescent="0.25"/>
    <row r="10078" ht="13.5" customHeight="1" x14ac:dyDescent="0.25"/>
    <row r="10079" ht="13.5" customHeight="1" x14ac:dyDescent="0.25"/>
    <row r="10080" ht="12" customHeight="1" x14ac:dyDescent="0.25"/>
    <row r="10081" ht="12" customHeight="1" x14ac:dyDescent="0.25"/>
    <row r="10082" ht="12" customHeight="1" x14ac:dyDescent="0.25"/>
    <row r="10083" ht="12" customHeight="1" x14ac:dyDescent="0.25"/>
    <row r="10084" ht="20.25" customHeight="1" x14ac:dyDescent="0.25"/>
    <row r="10085" ht="13.5" customHeight="1" x14ac:dyDescent="0.25"/>
    <row r="10087" ht="13.5" customHeight="1" x14ac:dyDescent="0.25"/>
    <row r="10088" ht="13.5" customHeight="1" x14ac:dyDescent="0.25"/>
    <row r="10089" ht="13.5" customHeight="1" x14ac:dyDescent="0.25"/>
    <row r="10090" ht="13.5" customHeight="1" x14ac:dyDescent="0.25"/>
    <row r="10091" ht="12" customHeight="1" x14ac:dyDescent="0.25"/>
    <row r="10092" ht="12" customHeight="1" x14ac:dyDescent="0.25"/>
    <row r="10093" ht="12" customHeight="1" x14ac:dyDescent="0.25"/>
    <row r="10094" ht="12" customHeight="1" x14ac:dyDescent="0.25"/>
    <row r="10095" ht="20.25" customHeight="1" x14ac:dyDescent="0.25"/>
    <row r="10096" ht="13.5" customHeight="1" x14ac:dyDescent="0.25"/>
    <row r="10097" ht="13.5" customHeight="1" x14ac:dyDescent="0.25"/>
    <row r="10098" ht="13.5" customHeight="1" x14ac:dyDescent="0.25"/>
    <row r="10099" ht="13.5" customHeight="1" x14ac:dyDescent="0.25"/>
    <row r="10100" ht="13.5" customHeight="1" x14ac:dyDescent="0.25"/>
    <row r="10101" ht="13.5" customHeight="1" x14ac:dyDescent="0.25"/>
    <row r="10102" ht="13.5" customHeight="1" x14ac:dyDescent="0.25"/>
    <row r="10103" ht="12" customHeight="1" x14ac:dyDescent="0.25"/>
    <row r="10104" ht="12" customHeight="1" x14ac:dyDescent="0.25"/>
    <row r="10105" ht="12" customHeight="1" x14ac:dyDescent="0.25"/>
    <row r="10106" ht="12" customHeight="1" x14ac:dyDescent="0.25"/>
    <row r="10107" ht="20.25" customHeight="1" x14ac:dyDescent="0.25"/>
    <row r="10108" ht="13.5" customHeight="1" x14ac:dyDescent="0.25"/>
    <row r="10110" ht="13.5" customHeight="1" x14ac:dyDescent="0.25"/>
    <row r="10111" ht="13.5" customHeight="1" x14ac:dyDescent="0.25"/>
    <row r="10112" ht="13.5" customHeight="1" x14ac:dyDescent="0.25"/>
    <row r="10113" ht="13.5" customHeight="1" x14ac:dyDescent="0.25"/>
    <row r="10114" ht="12" customHeight="1" x14ac:dyDescent="0.25"/>
    <row r="10115" ht="12" customHeight="1" x14ac:dyDescent="0.25"/>
    <row r="10116" ht="12" customHeight="1" x14ac:dyDescent="0.25"/>
    <row r="10117" ht="12" customHeight="1" x14ac:dyDescent="0.25"/>
    <row r="10118" ht="20.25" customHeight="1" x14ac:dyDescent="0.25"/>
    <row r="10119" ht="13.5" customHeight="1" x14ac:dyDescent="0.25"/>
    <row r="10120" ht="13.5" customHeight="1" x14ac:dyDescent="0.25"/>
    <row r="10121" ht="13.5" customHeight="1" x14ac:dyDescent="0.25"/>
    <row r="10122" ht="13.5" customHeight="1" x14ac:dyDescent="0.25"/>
    <row r="10123" ht="13.5" customHeight="1" x14ac:dyDescent="0.25"/>
    <row r="10124" ht="13.5" customHeight="1" x14ac:dyDescent="0.25"/>
    <row r="10125" ht="13.5" customHeight="1" x14ac:dyDescent="0.25"/>
    <row r="10126" ht="12" customHeight="1" x14ac:dyDescent="0.25"/>
    <row r="10127" ht="12" customHeight="1" x14ac:dyDescent="0.25"/>
    <row r="10128" ht="12" customHeight="1" x14ac:dyDescent="0.25"/>
    <row r="10129" ht="12" customHeight="1" x14ac:dyDescent="0.25"/>
    <row r="10130" ht="20.25" customHeight="1" x14ac:dyDescent="0.25"/>
    <row r="10131" ht="13.5" customHeight="1" x14ac:dyDescent="0.25"/>
    <row r="10133" ht="13.5" customHeight="1" x14ac:dyDescent="0.25"/>
    <row r="10134" ht="13.5" customHeight="1" x14ac:dyDescent="0.25"/>
    <row r="10135" ht="13.5" customHeight="1" x14ac:dyDescent="0.25"/>
    <row r="10136" ht="13.5" customHeight="1" x14ac:dyDescent="0.25"/>
    <row r="10137" ht="12" customHeight="1" x14ac:dyDescent="0.25"/>
    <row r="10138" ht="12" customHeight="1" x14ac:dyDescent="0.25"/>
    <row r="10139" ht="12" customHeight="1" x14ac:dyDescent="0.25"/>
    <row r="10140" ht="12" customHeight="1" x14ac:dyDescent="0.25"/>
    <row r="10141" ht="20.25" customHeight="1" x14ac:dyDescent="0.25"/>
    <row r="10142" ht="13.5" customHeight="1" x14ac:dyDescent="0.25"/>
    <row r="10143" ht="13.5" customHeight="1" x14ac:dyDescent="0.25"/>
    <row r="10144" ht="13.5" customHeight="1" x14ac:dyDescent="0.25"/>
    <row r="10145" ht="13.5" customHeight="1" x14ac:dyDescent="0.25"/>
    <row r="10146" ht="13.5" customHeight="1" x14ac:dyDescent="0.25"/>
    <row r="10147" ht="13.5" customHeight="1" x14ac:dyDescent="0.25"/>
    <row r="10148" ht="13.5" customHeight="1" x14ac:dyDescent="0.25"/>
    <row r="10149" ht="12" customHeight="1" x14ac:dyDescent="0.25"/>
    <row r="10150" ht="12" customHeight="1" x14ac:dyDescent="0.25"/>
    <row r="10151" ht="12" customHeight="1" x14ac:dyDescent="0.25"/>
    <row r="10152" ht="12" customHeight="1" x14ac:dyDescent="0.25"/>
    <row r="10153" ht="20.25" customHeight="1" x14ac:dyDescent="0.25"/>
    <row r="10154" ht="13.5" customHeight="1" x14ac:dyDescent="0.25"/>
    <row r="10156" ht="13.5" customHeight="1" x14ac:dyDescent="0.25"/>
    <row r="10157" ht="13.5" customHeight="1" x14ac:dyDescent="0.25"/>
    <row r="10158" ht="13.5" customHeight="1" x14ac:dyDescent="0.25"/>
    <row r="10159" ht="13.5" customHeight="1" x14ac:dyDescent="0.25"/>
    <row r="10160" ht="12" customHeight="1" x14ac:dyDescent="0.25"/>
    <row r="10161" ht="12" customHeight="1" x14ac:dyDescent="0.25"/>
    <row r="10162" ht="12" customHeight="1" x14ac:dyDescent="0.25"/>
    <row r="10163" ht="12" customHeight="1" x14ac:dyDescent="0.25"/>
    <row r="10164" ht="20.25" customHeight="1" x14ac:dyDescent="0.25"/>
    <row r="10165" ht="13.5" customHeight="1" x14ac:dyDescent="0.25"/>
    <row r="10166" ht="13.5" customHeight="1" x14ac:dyDescent="0.25"/>
    <row r="10167" ht="13.5" customHeight="1" x14ac:dyDescent="0.25"/>
    <row r="10168" ht="13.5" customHeight="1" x14ac:dyDescent="0.25"/>
    <row r="10169" ht="13.5" customHeight="1" x14ac:dyDescent="0.25"/>
    <row r="10170" ht="13.5" customHeight="1" x14ac:dyDescent="0.25"/>
    <row r="10171" ht="13.5" customHeight="1" x14ac:dyDescent="0.25"/>
    <row r="10172" ht="12" customHeight="1" x14ac:dyDescent="0.25"/>
    <row r="10173" ht="12" customHeight="1" x14ac:dyDescent="0.25"/>
    <row r="10174" ht="12" customHeight="1" x14ac:dyDescent="0.25"/>
    <row r="10175" ht="12" customHeight="1" x14ac:dyDescent="0.25"/>
    <row r="10176" ht="20.25" customHeight="1" x14ac:dyDescent="0.25"/>
    <row r="10177" ht="13.5" customHeight="1" x14ac:dyDescent="0.25"/>
    <row r="10179" ht="13.5" customHeight="1" x14ac:dyDescent="0.25"/>
    <row r="10180" ht="13.5" customHeight="1" x14ac:dyDescent="0.25"/>
    <row r="10181" ht="13.5" customHeight="1" x14ac:dyDescent="0.25"/>
    <row r="10182" ht="13.5" customHeight="1" x14ac:dyDescent="0.25"/>
    <row r="10183" ht="12" customHeight="1" x14ac:dyDescent="0.25"/>
    <row r="10184" ht="12" customHeight="1" x14ac:dyDescent="0.25"/>
    <row r="10185" ht="12" customHeight="1" x14ac:dyDescent="0.25"/>
    <row r="10186" ht="12" customHeight="1" x14ac:dyDescent="0.25"/>
    <row r="10187" ht="20.25" customHeight="1" x14ac:dyDescent="0.25"/>
    <row r="10188" ht="13.5" customHeight="1" x14ac:dyDescent="0.25"/>
    <row r="10189" ht="13.5" customHeight="1" x14ac:dyDescent="0.25"/>
    <row r="10190" ht="13.5" customHeight="1" x14ac:dyDescent="0.25"/>
    <row r="10191" ht="13.5" customHeight="1" x14ac:dyDescent="0.25"/>
    <row r="10192" ht="13.5" customHeight="1" x14ac:dyDescent="0.25"/>
    <row r="10193" ht="13.5" customHeight="1" x14ac:dyDescent="0.25"/>
    <row r="10194" ht="13.5" customHeight="1" x14ac:dyDescent="0.25"/>
    <row r="10195" ht="12" customHeight="1" x14ac:dyDescent="0.25"/>
    <row r="10196" ht="12" customHeight="1" x14ac:dyDescent="0.25"/>
    <row r="10197" ht="12" customHeight="1" x14ac:dyDescent="0.25"/>
    <row r="10198" ht="12" customHeight="1" x14ac:dyDescent="0.25"/>
    <row r="10199" ht="20.25" customHeight="1" x14ac:dyDescent="0.25"/>
    <row r="10200" ht="13.5" customHeight="1" x14ac:dyDescent="0.25"/>
    <row r="10202" ht="13.5" customHeight="1" x14ac:dyDescent="0.25"/>
    <row r="10203" ht="13.5" customHeight="1" x14ac:dyDescent="0.25"/>
    <row r="10204" ht="13.5" customHeight="1" x14ac:dyDescent="0.25"/>
    <row r="10205" ht="13.5" customHeight="1" x14ac:dyDescent="0.25"/>
    <row r="10206" ht="12" customHeight="1" x14ac:dyDescent="0.25"/>
    <row r="10207" ht="12" customHeight="1" x14ac:dyDescent="0.25"/>
    <row r="10208" ht="12" customHeight="1" x14ac:dyDescent="0.25"/>
    <row r="10209" ht="12" customHeight="1" x14ac:dyDescent="0.25"/>
    <row r="10210" ht="20.25" customHeight="1" x14ac:dyDescent="0.25"/>
    <row r="10211" ht="13.5" customHeight="1" x14ac:dyDescent="0.25"/>
    <row r="10212" ht="13.5" customHeight="1" x14ac:dyDescent="0.25"/>
    <row r="10213" ht="13.5" customHeight="1" x14ac:dyDescent="0.25"/>
    <row r="10214" ht="13.5" customHeight="1" x14ac:dyDescent="0.25"/>
    <row r="10215" ht="13.5" customHeight="1" x14ac:dyDescent="0.25"/>
    <row r="10216" ht="13.5" customHeight="1" x14ac:dyDescent="0.25"/>
    <row r="10217" ht="13.5" customHeight="1" x14ac:dyDescent="0.25"/>
    <row r="10218" ht="12" customHeight="1" x14ac:dyDescent="0.25"/>
    <row r="10219" ht="12" customHeight="1" x14ac:dyDescent="0.25"/>
    <row r="10220" ht="12" customHeight="1" x14ac:dyDescent="0.25"/>
    <row r="10221" ht="12" customHeight="1" x14ac:dyDescent="0.25"/>
    <row r="10222" ht="20.25" customHeight="1" x14ac:dyDescent="0.25"/>
    <row r="10223" ht="13.5" customHeight="1" x14ac:dyDescent="0.25"/>
    <row r="10225" ht="13.5" customHeight="1" x14ac:dyDescent="0.25"/>
    <row r="10226" ht="13.5" customHeight="1" x14ac:dyDescent="0.25"/>
    <row r="10227" ht="13.5" customHeight="1" x14ac:dyDescent="0.25"/>
    <row r="10228" ht="13.5" customHeight="1" x14ac:dyDescent="0.25"/>
    <row r="10229" ht="12" customHeight="1" x14ac:dyDescent="0.25"/>
    <row r="10230" ht="12" customHeight="1" x14ac:dyDescent="0.25"/>
    <row r="10231" ht="12" customHeight="1" x14ac:dyDescent="0.25"/>
    <row r="10232" ht="12" customHeight="1" x14ac:dyDescent="0.25"/>
    <row r="10233" ht="20.25" customHeight="1" x14ac:dyDescent="0.25"/>
    <row r="10234" ht="13.5" customHeight="1" x14ac:dyDescent="0.25"/>
    <row r="10235" ht="13.5" customHeight="1" x14ac:dyDescent="0.25"/>
    <row r="10236" ht="13.5" customHeight="1" x14ac:dyDescent="0.25"/>
    <row r="10237" ht="13.5" customHeight="1" x14ac:dyDescent="0.25"/>
    <row r="10238" ht="13.5" customHeight="1" x14ac:dyDescent="0.25"/>
    <row r="10239" ht="13.5" customHeight="1" x14ac:dyDescent="0.25"/>
    <row r="10240" ht="13.5" customHeight="1" x14ac:dyDescent="0.25"/>
    <row r="10241" ht="12" customHeight="1" x14ac:dyDescent="0.25"/>
    <row r="10242" ht="12" customHeight="1" x14ac:dyDescent="0.25"/>
    <row r="10243" ht="12" customHeight="1" x14ac:dyDescent="0.25"/>
    <row r="10244" ht="12" customHeight="1" x14ac:dyDescent="0.25"/>
    <row r="10245" ht="20.25" customHeight="1" x14ac:dyDescent="0.25"/>
    <row r="10246" ht="13.5" customHeight="1" x14ac:dyDescent="0.25"/>
    <row r="10248" ht="13.5" customHeight="1" x14ac:dyDescent="0.25"/>
    <row r="10249" ht="13.5" customHeight="1" x14ac:dyDescent="0.25"/>
    <row r="10250" ht="13.5" customHeight="1" x14ac:dyDescent="0.25"/>
    <row r="10251" ht="13.5" customHeight="1" x14ac:dyDescent="0.25"/>
    <row r="10252" ht="12" customHeight="1" x14ac:dyDescent="0.25"/>
    <row r="10253" ht="12" customHeight="1" x14ac:dyDescent="0.25"/>
    <row r="10254" ht="12" customHeight="1" x14ac:dyDescent="0.25"/>
    <row r="10255" ht="12" customHeight="1" x14ac:dyDescent="0.25"/>
    <row r="10256" ht="20.25" customHeight="1" x14ac:dyDescent="0.25"/>
    <row r="10257" ht="13.5" customHeight="1" x14ac:dyDescent="0.25"/>
    <row r="10258" ht="13.5" customHeight="1" x14ac:dyDescent="0.25"/>
    <row r="10259" ht="13.5" customHeight="1" x14ac:dyDescent="0.25"/>
    <row r="10260" ht="13.5" customHeight="1" x14ac:dyDescent="0.25"/>
    <row r="10261" ht="13.5" customHeight="1" x14ac:dyDescent="0.25"/>
    <row r="10262" ht="13.5" customHeight="1" x14ac:dyDescent="0.25"/>
    <row r="10263" ht="13.5" customHeight="1" x14ac:dyDescent="0.25"/>
    <row r="10264" ht="12" customHeight="1" x14ac:dyDescent="0.25"/>
    <row r="10265" ht="12" customHeight="1" x14ac:dyDescent="0.25"/>
    <row r="10266" ht="12" customHeight="1" x14ac:dyDescent="0.25"/>
    <row r="10267" ht="12" customHeight="1" x14ac:dyDescent="0.25"/>
    <row r="10268" ht="20.25" customHeight="1" x14ac:dyDescent="0.25"/>
    <row r="10269" ht="13.5" customHeight="1" x14ac:dyDescent="0.25"/>
    <row r="10271" ht="13.5" customHeight="1" x14ac:dyDescent="0.25"/>
    <row r="10272" ht="13.5" customHeight="1" x14ac:dyDescent="0.25"/>
    <row r="10273" ht="13.5" customHeight="1" x14ac:dyDescent="0.25"/>
    <row r="10274" ht="13.5" customHeight="1" x14ac:dyDescent="0.25"/>
    <row r="10275" ht="12" customHeight="1" x14ac:dyDescent="0.25"/>
    <row r="10276" ht="12" customHeight="1" x14ac:dyDescent="0.25"/>
    <row r="10277" ht="12" customHeight="1" x14ac:dyDescent="0.25"/>
    <row r="10278" ht="12" customHeight="1" x14ac:dyDescent="0.25"/>
    <row r="10279" ht="20.25" customHeight="1" x14ac:dyDescent="0.25"/>
    <row r="10280" ht="13.5" customHeight="1" x14ac:dyDescent="0.25"/>
    <row r="10281" ht="13.5" customHeight="1" x14ac:dyDescent="0.25"/>
    <row r="10282" ht="13.5" customHeight="1" x14ac:dyDescent="0.25"/>
    <row r="10283" ht="13.5" customHeight="1" x14ac:dyDescent="0.25"/>
    <row r="10284" ht="13.5" customHeight="1" x14ac:dyDescent="0.25"/>
    <row r="10285" ht="13.5" customHeight="1" x14ac:dyDescent="0.25"/>
    <row r="10286" ht="13.5" customHeight="1" x14ac:dyDescent="0.25"/>
    <row r="10287" ht="12" customHeight="1" x14ac:dyDescent="0.25"/>
    <row r="10288" ht="12" customHeight="1" x14ac:dyDescent="0.25"/>
    <row r="10289" ht="12" customHeight="1" x14ac:dyDescent="0.25"/>
    <row r="10290" ht="12" customHeight="1" x14ac:dyDescent="0.25"/>
    <row r="10291" ht="20.25" customHeight="1" x14ac:dyDescent="0.25"/>
    <row r="10292" ht="13.5" customHeight="1" x14ac:dyDescent="0.25"/>
    <row r="10294" ht="13.5" customHeight="1" x14ac:dyDescent="0.25"/>
    <row r="10295" ht="13.5" customHeight="1" x14ac:dyDescent="0.25"/>
    <row r="10296" ht="13.5" customHeight="1" x14ac:dyDescent="0.25"/>
    <row r="10297" ht="13.5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20.25" customHeight="1" x14ac:dyDescent="0.25"/>
    <row r="10303" ht="13.5" customHeight="1" x14ac:dyDescent="0.25"/>
    <row r="10304" ht="13.5" customHeight="1" x14ac:dyDescent="0.25"/>
    <row r="10305" ht="13.5" customHeight="1" x14ac:dyDescent="0.25"/>
    <row r="10306" ht="13.5" customHeight="1" x14ac:dyDescent="0.25"/>
    <row r="10307" ht="13.5" customHeight="1" x14ac:dyDescent="0.25"/>
    <row r="10308" ht="13.5" customHeight="1" x14ac:dyDescent="0.25"/>
    <row r="10309" ht="13.5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20.25" customHeight="1" x14ac:dyDescent="0.25"/>
    <row r="10315" ht="13.5" customHeight="1" x14ac:dyDescent="0.25"/>
    <row r="10317" ht="13.5" customHeight="1" x14ac:dyDescent="0.25"/>
    <row r="10318" ht="13.5" customHeight="1" x14ac:dyDescent="0.25"/>
    <row r="10319" ht="13.5" customHeight="1" x14ac:dyDescent="0.25"/>
    <row r="10320" ht="13.5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20.25" customHeight="1" x14ac:dyDescent="0.25"/>
    <row r="10326" ht="13.5" customHeight="1" x14ac:dyDescent="0.25"/>
    <row r="10327" ht="13.5" customHeight="1" x14ac:dyDescent="0.25"/>
    <row r="10328" ht="13.5" customHeight="1" x14ac:dyDescent="0.25"/>
    <row r="10329" ht="13.5" customHeight="1" x14ac:dyDescent="0.25"/>
    <row r="10330" ht="13.5" customHeight="1" x14ac:dyDescent="0.25"/>
    <row r="10331" ht="13.5" customHeight="1" x14ac:dyDescent="0.25"/>
    <row r="10332" ht="13.5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20.25" customHeight="1" x14ac:dyDescent="0.25"/>
    <row r="10338" ht="13.5" customHeight="1" x14ac:dyDescent="0.25"/>
    <row r="10340" ht="13.5" customHeight="1" x14ac:dyDescent="0.25"/>
    <row r="10341" ht="13.5" customHeight="1" x14ac:dyDescent="0.25"/>
    <row r="10342" ht="13.5" customHeight="1" x14ac:dyDescent="0.25"/>
    <row r="10343" ht="13.5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20.25" customHeight="1" x14ac:dyDescent="0.25"/>
    <row r="10349" ht="13.5" customHeight="1" x14ac:dyDescent="0.25"/>
    <row r="10350" ht="13.5" customHeight="1" x14ac:dyDescent="0.25"/>
    <row r="10351" ht="13.5" customHeight="1" x14ac:dyDescent="0.25"/>
    <row r="10352" ht="13.5" customHeight="1" x14ac:dyDescent="0.25"/>
    <row r="10353" ht="13.5" customHeight="1" x14ac:dyDescent="0.25"/>
    <row r="10354" ht="13.5" customHeight="1" x14ac:dyDescent="0.25"/>
    <row r="10355" ht="13.5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20.25" customHeight="1" x14ac:dyDescent="0.25"/>
    <row r="10361" ht="13.5" customHeight="1" x14ac:dyDescent="0.25"/>
    <row r="10363" ht="13.5" customHeight="1" x14ac:dyDescent="0.25"/>
    <row r="10364" ht="13.5" customHeight="1" x14ac:dyDescent="0.25"/>
    <row r="10365" ht="13.5" customHeight="1" x14ac:dyDescent="0.25"/>
    <row r="10366" ht="13.5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20.25" customHeight="1" x14ac:dyDescent="0.25"/>
    <row r="10372" ht="13.5" customHeight="1" x14ac:dyDescent="0.25"/>
    <row r="10373" ht="13.5" customHeight="1" x14ac:dyDescent="0.25"/>
    <row r="10374" ht="13.5" customHeight="1" x14ac:dyDescent="0.25"/>
    <row r="10375" ht="13.5" customHeight="1" x14ac:dyDescent="0.25"/>
    <row r="10376" ht="13.5" customHeight="1" x14ac:dyDescent="0.25"/>
    <row r="10377" ht="13.5" customHeight="1" x14ac:dyDescent="0.25"/>
    <row r="10378" ht="13.5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20.25" customHeight="1" x14ac:dyDescent="0.25"/>
    <row r="10384" ht="13.5" customHeight="1" x14ac:dyDescent="0.25"/>
    <row r="10386" ht="13.5" customHeight="1" x14ac:dyDescent="0.25"/>
    <row r="10387" ht="13.5" customHeight="1" x14ac:dyDescent="0.25"/>
    <row r="10388" ht="13.5" customHeight="1" x14ac:dyDescent="0.25"/>
    <row r="10389" ht="13.5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20.25" customHeight="1" x14ac:dyDescent="0.25"/>
    <row r="10395" ht="13.5" customHeight="1" x14ac:dyDescent="0.25"/>
    <row r="10396" ht="13.5" customHeight="1" x14ac:dyDescent="0.25"/>
    <row r="10397" ht="13.5" customHeight="1" x14ac:dyDescent="0.25"/>
    <row r="10398" ht="13.5" customHeight="1" x14ac:dyDescent="0.25"/>
    <row r="10399" ht="13.5" customHeight="1" x14ac:dyDescent="0.25"/>
    <row r="10400" ht="13.5" customHeight="1" x14ac:dyDescent="0.25"/>
    <row r="10401" ht="13.5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20.25" customHeight="1" x14ac:dyDescent="0.25"/>
    <row r="10407" ht="13.5" customHeight="1" x14ac:dyDescent="0.25"/>
    <row r="10409" ht="13.5" customHeight="1" x14ac:dyDescent="0.25"/>
    <row r="10410" ht="13.5" customHeight="1" x14ac:dyDescent="0.25"/>
    <row r="10411" ht="13.5" customHeight="1" x14ac:dyDescent="0.25"/>
    <row r="10412" ht="13.5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20.25" customHeight="1" x14ac:dyDescent="0.25"/>
    <row r="10418" ht="13.5" customHeight="1" x14ac:dyDescent="0.25"/>
    <row r="10419" ht="13.5" customHeight="1" x14ac:dyDescent="0.25"/>
    <row r="10420" ht="13.5" customHeight="1" x14ac:dyDescent="0.25"/>
    <row r="10421" ht="13.5" customHeight="1" x14ac:dyDescent="0.25"/>
    <row r="10422" ht="13.5" customHeight="1" x14ac:dyDescent="0.25"/>
    <row r="10423" ht="13.5" customHeight="1" x14ac:dyDescent="0.25"/>
    <row r="10424" ht="13.5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20.25" customHeight="1" x14ac:dyDescent="0.25"/>
    <row r="10430" ht="13.5" customHeight="1" x14ac:dyDescent="0.25"/>
    <row r="10432" ht="13.5" customHeight="1" x14ac:dyDescent="0.25"/>
    <row r="10433" ht="13.5" customHeight="1" x14ac:dyDescent="0.25"/>
    <row r="10434" ht="13.5" customHeight="1" x14ac:dyDescent="0.25"/>
    <row r="10435" ht="13.5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20.25" customHeight="1" x14ac:dyDescent="0.25"/>
    <row r="10441" ht="13.5" customHeight="1" x14ac:dyDescent="0.25"/>
    <row r="10442" ht="13.5" customHeight="1" x14ac:dyDescent="0.25"/>
    <row r="10443" ht="13.5" customHeight="1" x14ac:dyDescent="0.25"/>
    <row r="10444" ht="13.5" customHeight="1" x14ac:dyDescent="0.25"/>
    <row r="10445" ht="13.5" customHeight="1" x14ac:dyDescent="0.25"/>
    <row r="10446" ht="13.5" customHeight="1" x14ac:dyDescent="0.25"/>
    <row r="10447" ht="13.5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20.25" customHeight="1" x14ac:dyDescent="0.25"/>
    <row r="10453" ht="13.5" customHeight="1" x14ac:dyDescent="0.25"/>
    <row r="10455" ht="13.5" customHeight="1" x14ac:dyDescent="0.25"/>
    <row r="10456" ht="13.5" customHeight="1" x14ac:dyDescent="0.25"/>
    <row r="10457" ht="13.5" customHeight="1" x14ac:dyDescent="0.25"/>
    <row r="10458" ht="13.5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20.25" customHeight="1" x14ac:dyDescent="0.25"/>
    <row r="10464" ht="13.5" customHeight="1" x14ac:dyDescent="0.25"/>
    <row r="10465" ht="13.5" customHeight="1" x14ac:dyDescent="0.25"/>
    <row r="10466" ht="13.5" customHeight="1" x14ac:dyDescent="0.25"/>
    <row r="10467" ht="13.5" customHeight="1" x14ac:dyDescent="0.25"/>
    <row r="10468" ht="13.5" customHeight="1" x14ac:dyDescent="0.25"/>
    <row r="10469" ht="13.5" customHeight="1" x14ac:dyDescent="0.25"/>
    <row r="10470" ht="13.5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20.25" customHeight="1" x14ac:dyDescent="0.25"/>
    <row r="10476" ht="13.5" customHeight="1" x14ac:dyDescent="0.25"/>
    <row r="10478" ht="13.5" customHeight="1" x14ac:dyDescent="0.25"/>
    <row r="10479" ht="13.5" customHeight="1" x14ac:dyDescent="0.25"/>
    <row r="10480" ht="13.5" customHeight="1" x14ac:dyDescent="0.25"/>
    <row r="10481" ht="13.5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20.25" customHeight="1" x14ac:dyDescent="0.25"/>
    <row r="10487" ht="13.5" customHeight="1" x14ac:dyDescent="0.25"/>
    <row r="10488" ht="13.5" customHeight="1" x14ac:dyDescent="0.25"/>
    <row r="10489" ht="13.5" customHeight="1" x14ac:dyDescent="0.25"/>
    <row r="10490" ht="13.5" customHeight="1" x14ac:dyDescent="0.25"/>
    <row r="10491" ht="13.5" customHeight="1" x14ac:dyDescent="0.25"/>
    <row r="10492" ht="13.5" customHeight="1" x14ac:dyDescent="0.25"/>
    <row r="10493" ht="13.5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20.25" customHeight="1" x14ac:dyDescent="0.25"/>
    <row r="10499" ht="13.5" customHeight="1" x14ac:dyDescent="0.25"/>
    <row r="10501" ht="13.5" customHeight="1" x14ac:dyDescent="0.25"/>
    <row r="10502" ht="13.5" customHeight="1" x14ac:dyDescent="0.25"/>
    <row r="10503" ht="13.5" customHeight="1" x14ac:dyDescent="0.25"/>
    <row r="10504" ht="13.5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20.25" customHeight="1" x14ac:dyDescent="0.25"/>
    <row r="10510" ht="13.5" customHeight="1" x14ac:dyDescent="0.25"/>
    <row r="10511" ht="13.5" customHeight="1" x14ac:dyDescent="0.25"/>
    <row r="10512" ht="13.5" customHeight="1" x14ac:dyDescent="0.25"/>
    <row r="10513" ht="13.5" customHeight="1" x14ac:dyDescent="0.25"/>
    <row r="10514" ht="13.5" customHeight="1" x14ac:dyDescent="0.25"/>
    <row r="10515" ht="13.5" customHeight="1" x14ac:dyDescent="0.25"/>
    <row r="10516" ht="13.5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20.25" customHeight="1" x14ac:dyDescent="0.25"/>
    <row r="10522" ht="13.5" customHeight="1" x14ac:dyDescent="0.25"/>
    <row r="10524" ht="13.5" customHeight="1" x14ac:dyDescent="0.25"/>
    <row r="10525" ht="13.5" customHeight="1" x14ac:dyDescent="0.25"/>
    <row r="10526" ht="13.5" customHeight="1" x14ac:dyDescent="0.25"/>
    <row r="10527" ht="13.5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20.25" customHeight="1" x14ac:dyDescent="0.25"/>
    <row r="10533" ht="13.5" customHeight="1" x14ac:dyDescent="0.25"/>
    <row r="10534" ht="13.5" customHeight="1" x14ac:dyDescent="0.25"/>
    <row r="10535" ht="13.5" customHeight="1" x14ac:dyDescent="0.25"/>
  </sheetData>
  <mergeCells count="104">
    <mergeCell ref="B19:C19"/>
    <mergeCell ref="D19:F19"/>
    <mergeCell ref="B45:C45"/>
    <mergeCell ref="D45:F45"/>
    <mergeCell ref="B43:C43"/>
    <mergeCell ref="D43:F43"/>
    <mergeCell ref="B44:C44"/>
    <mergeCell ref="D44:F44"/>
    <mergeCell ref="B32:C32"/>
    <mergeCell ref="D32:F32"/>
    <mergeCell ref="B33:C33"/>
    <mergeCell ref="D33:F33"/>
    <mergeCell ref="B35:F35"/>
    <mergeCell ref="D40:F42"/>
    <mergeCell ref="B41:C42"/>
    <mergeCell ref="B4:C5"/>
    <mergeCell ref="B6:C6"/>
    <mergeCell ref="D6:F6"/>
    <mergeCell ref="B7:C7"/>
    <mergeCell ref="D7:F7"/>
    <mergeCell ref="D3:F5"/>
    <mergeCell ref="B11:F11"/>
    <mergeCell ref="B8:C8"/>
    <mergeCell ref="D8:F8"/>
    <mergeCell ref="B9:C9"/>
    <mergeCell ref="D9:F9"/>
    <mergeCell ref="B10:C10"/>
    <mergeCell ref="D10:F10"/>
    <mergeCell ref="B55:C55"/>
    <mergeCell ref="D55:F55"/>
    <mergeCell ref="B56:C56"/>
    <mergeCell ref="D56:F56"/>
    <mergeCell ref="B54:C54"/>
    <mergeCell ref="D54:F54"/>
    <mergeCell ref="D51:F53"/>
    <mergeCell ref="B52:C53"/>
    <mergeCell ref="B57:C57"/>
    <mergeCell ref="D57:F57"/>
    <mergeCell ref="B78:C78"/>
    <mergeCell ref="D78:F78"/>
    <mergeCell ref="B71:C71"/>
    <mergeCell ref="D71:F71"/>
    <mergeCell ref="B72:F72"/>
    <mergeCell ref="D75:F77"/>
    <mergeCell ref="B76:C77"/>
    <mergeCell ref="B67:C67"/>
    <mergeCell ref="D67:F67"/>
    <mergeCell ref="B68:C68"/>
    <mergeCell ref="D68:F68"/>
    <mergeCell ref="B95:C95"/>
    <mergeCell ref="D95:F95"/>
    <mergeCell ref="B96:F96"/>
    <mergeCell ref="B79:C79"/>
    <mergeCell ref="D79:F79"/>
    <mergeCell ref="B80:C80"/>
    <mergeCell ref="D80:F80"/>
    <mergeCell ref="B81:C81"/>
    <mergeCell ref="D81:F81"/>
    <mergeCell ref="B82:C82"/>
    <mergeCell ref="D82:F82"/>
    <mergeCell ref="B83:F83"/>
    <mergeCell ref="B91:C91"/>
    <mergeCell ref="D91:F91"/>
    <mergeCell ref="D88:F90"/>
    <mergeCell ref="B89:C90"/>
    <mergeCell ref="B92:C92"/>
    <mergeCell ref="D92:F92"/>
    <mergeCell ref="B93:C93"/>
    <mergeCell ref="D93:F93"/>
    <mergeCell ref="B94:C94"/>
    <mergeCell ref="D94:F94"/>
    <mergeCell ref="B46:C46"/>
    <mergeCell ref="D46:F46"/>
    <mergeCell ref="B47:C47"/>
    <mergeCell ref="D47:F47"/>
    <mergeCell ref="B48:F48"/>
    <mergeCell ref="D16:F18"/>
    <mergeCell ref="B17:C18"/>
    <mergeCell ref="B23:C23"/>
    <mergeCell ref="D23:F23"/>
    <mergeCell ref="B24:F24"/>
    <mergeCell ref="D27:F29"/>
    <mergeCell ref="B28:C29"/>
    <mergeCell ref="B34:C34"/>
    <mergeCell ref="D34:F34"/>
    <mergeCell ref="B30:C30"/>
    <mergeCell ref="D30:F30"/>
    <mergeCell ref="B31:C31"/>
    <mergeCell ref="D31:F31"/>
    <mergeCell ref="B20:C20"/>
    <mergeCell ref="D20:F20"/>
    <mergeCell ref="B21:C21"/>
    <mergeCell ref="D21:F21"/>
    <mergeCell ref="B22:C22"/>
    <mergeCell ref="D22:F22"/>
    <mergeCell ref="B58:C58"/>
    <mergeCell ref="D58:F58"/>
    <mergeCell ref="B59:F59"/>
    <mergeCell ref="D64:F66"/>
    <mergeCell ref="B65:C66"/>
    <mergeCell ref="B69:C69"/>
    <mergeCell ref="D69:F69"/>
    <mergeCell ref="B70:C70"/>
    <mergeCell ref="D70:F70"/>
  </mergeCells>
  <printOptions horizontalCentered="1"/>
  <pageMargins left="3.937007874015748E-2" right="0.31496062992125984" top="3.937007874015748E-2" bottom="3.937007874015748E-2" header="0" footer="0"/>
  <pageSetup scale="95" orientation="landscape" blackAndWhite="1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TD!$A:$A</xm:f>
          </x14:formula1>
          <xm:sqref>J4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/>
  <dimension ref="B2:G93"/>
  <sheetViews>
    <sheetView showGridLines="0" workbookViewId="0">
      <selection activeCell="I8" sqref="I8"/>
    </sheetView>
  </sheetViews>
  <sheetFormatPr baseColWidth="10" defaultRowHeight="15" x14ac:dyDescent="0.25"/>
  <cols>
    <col min="1" max="1" width="3" style="44" customWidth="1"/>
    <col min="2" max="2" width="35.42578125" style="44" customWidth="1"/>
    <col min="3" max="3" width="11.42578125" style="44"/>
    <col min="4" max="4" width="30.28515625" style="44" customWidth="1"/>
    <col min="5" max="6" width="18.42578125" style="44" customWidth="1"/>
    <col min="7" max="7" width="15.5703125" style="44" customWidth="1"/>
    <col min="8" max="16384" width="11.42578125" style="44"/>
  </cols>
  <sheetData>
    <row r="2" spans="2:7" ht="56.25" customHeight="1" x14ac:dyDescent="0.25">
      <c r="B2" s="152" t="s">
        <v>5156</v>
      </c>
      <c r="C2" s="152"/>
      <c r="D2" s="152"/>
      <c r="E2" s="152"/>
      <c r="F2" s="152"/>
      <c r="G2" s="152"/>
    </row>
    <row r="3" spans="2:7" ht="33.75" customHeight="1" x14ac:dyDescent="0.25">
      <c r="B3" s="143" t="s">
        <v>5157</v>
      </c>
      <c r="C3" s="139" t="str">
        <f>+VLOOKUP(C7,'BASE DE DATOS'!C:F,4,0)</f>
        <v>CONSTRUCCIONES SOLANA SAS</v>
      </c>
      <c r="D3" s="140"/>
      <c r="E3" s="89" t="s">
        <v>5158</v>
      </c>
      <c r="F3" s="145" t="str">
        <f>MAESTRO!Q2</f>
        <v>MG4038</v>
      </c>
      <c r="G3" s="146"/>
    </row>
    <row r="4" spans="2:7" ht="26.25" customHeight="1" x14ac:dyDescent="0.25">
      <c r="B4" s="144"/>
      <c r="C4" s="141"/>
      <c r="D4" s="142"/>
      <c r="E4" s="77" t="s">
        <v>5159</v>
      </c>
      <c r="F4" s="137"/>
      <c r="G4" s="138"/>
    </row>
    <row r="5" spans="2:7" ht="32.25" customHeight="1" x14ac:dyDescent="0.25">
      <c r="B5" s="97" t="s">
        <v>5160</v>
      </c>
      <c r="C5" s="153" t="str">
        <f>+VLOOKUP(C7,MAESTRO!D:F,3,0)</f>
        <v>CIR 77# 38- 78 torre solana(COLOMBIA - Antioquia-Medellín</v>
      </c>
      <c r="D5" s="154"/>
      <c r="E5" s="77" t="s">
        <v>5161</v>
      </c>
      <c r="F5" s="137">
        <f>+VLOOKUP(C7,MAESTRO!D:G,4,0)</f>
        <v>3233985633</v>
      </c>
      <c r="G5" s="138"/>
    </row>
    <row r="6" spans="2:7" ht="32.25" customHeight="1" x14ac:dyDescent="0.25">
      <c r="B6" s="95" t="s">
        <v>5383</v>
      </c>
      <c r="C6" s="162" t="str">
        <f>MAESTRO!C2</f>
        <v>OFICINA NOROCCIDENTAL NORTE</v>
      </c>
      <c r="D6" s="163"/>
      <c r="E6" s="77"/>
      <c r="F6" s="93"/>
      <c r="G6" s="94"/>
    </row>
    <row r="7" spans="2:7" ht="20.25" customHeight="1" x14ac:dyDescent="0.25">
      <c r="B7" s="155" t="s">
        <v>5162</v>
      </c>
      <c r="C7" s="157" t="str">
        <f>+STICKERS!J5</f>
        <v>700-33248</v>
      </c>
      <c r="D7" s="158"/>
      <c r="E7" s="45" t="s">
        <v>5163</v>
      </c>
      <c r="F7" s="45"/>
      <c r="G7" s="46"/>
    </row>
    <row r="8" spans="2:7" ht="18" customHeight="1" x14ac:dyDescent="0.25">
      <c r="B8" s="156"/>
      <c r="C8" s="159"/>
      <c r="D8" s="160"/>
      <c r="E8" s="45" t="s">
        <v>5164</v>
      </c>
      <c r="F8" s="45"/>
      <c r="G8" s="46"/>
    </row>
    <row r="9" spans="2:7" ht="28.5" customHeight="1" x14ac:dyDescent="0.25">
      <c r="B9" s="47" t="s">
        <v>9</v>
      </c>
      <c r="C9" s="161" t="s">
        <v>5165</v>
      </c>
      <c r="D9" s="161"/>
      <c r="E9" s="48" t="s">
        <v>5284</v>
      </c>
      <c r="F9" s="48" t="s">
        <v>5285</v>
      </c>
      <c r="G9" s="48" t="s">
        <v>5166</v>
      </c>
    </row>
    <row r="10" spans="2:7" ht="33.75" customHeight="1" x14ac:dyDescent="0.25">
      <c r="B10" s="49" t="str">
        <f>+VLOOKUP(G10,'BASE DE DATOS'!B:M,12,0)</f>
        <v>AGNRMLY615</v>
      </c>
      <c r="C10" s="149" t="str">
        <f>+VLOOKUP(B10,REF!A:C,2,0)</f>
        <v>PELIKANO RH MILAN S/P 2,15X2,44X0,015</v>
      </c>
      <c r="D10" s="150"/>
      <c r="E10" s="88">
        <f>+VLOOKUP(G10,MAESTRO!A:J,10,0)</f>
        <v>17</v>
      </c>
      <c r="F10" s="50">
        <f>IFERROR(VLOOKUP(G10,TD!A:B,2,0),0)</f>
        <v>47</v>
      </c>
      <c r="G10" s="51" t="s">
        <v>7249</v>
      </c>
    </row>
    <row r="11" spans="2:7" ht="33.75" customHeight="1" x14ac:dyDescent="0.25">
      <c r="B11" s="49" t="str">
        <f>+VLOOKUP(G11,'BASE DE DATOS'!B:M,12,0)</f>
        <v>AGNRTAS215</v>
      </c>
      <c r="C11" s="149" t="str">
        <f>+VLOOKUP(B11,REF!A:C,2,0)</f>
        <v>PELIKANO RH TAUPE 2C SF 2.15X2.44X0.015</v>
      </c>
      <c r="D11" s="150"/>
      <c r="E11" s="88">
        <f>+VLOOKUP(G11,MAESTRO!A:J,10,0)</f>
        <v>3.5</v>
      </c>
      <c r="F11" s="50">
        <f>IFERROR(VLOOKUP(G11,TD!A:B,2,0),0)</f>
        <v>9</v>
      </c>
      <c r="G11" s="51" t="s">
        <v>7250</v>
      </c>
    </row>
    <row r="12" spans="2:7" ht="33.75" customHeight="1" x14ac:dyDescent="0.25">
      <c r="B12" s="49" t="str">
        <f>+VLOOKUP(G12,'BASE DE DATOS'!B:M,12,0)</f>
        <v>AGNRTAS106</v>
      </c>
      <c r="C12" s="149" t="str">
        <f>+VLOOKUP(B12,REF!A:C,2,0)</f>
        <v>PELIKANO RH TAUPE 1C SF 2.15X2.44X0.006</v>
      </c>
      <c r="D12" s="150"/>
      <c r="E12" s="88">
        <f>+VLOOKUP(G12,MAESTRO!A:J,10,0)</f>
        <v>1</v>
      </c>
      <c r="F12" s="50">
        <f>IFERROR(VLOOKUP(G12,TD!A:B,2,0),0)</f>
        <v>1</v>
      </c>
      <c r="G12" s="51" t="s">
        <v>6765</v>
      </c>
    </row>
    <row r="13" spans="2:7" ht="33.75" customHeight="1" x14ac:dyDescent="0.25">
      <c r="B13" s="49" t="str">
        <f>+VLOOKUP(G13,'BASE DE DATOS'!B:M,12,0)</f>
        <v>AGNEMLP236</v>
      </c>
      <c r="C13" s="149" t="str">
        <f>+VLOOKUP(B13,REF!A:C,2,0)</f>
        <v>PELIKANO MILAN PO 2,15X2,44X0,036</v>
      </c>
      <c r="D13" s="150"/>
      <c r="E13" s="88">
        <f>+VLOOKUP(G13,MAESTRO!A:J,10,0)</f>
        <v>4</v>
      </c>
      <c r="F13" s="50">
        <f>IFERROR(VLOOKUP(G13,TD!A:B,2,0),0)</f>
        <v>9</v>
      </c>
      <c r="G13" s="51" t="s">
        <v>7251</v>
      </c>
    </row>
    <row r="14" spans="2:7" ht="33.75" customHeight="1" x14ac:dyDescent="0.25">
      <c r="B14" s="49"/>
      <c r="C14" s="149"/>
      <c r="D14" s="150"/>
      <c r="E14" s="88"/>
      <c r="F14" s="50"/>
      <c r="G14" s="51"/>
    </row>
    <row r="15" spans="2:7" ht="33.75" customHeight="1" x14ac:dyDescent="0.25">
      <c r="B15" s="49"/>
      <c r="C15" s="149"/>
      <c r="D15" s="150"/>
      <c r="E15" s="88"/>
      <c r="F15" s="50"/>
      <c r="G15" s="51"/>
    </row>
    <row r="16" spans="2:7" ht="33.75" customHeight="1" x14ac:dyDescent="0.25">
      <c r="B16" s="49"/>
      <c r="C16" s="149"/>
      <c r="D16" s="150"/>
      <c r="E16" s="88"/>
      <c r="F16" s="50"/>
      <c r="G16" s="51"/>
    </row>
    <row r="17" spans="2:7" ht="33.75" customHeight="1" x14ac:dyDescent="0.25">
      <c r="B17" s="169" t="s">
        <v>5385</v>
      </c>
      <c r="C17" s="170"/>
      <c r="D17" s="170"/>
      <c r="E17" s="170"/>
      <c r="F17" s="170"/>
      <c r="G17" s="171"/>
    </row>
    <row r="18" spans="2:7" s="96" customFormat="1" ht="33.75" customHeight="1" x14ac:dyDescent="0.25">
      <c r="B18" s="49" t="s">
        <v>5386</v>
      </c>
      <c r="C18" s="147" t="s">
        <v>5300</v>
      </c>
      <c r="D18" s="148"/>
      <c r="E18" s="88" t="s">
        <v>0</v>
      </c>
      <c r="F18" s="164" t="s">
        <v>5387</v>
      </c>
      <c r="G18" s="165"/>
    </row>
    <row r="19" spans="2:7" ht="33.75" customHeight="1" x14ac:dyDescent="0.25">
      <c r="B19" s="49" t="s">
        <v>8793</v>
      </c>
      <c r="C19" s="147" t="s">
        <v>8791</v>
      </c>
      <c r="D19" s="148"/>
      <c r="E19" s="88">
        <v>1</v>
      </c>
      <c r="F19" s="164" t="s">
        <v>8792</v>
      </c>
      <c r="G19" s="165"/>
    </row>
    <row r="20" spans="2:7" ht="33.75" customHeight="1" x14ac:dyDescent="0.25">
      <c r="B20" s="49" t="s">
        <v>8793</v>
      </c>
      <c r="C20" s="147" t="s">
        <v>8794</v>
      </c>
      <c r="D20" s="148"/>
      <c r="E20" s="88">
        <v>1</v>
      </c>
      <c r="F20" s="164" t="s">
        <v>8795</v>
      </c>
      <c r="G20" s="165"/>
    </row>
    <row r="21" spans="2:7" ht="33.75" customHeight="1" x14ac:dyDescent="0.25">
      <c r="B21" s="49" t="s">
        <v>8799</v>
      </c>
      <c r="C21" s="147" t="s">
        <v>8796</v>
      </c>
      <c r="D21" s="148"/>
      <c r="E21" s="88">
        <v>1</v>
      </c>
      <c r="F21" s="164" t="s">
        <v>8795</v>
      </c>
      <c r="G21" s="165"/>
    </row>
    <row r="22" spans="2:7" ht="33.75" customHeight="1" x14ac:dyDescent="0.25">
      <c r="B22" s="49" t="s">
        <v>8799</v>
      </c>
      <c r="C22" s="147" t="s">
        <v>8797</v>
      </c>
      <c r="D22" s="148"/>
      <c r="E22" s="88">
        <v>1</v>
      </c>
      <c r="F22" s="164" t="s">
        <v>8795</v>
      </c>
      <c r="G22" s="165"/>
    </row>
    <row r="23" spans="2:7" ht="33.75" customHeight="1" x14ac:dyDescent="0.25">
      <c r="B23" s="49" t="s">
        <v>8799</v>
      </c>
      <c r="C23" s="147" t="s">
        <v>8798</v>
      </c>
      <c r="D23" s="148"/>
      <c r="E23" s="88">
        <v>1</v>
      </c>
      <c r="F23" s="164" t="s">
        <v>8795</v>
      </c>
      <c r="G23" s="165"/>
    </row>
    <row r="24" spans="2:7" ht="33.75" customHeight="1" x14ac:dyDescent="0.25">
      <c r="B24" s="49" t="s">
        <v>8805</v>
      </c>
      <c r="C24" s="147" t="s">
        <v>8800</v>
      </c>
      <c r="D24" s="148"/>
      <c r="E24" s="88">
        <v>1</v>
      </c>
      <c r="F24" s="164" t="s">
        <v>8804</v>
      </c>
      <c r="G24" s="165"/>
    </row>
    <row r="25" spans="2:7" ht="33.75" customHeight="1" x14ac:dyDescent="0.25">
      <c r="B25" s="49" t="s">
        <v>8805</v>
      </c>
      <c r="C25" s="147" t="s">
        <v>8801</v>
      </c>
      <c r="D25" s="148"/>
      <c r="E25" s="88">
        <v>1</v>
      </c>
      <c r="F25" s="164" t="s">
        <v>8804</v>
      </c>
      <c r="G25" s="165"/>
    </row>
    <row r="26" spans="2:7" ht="33.75" customHeight="1" x14ac:dyDescent="0.25">
      <c r="B26" s="49" t="s">
        <v>8805</v>
      </c>
      <c r="C26" s="147" t="s">
        <v>8802</v>
      </c>
      <c r="D26" s="148"/>
      <c r="E26" s="88">
        <v>1</v>
      </c>
      <c r="F26" s="164" t="s">
        <v>8804</v>
      </c>
      <c r="G26" s="165"/>
    </row>
    <row r="27" spans="2:7" ht="33.75" customHeight="1" x14ac:dyDescent="0.25">
      <c r="B27" s="49" t="s">
        <v>8805</v>
      </c>
      <c r="C27" s="147" t="s">
        <v>8803</v>
      </c>
      <c r="D27" s="148"/>
      <c r="E27" s="88">
        <v>1</v>
      </c>
      <c r="F27" s="164" t="s">
        <v>8804</v>
      </c>
      <c r="G27" s="165"/>
    </row>
    <row r="28" spans="2:7" ht="13.5" customHeight="1" x14ac:dyDescent="0.25">
      <c r="B28" s="136" t="s">
        <v>5388</v>
      </c>
      <c r="C28" s="136"/>
      <c r="D28" s="136"/>
      <c r="E28" s="136"/>
      <c r="F28" s="50">
        <f>SUM(F10:F27)</f>
        <v>66</v>
      </c>
      <c r="G28" s="76"/>
    </row>
    <row r="29" spans="2:7" ht="14.25" customHeight="1" x14ac:dyDescent="0.25">
      <c r="B29" s="166" t="s">
        <v>5389</v>
      </c>
      <c r="C29" s="167"/>
      <c r="D29" s="167"/>
      <c r="E29" s="168"/>
      <c r="F29" s="50"/>
      <c r="G29" s="76"/>
    </row>
    <row r="30" spans="2:7" ht="33.75" customHeight="1" x14ac:dyDescent="0.25">
      <c r="B30" s="49"/>
      <c r="C30" s="149"/>
      <c r="D30" s="150"/>
      <c r="E30" s="50"/>
      <c r="F30" s="50"/>
      <c r="G30" s="51"/>
    </row>
    <row r="31" spans="2:7" ht="18" customHeight="1" x14ac:dyDescent="0.25">
      <c r="B31" s="151" t="s">
        <v>5281</v>
      </c>
      <c r="C31" s="151"/>
      <c r="D31" s="69"/>
      <c r="E31" s="69"/>
      <c r="F31" s="69"/>
      <c r="G31" s="70"/>
    </row>
    <row r="32" spans="2:7" ht="16.5" customHeight="1" x14ac:dyDescent="0.25">
      <c r="B32" s="151"/>
      <c r="C32" s="151"/>
      <c r="D32" s="71"/>
      <c r="E32" s="71"/>
      <c r="F32" s="71"/>
      <c r="G32" s="72"/>
    </row>
    <row r="33" spans="2:7" ht="16.5" customHeight="1" x14ac:dyDescent="0.25">
      <c r="B33" s="151"/>
      <c r="C33" s="151"/>
      <c r="D33" s="71"/>
      <c r="E33" s="71"/>
      <c r="F33" s="71"/>
      <c r="G33" s="72"/>
    </row>
    <row r="34" spans="2:7" ht="16.5" customHeight="1" x14ac:dyDescent="0.25">
      <c r="B34" s="151"/>
      <c r="C34" s="151"/>
      <c r="D34" s="71"/>
      <c r="E34" s="71"/>
      <c r="F34" s="71"/>
      <c r="G34" s="72"/>
    </row>
    <row r="35" spans="2:7" ht="16.5" customHeight="1" x14ac:dyDescent="0.25">
      <c r="B35" s="151"/>
      <c r="C35" s="151"/>
      <c r="D35" s="71"/>
      <c r="E35" s="71"/>
      <c r="F35" s="71"/>
      <c r="G35" s="72"/>
    </row>
    <row r="36" spans="2:7" ht="16.5" customHeight="1" x14ac:dyDescent="0.25">
      <c r="B36" s="151"/>
      <c r="C36" s="151"/>
      <c r="D36" s="71"/>
      <c r="E36" s="71"/>
      <c r="F36" s="71"/>
      <c r="G36" s="72"/>
    </row>
    <row r="37" spans="2:7" ht="16.5" customHeight="1" x14ac:dyDescent="0.25">
      <c r="B37" s="151"/>
      <c r="C37" s="151"/>
      <c r="D37" s="71"/>
      <c r="E37" s="71"/>
      <c r="F37" s="71"/>
      <c r="G37" s="72"/>
    </row>
    <row r="38" spans="2:7" ht="16.5" customHeight="1" x14ac:dyDescent="0.25">
      <c r="B38" s="151"/>
      <c r="C38" s="151"/>
      <c r="D38" s="71"/>
      <c r="E38" s="71"/>
      <c r="F38" s="71"/>
      <c r="G38" s="72"/>
    </row>
    <row r="39" spans="2:7" ht="16.5" customHeight="1" x14ac:dyDescent="0.25">
      <c r="B39" s="151"/>
      <c r="C39" s="151"/>
      <c r="D39" s="71"/>
      <c r="E39" s="71"/>
      <c r="F39" s="71"/>
      <c r="G39" s="72"/>
    </row>
    <row r="40" spans="2:7" ht="27" customHeight="1" x14ac:dyDescent="0.25">
      <c r="B40" s="151"/>
      <c r="C40" s="151"/>
      <c r="D40" s="71"/>
      <c r="E40" s="71"/>
      <c r="F40" s="71"/>
      <c r="G40" s="72"/>
    </row>
    <row r="41" spans="2:7" ht="16.5" customHeight="1" x14ac:dyDescent="0.25">
      <c r="B41" s="151"/>
      <c r="C41" s="151"/>
      <c r="D41" s="71"/>
      <c r="E41" s="71"/>
      <c r="F41" s="71"/>
      <c r="G41" s="72"/>
    </row>
    <row r="42" spans="2:7" ht="16.5" customHeight="1" x14ac:dyDescent="0.25">
      <c r="B42" s="151"/>
      <c r="C42" s="151"/>
      <c r="D42" s="71"/>
      <c r="E42" s="71"/>
      <c r="F42" s="71"/>
      <c r="G42" s="72"/>
    </row>
    <row r="43" spans="2:7" ht="16.5" customHeight="1" x14ac:dyDescent="0.25">
      <c r="B43" s="151"/>
      <c r="C43" s="151"/>
      <c r="D43" s="71"/>
      <c r="E43" s="71"/>
      <c r="F43" s="71"/>
      <c r="G43" s="72"/>
    </row>
    <row r="44" spans="2:7" ht="15.75" customHeight="1" x14ac:dyDescent="0.25">
      <c r="B44" s="151"/>
      <c r="C44" s="151"/>
      <c r="D44" s="71"/>
      <c r="E44" s="71"/>
      <c r="F44" s="71"/>
      <c r="G44" s="72"/>
    </row>
    <row r="45" spans="2:7" ht="15.75" customHeight="1" x14ac:dyDescent="0.25">
      <c r="B45" s="151"/>
      <c r="C45" s="151"/>
      <c r="D45" s="73"/>
      <c r="E45" s="73"/>
      <c r="F45" s="73"/>
      <c r="G45" s="74"/>
    </row>
    <row r="46" spans="2:7" ht="15.75" x14ac:dyDescent="0.25">
      <c r="B46" s="133" t="s">
        <v>5384</v>
      </c>
      <c r="C46" s="134"/>
      <c r="D46" s="133" t="s">
        <v>8806</v>
      </c>
      <c r="E46" s="135"/>
      <c r="F46" s="135"/>
      <c r="G46" s="134"/>
    </row>
    <row r="47" spans="2:7" x14ac:dyDescent="0.25">
      <c r="B47" s="52"/>
      <c r="C47" s="52"/>
      <c r="D47" s="52"/>
      <c r="E47" s="52"/>
      <c r="F47" s="52"/>
      <c r="G47" s="52"/>
    </row>
    <row r="48" spans="2:7" x14ac:dyDescent="0.25">
      <c r="B48" s="52"/>
      <c r="C48" s="52"/>
      <c r="D48" s="52"/>
      <c r="E48" s="52"/>
      <c r="F48" s="52"/>
      <c r="G48" s="52"/>
    </row>
    <row r="49" spans="2:7" x14ac:dyDescent="0.25">
      <c r="B49" s="52"/>
      <c r="C49" s="52"/>
      <c r="D49" s="52"/>
      <c r="E49" s="52"/>
      <c r="F49" s="52"/>
      <c r="G49" s="52"/>
    </row>
    <row r="50" spans="2:7" x14ac:dyDescent="0.25">
      <c r="B50" s="52"/>
      <c r="C50" s="52"/>
      <c r="D50" s="52"/>
      <c r="E50" s="52"/>
      <c r="F50" s="52"/>
      <c r="G50" s="52"/>
    </row>
    <row r="51" spans="2:7" x14ac:dyDescent="0.25">
      <c r="B51" s="52"/>
      <c r="C51" s="52"/>
      <c r="D51" s="52"/>
      <c r="E51" s="52"/>
      <c r="F51" s="52"/>
      <c r="G51" s="52"/>
    </row>
    <row r="52" spans="2:7" x14ac:dyDescent="0.25">
      <c r="B52" s="52"/>
      <c r="C52" s="52"/>
      <c r="D52" s="52"/>
      <c r="E52" s="52"/>
      <c r="F52" s="52"/>
      <c r="G52" s="52"/>
    </row>
    <row r="53" spans="2:7" x14ac:dyDescent="0.25">
      <c r="B53" s="52"/>
      <c r="C53" s="52"/>
      <c r="D53" s="52"/>
      <c r="E53" s="52"/>
      <c r="F53" s="52"/>
      <c r="G53" s="52"/>
    </row>
    <row r="54" spans="2:7" x14ac:dyDescent="0.25">
      <c r="B54" s="52"/>
      <c r="C54" s="52"/>
      <c r="D54" s="52"/>
      <c r="E54" s="52"/>
      <c r="F54" s="52"/>
      <c r="G54" s="52"/>
    </row>
    <row r="55" spans="2:7" x14ac:dyDescent="0.25">
      <c r="B55" s="52"/>
      <c r="C55" s="52"/>
      <c r="D55" s="52"/>
      <c r="E55" s="52"/>
      <c r="F55" s="52"/>
      <c r="G55" s="52"/>
    </row>
    <row r="56" spans="2:7" x14ac:dyDescent="0.25">
      <c r="B56" s="52"/>
      <c r="C56" s="52"/>
      <c r="D56" s="52"/>
      <c r="E56" s="52"/>
      <c r="F56" s="52"/>
      <c r="G56" s="52"/>
    </row>
    <row r="57" spans="2:7" x14ac:dyDescent="0.25">
      <c r="B57" s="52"/>
      <c r="C57" s="52"/>
      <c r="D57" s="52"/>
      <c r="E57" s="52"/>
      <c r="F57" s="52"/>
      <c r="G57" s="52"/>
    </row>
    <row r="58" spans="2:7" x14ac:dyDescent="0.25">
      <c r="B58" s="52"/>
      <c r="C58" s="52"/>
      <c r="D58" s="52"/>
      <c r="E58" s="52"/>
      <c r="F58" s="52"/>
      <c r="G58" s="52"/>
    </row>
    <row r="59" spans="2:7" x14ac:dyDescent="0.25">
      <c r="B59" s="52"/>
      <c r="C59" s="52"/>
      <c r="D59" s="52"/>
      <c r="E59" s="52"/>
      <c r="F59" s="52"/>
      <c r="G59" s="52"/>
    </row>
    <row r="60" spans="2:7" x14ac:dyDescent="0.25">
      <c r="B60" s="52"/>
      <c r="C60" s="52"/>
      <c r="D60" s="52"/>
      <c r="E60" s="52"/>
      <c r="F60" s="52"/>
      <c r="G60" s="52"/>
    </row>
    <row r="61" spans="2:7" x14ac:dyDescent="0.25">
      <c r="B61" s="52"/>
      <c r="C61" s="52"/>
      <c r="D61" s="52"/>
      <c r="E61" s="52"/>
      <c r="F61" s="52"/>
      <c r="G61" s="52"/>
    </row>
    <row r="62" spans="2:7" x14ac:dyDescent="0.25">
      <c r="B62" s="52"/>
      <c r="C62" s="52"/>
      <c r="D62" s="52"/>
      <c r="E62" s="52"/>
      <c r="F62" s="52"/>
      <c r="G62" s="52"/>
    </row>
    <row r="63" spans="2:7" x14ac:dyDescent="0.25">
      <c r="B63" s="52"/>
      <c r="C63" s="52"/>
      <c r="D63" s="52"/>
      <c r="E63" s="52"/>
      <c r="F63" s="52"/>
      <c r="G63" s="52"/>
    </row>
    <row r="64" spans="2:7" x14ac:dyDescent="0.25">
      <c r="B64" s="52"/>
      <c r="C64" s="52"/>
      <c r="D64" s="52"/>
      <c r="E64" s="52"/>
      <c r="F64" s="52"/>
      <c r="G64" s="52"/>
    </row>
    <row r="65" spans="2:7" x14ac:dyDescent="0.25">
      <c r="B65" s="52"/>
      <c r="C65" s="52"/>
      <c r="D65" s="52"/>
      <c r="E65" s="52"/>
      <c r="F65" s="52"/>
      <c r="G65" s="52"/>
    </row>
    <row r="66" spans="2:7" x14ac:dyDescent="0.25">
      <c r="B66" s="52"/>
      <c r="C66" s="52"/>
      <c r="D66" s="52"/>
      <c r="E66" s="52"/>
      <c r="F66" s="52"/>
      <c r="G66" s="52"/>
    </row>
    <row r="67" spans="2:7" x14ac:dyDescent="0.25">
      <c r="B67" s="52"/>
      <c r="C67" s="52"/>
      <c r="D67" s="52"/>
      <c r="E67" s="52"/>
      <c r="F67" s="52"/>
      <c r="G67" s="52"/>
    </row>
    <row r="68" spans="2:7" x14ac:dyDescent="0.25">
      <c r="B68" s="52"/>
      <c r="C68" s="52"/>
      <c r="D68" s="52"/>
      <c r="E68" s="52"/>
      <c r="F68" s="52"/>
      <c r="G68" s="52"/>
    </row>
    <row r="69" spans="2:7" x14ac:dyDescent="0.25">
      <c r="B69" s="52"/>
      <c r="C69" s="52"/>
      <c r="D69" s="52"/>
      <c r="E69" s="52"/>
      <c r="F69" s="52"/>
      <c r="G69" s="52"/>
    </row>
    <row r="70" spans="2:7" x14ac:dyDescent="0.25">
      <c r="B70" s="52"/>
      <c r="C70" s="52"/>
      <c r="D70" s="52"/>
      <c r="E70" s="52"/>
      <c r="F70" s="52"/>
      <c r="G70" s="52"/>
    </row>
    <row r="71" spans="2:7" x14ac:dyDescent="0.25">
      <c r="B71" s="52"/>
      <c r="C71" s="52"/>
      <c r="D71" s="52"/>
      <c r="E71" s="52"/>
      <c r="F71" s="52"/>
      <c r="G71" s="52"/>
    </row>
    <row r="72" spans="2:7" x14ac:dyDescent="0.25">
      <c r="B72" s="52"/>
      <c r="C72" s="52"/>
      <c r="D72" s="52"/>
      <c r="E72" s="52"/>
      <c r="F72" s="52"/>
      <c r="G72" s="52"/>
    </row>
    <row r="73" spans="2:7" x14ac:dyDescent="0.25">
      <c r="B73" s="52"/>
      <c r="C73" s="52"/>
      <c r="D73" s="52"/>
      <c r="E73" s="52"/>
      <c r="F73" s="52"/>
      <c r="G73" s="52"/>
    </row>
    <row r="74" spans="2:7" x14ac:dyDescent="0.25">
      <c r="B74" s="52"/>
      <c r="C74" s="52"/>
      <c r="D74" s="52"/>
      <c r="E74" s="52"/>
      <c r="F74" s="52"/>
      <c r="G74" s="52"/>
    </row>
    <row r="75" spans="2:7" x14ac:dyDescent="0.25">
      <c r="B75" s="52"/>
      <c r="C75" s="52"/>
      <c r="D75" s="52"/>
      <c r="E75" s="52"/>
      <c r="F75" s="52"/>
      <c r="G75" s="52"/>
    </row>
    <row r="76" spans="2:7" x14ac:dyDescent="0.25">
      <c r="B76" s="52"/>
      <c r="C76" s="52"/>
      <c r="D76" s="52"/>
      <c r="E76" s="52"/>
      <c r="F76" s="52"/>
      <c r="G76" s="52"/>
    </row>
    <row r="77" spans="2:7" x14ac:dyDescent="0.25">
      <c r="B77" s="52"/>
      <c r="C77" s="52"/>
      <c r="D77" s="52"/>
      <c r="E77" s="52"/>
      <c r="F77" s="52"/>
      <c r="G77" s="52"/>
    </row>
    <row r="78" spans="2:7" x14ac:dyDescent="0.25">
      <c r="B78" s="52"/>
      <c r="C78" s="52"/>
      <c r="D78" s="52"/>
      <c r="E78" s="52"/>
      <c r="F78" s="52"/>
      <c r="G78" s="52"/>
    </row>
    <row r="79" spans="2:7" x14ac:dyDescent="0.25">
      <c r="B79" s="52"/>
      <c r="C79" s="52"/>
      <c r="D79" s="52"/>
      <c r="E79" s="52"/>
      <c r="F79" s="52"/>
      <c r="G79" s="52"/>
    </row>
    <row r="80" spans="2:7" x14ac:dyDescent="0.25">
      <c r="B80" s="52"/>
      <c r="C80" s="52"/>
      <c r="D80" s="52"/>
      <c r="E80" s="52"/>
      <c r="F80" s="52"/>
      <c r="G80" s="52"/>
    </row>
    <row r="81" spans="2:7" x14ac:dyDescent="0.25">
      <c r="B81" s="52"/>
      <c r="C81" s="52"/>
      <c r="D81" s="52"/>
      <c r="E81" s="52"/>
      <c r="F81" s="52"/>
      <c r="G81" s="52"/>
    </row>
    <row r="82" spans="2:7" x14ac:dyDescent="0.25">
      <c r="B82" s="52"/>
      <c r="C82" s="52"/>
      <c r="D82" s="52"/>
      <c r="E82" s="52"/>
      <c r="F82" s="52"/>
      <c r="G82" s="52"/>
    </row>
    <row r="83" spans="2:7" x14ac:dyDescent="0.25">
      <c r="B83" s="52"/>
      <c r="C83" s="52"/>
      <c r="D83" s="52"/>
      <c r="E83" s="52"/>
      <c r="F83" s="52"/>
      <c r="G83" s="52"/>
    </row>
    <row r="84" spans="2:7" x14ac:dyDescent="0.25">
      <c r="B84" s="52"/>
      <c r="C84" s="52"/>
      <c r="D84" s="52"/>
      <c r="E84" s="52"/>
      <c r="F84" s="52"/>
      <c r="G84" s="52"/>
    </row>
    <row r="85" spans="2:7" x14ac:dyDescent="0.25">
      <c r="B85" s="52"/>
      <c r="C85" s="52"/>
      <c r="D85" s="52"/>
      <c r="E85" s="52"/>
      <c r="F85" s="52"/>
      <c r="G85" s="52"/>
    </row>
    <row r="86" spans="2:7" x14ac:dyDescent="0.25">
      <c r="B86" s="52"/>
      <c r="C86" s="52"/>
      <c r="D86" s="52"/>
      <c r="E86" s="52"/>
      <c r="F86" s="52"/>
      <c r="G86" s="52"/>
    </row>
    <row r="87" spans="2:7" x14ac:dyDescent="0.25">
      <c r="B87" s="52"/>
      <c r="C87" s="52"/>
      <c r="D87" s="52"/>
      <c r="E87" s="52"/>
      <c r="F87" s="52"/>
      <c r="G87" s="52"/>
    </row>
    <row r="88" spans="2:7" x14ac:dyDescent="0.25">
      <c r="B88" s="52"/>
      <c r="C88" s="52"/>
      <c r="D88" s="52"/>
      <c r="E88" s="52"/>
      <c r="F88" s="52"/>
      <c r="G88" s="52"/>
    </row>
    <row r="89" spans="2:7" x14ac:dyDescent="0.25">
      <c r="B89" s="52"/>
      <c r="C89" s="52"/>
      <c r="D89" s="52"/>
      <c r="E89" s="52"/>
      <c r="F89" s="52"/>
      <c r="G89" s="52"/>
    </row>
    <row r="90" spans="2:7" x14ac:dyDescent="0.25">
      <c r="B90" s="52"/>
      <c r="C90" s="52"/>
      <c r="D90" s="52"/>
      <c r="E90" s="52"/>
      <c r="F90" s="52"/>
      <c r="G90" s="52"/>
    </row>
    <row r="91" spans="2:7" x14ac:dyDescent="0.25">
      <c r="B91" s="52"/>
      <c r="C91" s="52"/>
      <c r="D91" s="52"/>
      <c r="E91" s="52"/>
      <c r="F91" s="52"/>
      <c r="G91" s="52"/>
    </row>
    <row r="92" spans="2:7" x14ac:dyDescent="0.25">
      <c r="B92" s="52"/>
      <c r="C92" s="52"/>
      <c r="D92" s="52"/>
      <c r="E92" s="52"/>
      <c r="F92" s="52"/>
      <c r="G92" s="52"/>
    </row>
    <row r="93" spans="2:7" x14ac:dyDescent="0.25">
      <c r="B93" s="52"/>
      <c r="C93" s="52"/>
      <c r="D93" s="52"/>
      <c r="E93" s="52"/>
      <c r="F93" s="52"/>
      <c r="G93" s="52"/>
    </row>
  </sheetData>
  <mergeCells count="45">
    <mergeCell ref="F26:G26"/>
    <mergeCell ref="F27:G27"/>
    <mergeCell ref="F20:G20"/>
    <mergeCell ref="F21:G21"/>
    <mergeCell ref="F22:G22"/>
    <mergeCell ref="F23:G23"/>
    <mergeCell ref="F24:G24"/>
    <mergeCell ref="C15:D15"/>
    <mergeCell ref="F19:G19"/>
    <mergeCell ref="B29:E29"/>
    <mergeCell ref="C18:D18"/>
    <mergeCell ref="C16:D16"/>
    <mergeCell ref="B17:G17"/>
    <mergeCell ref="F18:G18"/>
    <mergeCell ref="C20:D20"/>
    <mergeCell ref="C21:D21"/>
    <mergeCell ref="C22:D22"/>
    <mergeCell ref="C23:D23"/>
    <mergeCell ref="C24:D24"/>
    <mergeCell ref="C25:D25"/>
    <mergeCell ref="C26:D26"/>
    <mergeCell ref="C27:D27"/>
    <mergeCell ref="F25:G25"/>
    <mergeCell ref="B2:G2"/>
    <mergeCell ref="C5:D5"/>
    <mergeCell ref="B7:B8"/>
    <mergeCell ref="C7:D8"/>
    <mergeCell ref="C9:D9"/>
    <mergeCell ref="C6:D6"/>
    <mergeCell ref="B46:C46"/>
    <mergeCell ref="D46:G46"/>
    <mergeCell ref="B28:E28"/>
    <mergeCell ref="F4:G4"/>
    <mergeCell ref="F5:G5"/>
    <mergeCell ref="C3:D4"/>
    <mergeCell ref="B3:B4"/>
    <mergeCell ref="F3:G3"/>
    <mergeCell ref="C19:D19"/>
    <mergeCell ref="C30:D30"/>
    <mergeCell ref="B31:C45"/>
    <mergeCell ref="C10:D10"/>
    <mergeCell ref="C11:D11"/>
    <mergeCell ref="C12:D12"/>
    <mergeCell ref="C13:D13"/>
    <mergeCell ref="C14:D14"/>
  </mergeCells>
  <pageMargins left="0.70866141732283472" right="0.70866141732283472" top="0.74803149606299213" bottom="0.74803149606299213" header="0.31496062992125984" footer="0.31496062992125984"/>
  <pageSetup scale="7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TD!$A:$A</xm:f>
          </x14:formula1>
          <xm:sqref>G10:G16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32"/>
  <sheetViews>
    <sheetView topLeftCell="A8" workbookViewId="0">
      <selection activeCell="C128" activeCellId="1" sqref="A10:A128 C10:K128"/>
    </sheetView>
  </sheetViews>
  <sheetFormatPr baseColWidth="10" defaultRowHeight="15" x14ac:dyDescent="0.25"/>
  <cols>
    <col min="1" max="1" width="22.5703125" style="98" bestFit="1" customWidth="1"/>
    <col min="2" max="2" width="37.5703125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8768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4571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4572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17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 t="s">
        <v>3305</v>
      </c>
      <c r="F7" s="103" t="s">
        <v>8697</v>
      </c>
      <c r="G7" s="103">
        <v>314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 t="s">
        <v>8769</v>
      </c>
      <c r="B10" s="104" t="s">
        <v>8770</v>
      </c>
      <c r="C10" s="107">
        <v>6</v>
      </c>
      <c r="D10" s="107">
        <v>2420</v>
      </c>
      <c r="E10" s="107">
        <v>500</v>
      </c>
      <c r="F10" s="107"/>
      <c r="G10" s="107"/>
      <c r="H10" s="107">
        <v>1</v>
      </c>
      <c r="I10" s="107"/>
      <c r="J10" s="107"/>
      <c r="K10" s="107"/>
    </row>
    <row r="11" spans="1:11" x14ac:dyDescent="0.25">
      <c r="A11" s="104" t="s">
        <v>8771</v>
      </c>
      <c r="B11" s="104" t="s">
        <v>5354</v>
      </c>
      <c r="C11" s="107">
        <v>2</v>
      </c>
      <c r="D11" s="107">
        <v>2420</v>
      </c>
      <c r="E11" s="107">
        <v>500</v>
      </c>
      <c r="F11" s="107"/>
      <c r="G11" s="107"/>
      <c r="H11" s="107">
        <v>1</v>
      </c>
      <c r="I11" s="107"/>
      <c r="J11" s="107"/>
      <c r="K11" s="107"/>
    </row>
    <row r="12" spans="1:11" x14ac:dyDescent="0.25">
      <c r="A12" s="104" t="s">
        <v>8772</v>
      </c>
      <c r="B12" s="104" t="s">
        <v>8773</v>
      </c>
      <c r="C12" s="107">
        <v>25</v>
      </c>
      <c r="D12" s="107">
        <v>2420</v>
      </c>
      <c r="E12" s="107">
        <v>50</v>
      </c>
      <c r="F12" s="107" t="s">
        <v>8717</v>
      </c>
      <c r="G12" s="107"/>
      <c r="H12" s="107"/>
      <c r="I12" s="107"/>
      <c r="J12" s="107"/>
      <c r="K12" s="107"/>
    </row>
    <row r="13" spans="1:11" x14ac:dyDescent="0.25">
      <c r="A13" s="104" t="s">
        <v>8774</v>
      </c>
      <c r="B13" s="104" t="s">
        <v>8775</v>
      </c>
      <c r="C13" s="107">
        <v>30</v>
      </c>
      <c r="D13" s="107">
        <v>2420</v>
      </c>
      <c r="E13" s="107">
        <v>50</v>
      </c>
      <c r="F13" s="107" t="s">
        <v>8717</v>
      </c>
      <c r="G13" s="107"/>
      <c r="H13" s="107"/>
      <c r="I13" s="107"/>
      <c r="J13" s="107"/>
      <c r="K13" s="107"/>
    </row>
    <row r="14" spans="1:11" x14ac:dyDescent="0.25">
      <c r="A14" s="104">
        <v>13</v>
      </c>
      <c r="B14" s="104">
        <v>9</v>
      </c>
      <c r="C14" s="107">
        <v>4</v>
      </c>
      <c r="D14" s="107">
        <v>2420</v>
      </c>
      <c r="E14" s="107">
        <v>120</v>
      </c>
      <c r="F14" s="107"/>
      <c r="G14" s="107"/>
      <c r="H14" s="107">
        <v>1</v>
      </c>
      <c r="I14" s="107">
        <v>1</v>
      </c>
      <c r="J14" s="107"/>
      <c r="K14" s="107"/>
    </row>
    <row r="15" spans="1:11" x14ac:dyDescent="0.25">
      <c r="A15" s="104">
        <v>13</v>
      </c>
      <c r="B15" s="104">
        <v>9</v>
      </c>
      <c r="C15" s="107">
        <v>5</v>
      </c>
      <c r="D15" s="107">
        <v>2420</v>
      </c>
      <c r="E15" s="107">
        <v>50</v>
      </c>
      <c r="F15" s="107" t="s">
        <v>8717</v>
      </c>
      <c r="G15" s="107"/>
      <c r="H15" s="107"/>
      <c r="I15" s="107"/>
      <c r="J15" s="107"/>
      <c r="K15" s="107"/>
    </row>
    <row r="16" spans="1:11" x14ac:dyDescent="0.25">
      <c r="A16" s="104" t="s">
        <v>5355</v>
      </c>
      <c r="B16" s="104" t="s">
        <v>5354</v>
      </c>
      <c r="C16" s="107">
        <v>2</v>
      </c>
      <c r="D16" s="107">
        <v>2410</v>
      </c>
      <c r="E16" s="107">
        <v>600</v>
      </c>
      <c r="F16" s="107"/>
      <c r="G16" s="107"/>
      <c r="H16" s="107">
        <v>1</v>
      </c>
      <c r="I16" s="107"/>
      <c r="J16" s="107"/>
      <c r="K16" s="107"/>
    </row>
    <row r="17" spans="1:11" x14ac:dyDescent="0.25">
      <c r="A17" s="104">
        <v>16</v>
      </c>
      <c r="B17" s="104">
        <v>2</v>
      </c>
      <c r="C17" s="107">
        <v>1</v>
      </c>
      <c r="D17" s="107">
        <v>2000</v>
      </c>
      <c r="E17" s="107">
        <v>120</v>
      </c>
      <c r="F17" s="107"/>
      <c r="G17" s="107"/>
      <c r="H17" s="107">
        <v>1</v>
      </c>
      <c r="I17" s="107">
        <v>1</v>
      </c>
      <c r="J17" s="107">
        <v>1</v>
      </c>
      <c r="K17" s="107"/>
    </row>
    <row r="18" spans="1:11" x14ac:dyDescent="0.25">
      <c r="A18" s="104">
        <v>16</v>
      </c>
      <c r="B18" s="104">
        <v>2</v>
      </c>
      <c r="C18" s="107">
        <v>1</v>
      </c>
      <c r="D18" s="107">
        <v>1950</v>
      </c>
      <c r="E18" s="107">
        <v>520</v>
      </c>
      <c r="F18" s="107"/>
      <c r="G18" s="107"/>
      <c r="H18" s="107">
        <v>1</v>
      </c>
      <c r="I18" s="107"/>
      <c r="J18" s="107"/>
      <c r="K18" s="107"/>
    </row>
    <row r="19" spans="1:11" x14ac:dyDescent="0.25">
      <c r="A19" s="104" t="s">
        <v>8776</v>
      </c>
      <c r="B19" s="104" t="s">
        <v>5354</v>
      </c>
      <c r="C19" s="107">
        <v>2</v>
      </c>
      <c r="D19" s="107">
        <v>1905</v>
      </c>
      <c r="E19" s="107">
        <v>920</v>
      </c>
      <c r="F19" s="107"/>
      <c r="G19" s="107"/>
      <c r="H19" s="107">
        <v>2</v>
      </c>
      <c r="I19" s="107">
        <v>2</v>
      </c>
      <c r="J19" s="107">
        <v>2</v>
      </c>
      <c r="K19" s="107">
        <v>2</v>
      </c>
    </row>
    <row r="20" spans="1:11" x14ac:dyDescent="0.25">
      <c r="A20" s="104">
        <v>19</v>
      </c>
      <c r="B20" s="104">
        <v>2</v>
      </c>
      <c r="C20" s="107">
        <v>2</v>
      </c>
      <c r="D20" s="107">
        <v>1840</v>
      </c>
      <c r="E20" s="107">
        <v>525</v>
      </c>
      <c r="F20" s="107" t="s">
        <v>8723</v>
      </c>
      <c r="G20" s="107"/>
      <c r="H20" s="107">
        <v>2</v>
      </c>
      <c r="I20" s="107">
        <v>2</v>
      </c>
      <c r="J20" s="107">
        <v>2</v>
      </c>
      <c r="K20" s="107">
        <v>2</v>
      </c>
    </row>
    <row r="21" spans="1:11" x14ac:dyDescent="0.25">
      <c r="A21" s="104" t="s">
        <v>8777</v>
      </c>
      <c r="B21" s="104" t="s">
        <v>5356</v>
      </c>
      <c r="C21" s="107">
        <v>4</v>
      </c>
      <c r="D21" s="107">
        <v>1810</v>
      </c>
      <c r="E21" s="107">
        <v>550</v>
      </c>
      <c r="F21" s="107"/>
      <c r="G21" s="107"/>
      <c r="H21" s="107">
        <v>1</v>
      </c>
      <c r="I21" s="107"/>
      <c r="J21" s="107"/>
      <c r="K21" s="107"/>
    </row>
    <row r="22" spans="1:11" x14ac:dyDescent="0.25">
      <c r="A22" s="104">
        <v>22</v>
      </c>
      <c r="B22" s="104">
        <v>5</v>
      </c>
      <c r="C22" s="107">
        <v>5</v>
      </c>
      <c r="D22" s="107">
        <v>1800</v>
      </c>
      <c r="E22" s="107">
        <v>80</v>
      </c>
      <c r="F22" s="107"/>
      <c r="G22" s="107"/>
      <c r="H22" s="107">
        <v>1</v>
      </c>
      <c r="I22" s="107">
        <v>1</v>
      </c>
      <c r="J22" s="107"/>
      <c r="K22" s="107"/>
    </row>
    <row r="23" spans="1:11" x14ac:dyDescent="0.25">
      <c r="A23" s="104" t="s">
        <v>8778</v>
      </c>
      <c r="B23" s="104" t="s">
        <v>5356</v>
      </c>
      <c r="C23" s="107">
        <v>4</v>
      </c>
      <c r="D23" s="107">
        <v>1770</v>
      </c>
      <c r="E23" s="107">
        <v>550</v>
      </c>
      <c r="F23" s="107"/>
      <c r="G23" s="107"/>
      <c r="H23" s="107">
        <v>1</v>
      </c>
      <c r="I23" s="107"/>
      <c r="J23" s="107"/>
      <c r="K23" s="107"/>
    </row>
    <row r="24" spans="1:11" x14ac:dyDescent="0.25">
      <c r="A24" s="104">
        <v>25</v>
      </c>
      <c r="B24" s="104">
        <v>2</v>
      </c>
      <c r="C24" s="107">
        <v>2</v>
      </c>
      <c r="D24" s="107">
        <v>1390</v>
      </c>
      <c r="E24" s="107">
        <v>550</v>
      </c>
      <c r="F24" s="107"/>
      <c r="G24" s="107"/>
      <c r="H24" s="107">
        <v>1</v>
      </c>
      <c r="I24" s="107"/>
      <c r="J24" s="107"/>
      <c r="K24" s="107"/>
    </row>
    <row r="25" spans="1:11" x14ac:dyDescent="0.25">
      <c r="A25" s="104">
        <v>26</v>
      </c>
      <c r="B25" s="104">
        <v>4</v>
      </c>
      <c r="C25" s="107">
        <v>2</v>
      </c>
      <c r="D25" s="107">
        <v>1260</v>
      </c>
      <c r="E25" s="107">
        <v>480</v>
      </c>
      <c r="F25" s="107" t="s">
        <v>8715</v>
      </c>
      <c r="G25" s="107"/>
      <c r="H25" s="107">
        <v>1</v>
      </c>
      <c r="I25" s="107"/>
      <c r="J25" s="107"/>
      <c r="K25" s="107"/>
    </row>
    <row r="26" spans="1:11" x14ac:dyDescent="0.25">
      <c r="A26" s="104">
        <v>26</v>
      </c>
      <c r="B26" s="104">
        <v>4</v>
      </c>
      <c r="C26" s="107">
        <v>2</v>
      </c>
      <c r="D26" s="107">
        <v>1085</v>
      </c>
      <c r="E26" s="107">
        <v>480</v>
      </c>
      <c r="F26" s="107"/>
      <c r="G26" s="107"/>
      <c r="H26" s="107">
        <v>1</v>
      </c>
      <c r="I26" s="107"/>
      <c r="J26" s="107"/>
      <c r="K26" s="107"/>
    </row>
    <row r="27" spans="1:11" x14ac:dyDescent="0.25">
      <c r="A27" s="104">
        <v>27</v>
      </c>
      <c r="B27" s="104">
        <v>1</v>
      </c>
      <c r="C27" s="107">
        <v>1</v>
      </c>
      <c r="D27" s="107">
        <v>1085</v>
      </c>
      <c r="E27" s="107">
        <v>450</v>
      </c>
      <c r="F27" s="107"/>
      <c r="G27" s="107"/>
      <c r="H27" s="107">
        <v>1</v>
      </c>
      <c r="I27" s="107"/>
      <c r="J27" s="107"/>
      <c r="K27" s="107"/>
    </row>
    <row r="28" spans="1:11" x14ac:dyDescent="0.25">
      <c r="A28" s="104">
        <v>28</v>
      </c>
      <c r="B28" s="104">
        <v>4</v>
      </c>
      <c r="C28" s="107">
        <v>4</v>
      </c>
      <c r="D28" s="107">
        <v>1075</v>
      </c>
      <c r="E28" s="107">
        <v>550</v>
      </c>
      <c r="F28" s="107"/>
      <c r="G28" s="107"/>
      <c r="H28" s="107">
        <v>1</v>
      </c>
      <c r="I28" s="107"/>
      <c r="J28" s="107"/>
      <c r="K28" s="107"/>
    </row>
    <row r="29" spans="1:11" x14ac:dyDescent="0.25">
      <c r="A29" s="104">
        <v>29</v>
      </c>
      <c r="B29" s="104">
        <v>34</v>
      </c>
      <c r="C29" s="107">
        <v>5</v>
      </c>
      <c r="D29" s="107">
        <v>1055</v>
      </c>
      <c r="E29" s="107">
        <v>50</v>
      </c>
      <c r="F29" s="107" t="s">
        <v>8710</v>
      </c>
      <c r="G29" s="107"/>
      <c r="H29" s="107"/>
      <c r="I29" s="107"/>
      <c r="J29" s="107"/>
      <c r="K29" s="107"/>
    </row>
    <row r="30" spans="1:11" x14ac:dyDescent="0.25">
      <c r="A30" s="104">
        <v>29</v>
      </c>
      <c r="B30" s="104">
        <v>34</v>
      </c>
      <c r="C30" s="107">
        <v>1</v>
      </c>
      <c r="D30" s="107">
        <v>1055</v>
      </c>
      <c r="E30" s="107">
        <v>60</v>
      </c>
      <c r="F30" s="107"/>
      <c r="G30" s="107"/>
      <c r="H30" s="107"/>
      <c r="I30" s="107"/>
      <c r="J30" s="107"/>
      <c r="K30" s="107"/>
    </row>
    <row r="31" spans="1:11" x14ac:dyDescent="0.25">
      <c r="A31" s="104">
        <v>29</v>
      </c>
      <c r="B31" s="104">
        <v>34</v>
      </c>
      <c r="C31" s="107">
        <v>18</v>
      </c>
      <c r="D31" s="107">
        <v>1000</v>
      </c>
      <c r="E31" s="107">
        <v>50</v>
      </c>
      <c r="F31" s="107" t="s">
        <v>8728</v>
      </c>
      <c r="G31" s="107"/>
      <c r="H31" s="107"/>
      <c r="I31" s="107"/>
      <c r="J31" s="107"/>
      <c r="K31" s="107"/>
    </row>
    <row r="32" spans="1:11" x14ac:dyDescent="0.25">
      <c r="A32" s="104">
        <v>29</v>
      </c>
      <c r="B32" s="104">
        <v>34</v>
      </c>
      <c r="C32" s="107">
        <v>2</v>
      </c>
      <c r="D32" s="107">
        <v>930</v>
      </c>
      <c r="E32" s="107">
        <v>75</v>
      </c>
      <c r="F32" s="107"/>
      <c r="G32" s="107"/>
      <c r="H32" s="107">
        <v>1</v>
      </c>
      <c r="I32" s="107"/>
      <c r="J32" s="107"/>
      <c r="K32" s="107"/>
    </row>
    <row r="33" spans="1:11" x14ac:dyDescent="0.25">
      <c r="A33" s="104">
        <v>29</v>
      </c>
      <c r="B33" s="104">
        <v>34</v>
      </c>
      <c r="C33" s="107">
        <v>2</v>
      </c>
      <c r="D33" s="107">
        <v>930</v>
      </c>
      <c r="E33" s="107">
        <v>50</v>
      </c>
      <c r="F33" s="107" t="s">
        <v>8719</v>
      </c>
      <c r="G33" s="107"/>
      <c r="H33" s="107"/>
      <c r="I33" s="107"/>
      <c r="J33" s="107"/>
      <c r="K33" s="107"/>
    </row>
    <row r="34" spans="1:11" x14ac:dyDescent="0.25">
      <c r="A34" s="104">
        <v>29</v>
      </c>
      <c r="B34" s="104">
        <v>34</v>
      </c>
      <c r="C34" s="107">
        <v>2</v>
      </c>
      <c r="D34" s="107">
        <v>190</v>
      </c>
      <c r="E34" s="107">
        <v>925</v>
      </c>
      <c r="F34" s="107"/>
      <c r="G34" s="107"/>
      <c r="H34" s="107">
        <v>2</v>
      </c>
      <c r="I34" s="107">
        <v>2</v>
      </c>
      <c r="J34" s="107">
        <v>2</v>
      </c>
      <c r="K34" s="107">
        <v>2</v>
      </c>
    </row>
    <row r="35" spans="1:11" x14ac:dyDescent="0.25">
      <c r="A35" s="104">
        <v>29</v>
      </c>
      <c r="B35" s="104">
        <v>34</v>
      </c>
      <c r="C35" s="107">
        <v>4</v>
      </c>
      <c r="D35" s="107">
        <v>873</v>
      </c>
      <c r="E35" s="107">
        <v>140</v>
      </c>
      <c r="F35" s="107" t="s">
        <v>8722</v>
      </c>
      <c r="G35" s="107"/>
      <c r="H35" s="107">
        <v>1</v>
      </c>
      <c r="I35" s="107">
        <v>1</v>
      </c>
      <c r="J35" s="107"/>
      <c r="K35" s="107"/>
    </row>
    <row r="36" spans="1:11" x14ac:dyDescent="0.25">
      <c r="A36" s="104">
        <v>30</v>
      </c>
      <c r="B36" s="104">
        <v>5</v>
      </c>
      <c r="C36" s="107">
        <v>1</v>
      </c>
      <c r="D36" s="107">
        <v>815</v>
      </c>
      <c r="E36" s="107">
        <v>520</v>
      </c>
      <c r="F36" s="107"/>
      <c r="G36" s="107"/>
      <c r="H36" s="107">
        <v>1</v>
      </c>
      <c r="I36" s="107"/>
      <c r="J36" s="107"/>
      <c r="K36" s="107"/>
    </row>
    <row r="37" spans="1:11" x14ac:dyDescent="0.25">
      <c r="A37" s="104">
        <v>30</v>
      </c>
      <c r="B37" s="104">
        <v>5</v>
      </c>
      <c r="C37" s="107">
        <v>3</v>
      </c>
      <c r="D37" s="107">
        <v>800</v>
      </c>
      <c r="E37" s="107">
        <v>480</v>
      </c>
      <c r="F37" s="107"/>
      <c r="G37" s="107"/>
      <c r="H37" s="107">
        <v>1</v>
      </c>
      <c r="I37" s="107"/>
      <c r="J37" s="107"/>
      <c r="K37" s="107"/>
    </row>
    <row r="38" spans="1:11" x14ac:dyDescent="0.25">
      <c r="A38" s="104">
        <v>30</v>
      </c>
      <c r="B38" s="104">
        <v>5</v>
      </c>
      <c r="C38" s="107">
        <v>1</v>
      </c>
      <c r="D38" s="107">
        <v>800</v>
      </c>
      <c r="E38" s="107">
        <v>450</v>
      </c>
      <c r="F38" s="107"/>
      <c r="G38" s="107"/>
      <c r="H38" s="107">
        <v>1</v>
      </c>
      <c r="I38" s="107">
        <v>1</v>
      </c>
      <c r="J38" s="107">
        <v>1</v>
      </c>
      <c r="K38" s="107">
        <v>1</v>
      </c>
    </row>
    <row r="39" spans="1:11" x14ac:dyDescent="0.25">
      <c r="A39" s="104">
        <v>31</v>
      </c>
      <c r="B39" s="104">
        <v>19</v>
      </c>
      <c r="C39" s="107">
        <v>2</v>
      </c>
      <c r="D39" s="107">
        <v>795</v>
      </c>
      <c r="E39" s="107">
        <v>535</v>
      </c>
      <c r="F39" s="107"/>
      <c r="G39" s="107"/>
      <c r="H39" s="107">
        <v>1</v>
      </c>
      <c r="I39" s="107"/>
      <c r="J39" s="107"/>
      <c r="K39" s="107"/>
    </row>
    <row r="40" spans="1:11" x14ac:dyDescent="0.25">
      <c r="A40" s="104">
        <v>31</v>
      </c>
      <c r="B40" s="104">
        <v>19</v>
      </c>
      <c r="C40" s="107">
        <v>4</v>
      </c>
      <c r="D40" s="107">
        <v>795</v>
      </c>
      <c r="E40" s="107">
        <v>50</v>
      </c>
      <c r="F40" s="107" t="s">
        <v>8718</v>
      </c>
      <c r="G40" s="107"/>
      <c r="H40" s="107"/>
      <c r="I40" s="107"/>
      <c r="J40" s="107"/>
      <c r="K40" s="107"/>
    </row>
    <row r="41" spans="1:11" x14ac:dyDescent="0.25">
      <c r="A41" s="104">
        <v>31</v>
      </c>
      <c r="B41" s="104">
        <v>19</v>
      </c>
      <c r="C41" s="107">
        <v>4</v>
      </c>
      <c r="D41" s="107">
        <v>770</v>
      </c>
      <c r="E41" s="107">
        <v>50</v>
      </c>
      <c r="F41" s="107" t="s">
        <v>8713</v>
      </c>
      <c r="G41" s="107"/>
      <c r="H41" s="107"/>
      <c r="I41" s="107"/>
      <c r="J41" s="107"/>
      <c r="K41" s="107"/>
    </row>
    <row r="42" spans="1:11" x14ac:dyDescent="0.25">
      <c r="A42" s="104">
        <v>31</v>
      </c>
      <c r="B42" s="104">
        <v>19</v>
      </c>
      <c r="C42" s="107">
        <v>2</v>
      </c>
      <c r="D42" s="107">
        <v>770</v>
      </c>
      <c r="E42" s="107">
        <v>60</v>
      </c>
      <c r="F42" s="107"/>
      <c r="G42" s="107"/>
      <c r="H42" s="107"/>
      <c r="I42" s="107"/>
      <c r="J42" s="107"/>
      <c r="K42" s="107"/>
    </row>
    <row r="43" spans="1:11" x14ac:dyDescent="0.25">
      <c r="A43" s="104">
        <v>31</v>
      </c>
      <c r="B43" s="104">
        <v>19</v>
      </c>
      <c r="C43" s="107">
        <v>1</v>
      </c>
      <c r="D43" s="107">
        <v>770</v>
      </c>
      <c r="E43" s="107">
        <v>400</v>
      </c>
      <c r="F43" s="107"/>
      <c r="G43" s="107"/>
      <c r="H43" s="107">
        <v>1</v>
      </c>
      <c r="I43" s="107">
        <v>1</v>
      </c>
      <c r="J43" s="107"/>
      <c r="K43" s="107"/>
    </row>
    <row r="44" spans="1:11" x14ac:dyDescent="0.25">
      <c r="A44" s="104">
        <v>31</v>
      </c>
      <c r="B44" s="104">
        <v>19</v>
      </c>
      <c r="C44" s="107">
        <v>2</v>
      </c>
      <c r="D44" s="107">
        <v>770</v>
      </c>
      <c r="E44" s="107">
        <v>80</v>
      </c>
      <c r="F44" s="107"/>
      <c r="G44" s="107"/>
      <c r="H44" s="107">
        <v>1</v>
      </c>
      <c r="I44" s="107"/>
      <c r="J44" s="107"/>
      <c r="K44" s="107"/>
    </row>
    <row r="45" spans="1:11" x14ac:dyDescent="0.25">
      <c r="A45" s="104">
        <v>31</v>
      </c>
      <c r="B45" s="104">
        <v>19</v>
      </c>
      <c r="C45" s="107">
        <v>1</v>
      </c>
      <c r="D45" s="107">
        <v>770</v>
      </c>
      <c r="E45" s="107">
        <v>50</v>
      </c>
      <c r="F45" s="107" t="s">
        <v>8713</v>
      </c>
      <c r="G45" s="107"/>
      <c r="H45" s="107"/>
      <c r="I45" s="107"/>
      <c r="J45" s="107"/>
      <c r="K45" s="107"/>
    </row>
    <row r="46" spans="1:11" x14ac:dyDescent="0.25">
      <c r="A46" s="104">
        <v>31</v>
      </c>
      <c r="B46" s="104">
        <v>19</v>
      </c>
      <c r="C46" s="107">
        <v>3</v>
      </c>
      <c r="D46" s="107">
        <v>190</v>
      </c>
      <c r="E46" s="107">
        <v>770</v>
      </c>
      <c r="F46" s="107"/>
      <c r="G46" s="107"/>
      <c r="H46" s="107">
        <v>2</v>
      </c>
      <c r="I46" s="107">
        <v>2</v>
      </c>
      <c r="J46" s="107">
        <v>2</v>
      </c>
      <c r="K46" s="107">
        <v>2</v>
      </c>
    </row>
    <row r="47" spans="1:11" x14ac:dyDescent="0.25">
      <c r="A47" s="104">
        <v>32</v>
      </c>
      <c r="B47" s="104">
        <v>24</v>
      </c>
      <c r="C47" s="107">
        <v>1</v>
      </c>
      <c r="D47" s="107">
        <v>755</v>
      </c>
      <c r="E47" s="107">
        <v>520</v>
      </c>
      <c r="F47" s="107"/>
      <c r="G47" s="107"/>
      <c r="H47" s="107">
        <v>1</v>
      </c>
      <c r="I47" s="107"/>
      <c r="J47" s="107"/>
      <c r="K47" s="107"/>
    </row>
    <row r="48" spans="1:11" x14ac:dyDescent="0.25">
      <c r="A48" s="104">
        <v>32</v>
      </c>
      <c r="B48" s="104">
        <v>24</v>
      </c>
      <c r="C48" s="107">
        <v>5</v>
      </c>
      <c r="D48" s="107">
        <v>750</v>
      </c>
      <c r="E48" s="107">
        <v>50</v>
      </c>
      <c r="F48" s="107"/>
      <c r="G48" s="107"/>
      <c r="H48" s="107"/>
      <c r="I48" s="107"/>
      <c r="J48" s="107"/>
      <c r="K48" s="107"/>
    </row>
    <row r="49" spans="1:11" x14ac:dyDescent="0.25">
      <c r="A49" s="104">
        <v>32</v>
      </c>
      <c r="B49" s="104">
        <v>24</v>
      </c>
      <c r="C49" s="107">
        <v>5</v>
      </c>
      <c r="D49" s="107">
        <v>750</v>
      </c>
      <c r="E49" s="107">
        <v>50</v>
      </c>
      <c r="F49" s="107" t="s">
        <v>8726</v>
      </c>
      <c r="G49" s="107"/>
      <c r="H49" s="107"/>
      <c r="I49" s="107"/>
      <c r="J49" s="107"/>
      <c r="K49" s="107"/>
    </row>
    <row r="50" spans="1:11" x14ac:dyDescent="0.25">
      <c r="A50" s="104">
        <v>32</v>
      </c>
      <c r="B50" s="104">
        <v>24</v>
      </c>
      <c r="C50" s="107">
        <v>2</v>
      </c>
      <c r="D50" s="107">
        <v>713</v>
      </c>
      <c r="E50" s="107">
        <v>140</v>
      </c>
      <c r="F50" s="107" t="s">
        <v>8714</v>
      </c>
      <c r="G50" s="107"/>
      <c r="H50" s="107">
        <v>1</v>
      </c>
      <c r="I50" s="107">
        <v>1</v>
      </c>
      <c r="J50" s="107"/>
      <c r="K50" s="107"/>
    </row>
    <row r="51" spans="1:11" x14ac:dyDescent="0.25">
      <c r="A51" s="104">
        <v>32</v>
      </c>
      <c r="B51" s="104">
        <v>24</v>
      </c>
      <c r="C51" s="107">
        <v>1</v>
      </c>
      <c r="D51" s="107">
        <v>700</v>
      </c>
      <c r="E51" s="107">
        <v>450</v>
      </c>
      <c r="F51" s="107"/>
      <c r="G51" s="107"/>
      <c r="H51" s="107">
        <v>1</v>
      </c>
      <c r="I51" s="107">
        <v>1</v>
      </c>
      <c r="J51" s="107">
        <v>1</v>
      </c>
      <c r="K51" s="107">
        <v>1</v>
      </c>
    </row>
    <row r="52" spans="1:11" x14ac:dyDescent="0.25">
      <c r="A52" s="104">
        <v>32</v>
      </c>
      <c r="B52" s="104">
        <v>24</v>
      </c>
      <c r="C52" s="107">
        <v>6</v>
      </c>
      <c r="D52" s="107">
        <v>693</v>
      </c>
      <c r="E52" s="107">
        <v>140</v>
      </c>
      <c r="F52" s="107" t="s">
        <v>8727</v>
      </c>
      <c r="G52" s="107"/>
      <c r="H52" s="107">
        <v>1</v>
      </c>
      <c r="I52" s="107">
        <v>1</v>
      </c>
      <c r="J52" s="107"/>
      <c r="K52" s="107"/>
    </row>
    <row r="53" spans="1:11" x14ac:dyDescent="0.25">
      <c r="A53" s="104">
        <v>32</v>
      </c>
      <c r="B53" s="104">
        <v>24</v>
      </c>
      <c r="C53" s="107">
        <v>1</v>
      </c>
      <c r="D53" s="107">
        <v>670</v>
      </c>
      <c r="E53" s="107">
        <v>400</v>
      </c>
      <c r="F53" s="107"/>
      <c r="G53" s="107"/>
      <c r="H53" s="107">
        <v>1</v>
      </c>
      <c r="I53" s="107">
        <v>1</v>
      </c>
      <c r="J53" s="107"/>
      <c r="K53" s="107"/>
    </row>
    <row r="54" spans="1:11" x14ac:dyDescent="0.25">
      <c r="A54" s="104">
        <v>32</v>
      </c>
      <c r="B54" s="104">
        <v>24</v>
      </c>
      <c r="C54" s="107">
        <v>2</v>
      </c>
      <c r="D54" s="107">
        <v>670</v>
      </c>
      <c r="E54" s="107">
        <v>80</v>
      </c>
      <c r="F54" s="107"/>
      <c r="G54" s="107"/>
      <c r="H54" s="107">
        <v>1</v>
      </c>
      <c r="I54" s="107"/>
      <c r="J54" s="107"/>
      <c r="K54" s="107"/>
    </row>
    <row r="55" spans="1:11" x14ac:dyDescent="0.25">
      <c r="A55" s="104">
        <v>32</v>
      </c>
      <c r="B55" s="104">
        <v>24</v>
      </c>
      <c r="C55" s="107">
        <v>1</v>
      </c>
      <c r="D55" s="107">
        <v>670</v>
      </c>
      <c r="E55" s="107">
        <v>50</v>
      </c>
      <c r="F55" s="107" t="s">
        <v>8729</v>
      </c>
      <c r="G55" s="107"/>
      <c r="H55" s="107"/>
      <c r="I55" s="107"/>
      <c r="J55" s="107"/>
      <c r="K55" s="107"/>
    </row>
    <row r="56" spans="1:11" x14ac:dyDescent="0.25">
      <c r="A56" s="104">
        <v>33</v>
      </c>
      <c r="B56" s="104">
        <v>7</v>
      </c>
      <c r="C56" s="107">
        <v>2</v>
      </c>
      <c r="D56" s="107">
        <v>650</v>
      </c>
      <c r="E56" s="107">
        <v>550</v>
      </c>
      <c r="F56" s="107"/>
      <c r="G56" s="107"/>
      <c r="H56" s="107">
        <v>1</v>
      </c>
      <c r="I56" s="107"/>
      <c r="J56" s="107"/>
      <c r="K56" s="107"/>
    </row>
    <row r="57" spans="1:11" x14ac:dyDescent="0.25">
      <c r="A57" s="104">
        <v>33</v>
      </c>
      <c r="B57" s="104">
        <v>7</v>
      </c>
      <c r="C57" s="107">
        <v>5</v>
      </c>
      <c r="D57" s="107">
        <v>600</v>
      </c>
      <c r="E57" s="107">
        <v>500</v>
      </c>
      <c r="F57" s="107"/>
      <c r="G57" s="107"/>
      <c r="H57" s="107">
        <v>1</v>
      </c>
      <c r="I57" s="107"/>
      <c r="J57" s="107"/>
      <c r="K57" s="107"/>
    </row>
    <row r="58" spans="1:11" x14ac:dyDescent="0.25">
      <c r="A58" s="104">
        <v>34</v>
      </c>
      <c r="B58" s="104">
        <v>18</v>
      </c>
      <c r="C58" s="107">
        <v>6</v>
      </c>
      <c r="D58" s="107">
        <v>600</v>
      </c>
      <c r="E58" s="107">
        <v>60</v>
      </c>
      <c r="F58" s="107" t="s">
        <v>8707</v>
      </c>
      <c r="G58" s="107"/>
      <c r="H58" s="107"/>
      <c r="I58" s="107"/>
      <c r="J58" s="107"/>
      <c r="K58" s="107"/>
    </row>
    <row r="59" spans="1:11" x14ac:dyDescent="0.25">
      <c r="A59" s="104">
        <v>34</v>
      </c>
      <c r="B59" s="104">
        <v>18</v>
      </c>
      <c r="C59" s="107">
        <v>5</v>
      </c>
      <c r="D59" s="107">
        <v>600</v>
      </c>
      <c r="E59" s="107">
        <v>50</v>
      </c>
      <c r="F59" s="107" t="s">
        <v>8707</v>
      </c>
      <c r="G59" s="107"/>
      <c r="H59" s="107"/>
      <c r="I59" s="107"/>
      <c r="J59" s="107"/>
      <c r="K59" s="107"/>
    </row>
    <row r="60" spans="1:11" x14ac:dyDescent="0.25">
      <c r="A60" s="104">
        <v>34</v>
      </c>
      <c r="B60" s="104">
        <v>18</v>
      </c>
      <c r="C60" s="107">
        <v>2</v>
      </c>
      <c r="D60" s="107">
        <v>600</v>
      </c>
      <c r="E60" s="107">
        <v>450</v>
      </c>
      <c r="F60" s="107"/>
      <c r="G60" s="107"/>
      <c r="H60" s="107">
        <v>1</v>
      </c>
      <c r="I60" s="107">
        <v>1</v>
      </c>
      <c r="J60" s="107"/>
      <c r="K60" s="107"/>
    </row>
    <row r="61" spans="1:11" x14ac:dyDescent="0.25">
      <c r="A61" s="104">
        <v>34</v>
      </c>
      <c r="B61" s="104">
        <v>18</v>
      </c>
      <c r="C61" s="107">
        <v>1</v>
      </c>
      <c r="D61" s="107">
        <v>600</v>
      </c>
      <c r="E61" s="107">
        <v>450</v>
      </c>
      <c r="F61" s="107"/>
      <c r="G61" s="107"/>
      <c r="H61" s="107">
        <v>1</v>
      </c>
      <c r="I61" s="107">
        <v>1</v>
      </c>
      <c r="J61" s="107">
        <v>1</v>
      </c>
      <c r="K61" s="107">
        <v>1</v>
      </c>
    </row>
    <row r="62" spans="1:11" x14ac:dyDescent="0.25">
      <c r="A62" s="104">
        <v>34</v>
      </c>
      <c r="B62" s="104">
        <v>18</v>
      </c>
      <c r="C62" s="107">
        <v>2</v>
      </c>
      <c r="D62" s="107">
        <v>600</v>
      </c>
      <c r="E62" s="107">
        <v>450</v>
      </c>
      <c r="F62" s="107"/>
      <c r="G62" s="107"/>
      <c r="H62" s="107">
        <v>1</v>
      </c>
      <c r="I62" s="107">
        <v>1</v>
      </c>
      <c r="J62" s="107"/>
      <c r="K62" s="107"/>
    </row>
    <row r="63" spans="1:11" x14ac:dyDescent="0.25">
      <c r="A63" s="104">
        <v>34</v>
      </c>
      <c r="B63" s="104">
        <v>18</v>
      </c>
      <c r="C63" s="107">
        <v>2</v>
      </c>
      <c r="D63" s="107">
        <v>600</v>
      </c>
      <c r="E63" s="107">
        <v>450</v>
      </c>
      <c r="F63" s="107"/>
      <c r="G63" s="107"/>
      <c r="H63" s="107">
        <v>1</v>
      </c>
      <c r="I63" s="107">
        <v>1</v>
      </c>
      <c r="J63" s="107"/>
      <c r="K63" s="107"/>
    </row>
    <row r="64" spans="1:11" x14ac:dyDescent="0.25">
      <c r="A64" s="104">
        <v>35</v>
      </c>
      <c r="B64" s="104">
        <v>9</v>
      </c>
      <c r="C64" s="107">
        <v>2</v>
      </c>
      <c r="D64" s="107">
        <v>600</v>
      </c>
      <c r="E64" s="107">
        <v>450</v>
      </c>
      <c r="F64" s="107"/>
      <c r="G64" s="107"/>
      <c r="H64" s="107">
        <v>1</v>
      </c>
      <c r="I64" s="107">
        <v>1</v>
      </c>
      <c r="J64" s="107"/>
      <c r="K64" s="107"/>
    </row>
    <row r="65" spans="1:11" x14ac:dyDescent="0.25">
      <c r="A65" s="104">
        <v>35</v>
      </c>
      <c r="B65" s="104">
        <v>9</v>
      </c>
      <c r="C65" s="107">
        <v>1</v>
      </c>
      <c r="D65" s="107">
        <v>570</v>
      </c>
      <c r="E65" s="107">
        <v>400</v>
      </c>
      <c r="F65" s="107"/>
      <c r="G65" s="107"/>
      <c r="H65" s="107">
        <v>1</v>
      </c>
      <c r="I65" s="107">
        <v>1</v>
      </c>
      <c r="J65" s="107"/>
      <c r="K65" s="107"/>
    </row>
    <row r="66" spans="1:11" x14ac:dyDescent="0.25">
      <c r="A66" s="104">
        <v>35</v>
      </c>
      <c r="B66" s="104">
        <v>9</v>
      </c>
      <c r="C66" s="107">
        <v>2</v>
      </c>
      <c r="D66" s="107">
        <v>570</v>
      </c>
      <c r="E66" s="107">
        <v>80</v>
      </c>
      <c r="F66" s="107"/>
      <c r="G66" s="107"/>
      <c r="H66" s="107">
        <v>1</v>
      </c>
      <c r="I66" s="107"/>
      <c r="J66" s="107"/>
      <c r="K66" s="107"/>
    </row>
    <row r="67" spans="1:11" x14ac:dyDescent="0.25">
      <c r="A67" s="104">
        <v>35</v>
      </c>
      <c r="B67" s="104">
        <v>9</v>
      </c>
      <c r="C67" s="107">
        <v>1</v>
      </c>
      <c r="D67" s="107">
        <v>570</v>
      </c>
      <c r="E67" s="107">
        <v>50</v>
      </c>
      <c r="F67" s="107" t="s">
        <v>8730</v>
      </c>
      <c r="G67" s="107"/>
      <c r="H67" s="107"/>
      <c r="I67" s="107"/>
      <c r="J67" s="107"/>
      <c r="K67" s="107"/>
    </row>
    <row r="68" spans="1:11" x14ac:dyDescent="0.25">
      <c r="A68" s="104">
        <v>35</v>
      </c>
      <c r="B68" s="104">
        <v>9</v>
      </c>
      <c r="C68" s="107">
        <v>1</v>
      </c>
      <c r="D68" s="107">
        <v>550</v>
      </c>
      <c r="E68" s="107">
        <v>450</v>
      </c>
      <c r="F68" s="107"/>
      <c r="G68" s="107"/>
      <c r="H68" s="107">
        <v>1</v>
      </c>
      <c r="I68" s="107">
        <v>1</v>
      </c>
      <c r="J68" s="107">
        <v>1</v>
      </c>
      <c r="K68" s="107">
        <v>1</v>
      </c>
    </row>
    <row r="69" spans="1:11" x14ac:dyDescent="0.25">
      <c r="A69" s="104">
        <v>35</v>
      </c>
      <c r="B69" s="104">
        <v>9</v>
      </c>
      <c r="C69" s="107">
        <v>2</v>
      </c>
      <c r="D69" s="107">
        <v>545</v>
      </c>
      <c r="E69" s="107">
        <v>550</v>
      </c>
      <c r="F69" s="107" t="s">
        <v>8723</v>
      </c>
      <c r="G69" s="107"/>
      <c r="H69" s="107">
        <v>2</v>
      </c>
      <c r="I69" s="107">
        <v>2</v>
      </c>
      <c r="J69" s="107">
        <v>2</v>
      </c>
      <c r="K69" s="107">
        <v>2</v>
      </c>
    </row>
    <row r="70" spans="1:11" x14ac:dyDescent="0.25">
      <c r="A70" s="104">
        <v>36</v>
      </c>
      <c r="B70" s="104">
        <v>8</v>
      </c>
      <c r="C70" s="107">
        <v>6</v>
      </c>
      <c r="D70" s="107">
        <v>490</v>
      </c>
      <c r="E70" s="107">
        <v>550</v>
      </c>
      <c r="F70" s="107"/>
      <c r="G70" s="107"/>
      <c r="H70" s="107">
        <v>1</v>
      </c>
      <c r="I70" s="107"/>
      <c r="J70" s="107"/>
      <c r="K70" s="107"/>
    </row>
    <row r="71" spans="1:11" x14ac:dyDescent="0.25">
      <c r="A71" s="104">
        <v>36</v>
      </c>
      <c r="B71" s="104">
        <v>8</v>
      </c>
      <c r="C71" s="107">
        <v>2</v>
      </c>
      <c r="D71" s="107">
        <v>545</v>
      </c>
      <c r="E71" s="107">
        <v>500</v>
      </c>
      <c r="F71" s="107" t="s">
        <v>8723</v>
      </c>
      <c r="G71" s="107"/>
      <c r="H71" s="107">
        <v>2</v>
      </c>
      <c r="I71" s="107">
        <v>2</v>
      </c>
      <c r="J71" s="107">
        <v>2</v>
      </c>
      <c r="K71" s="107">
        <v>2</v>
      </c>
    </row>
    <row r="72" spans="1:11" x14ac:dyDescent="0.25">
      <c r="A72" s="104">
        <v>37</v>
      </c>
      <c r="B72" s="104">
        <v>14</v>
      </c>
      <c r="C72" s="107">
        <v>2</v>
      </c>
      <c r="D72" s="107">
        <v>545</v>
      </c>
      <c r="E72" s="107">
        <v>450</v>
      </c>
      <c r="F72" s="107" t="s">
        <v>8723</v>
      </c>
      <c r="G72" s="107"/>
      <c r="H72" s="107">
        <v>2</v>
      </c>
      <c r="I72" s="107">
        <v>2</v>
      </c>
      <c r="J72" s="107">
        <v>2</v>
      </c>
      <c r="K72" s="107">
        <v>2</v>
      </c>
    </row>
    <row r="73" spans="1:11" x14ac:dyDescent="0.25">
      <c r="A73" s="104">
        <v>37</v>
      </c>
      <c r="B73" s="104">
        <v>14</v>
      </c>
      <c r="C73" s="107">
        <v>2</v>
      </c>
      <c r="D73" s="107">
        <v>545</v>
      </c>
      <c r="E73" s="107">
        <v>425</v>
      </c>
      <c r="F73" s="107" t="s">
        <v>8723</v>
      </c>
      <c r="G73" s="107"/>
      <c r="H73" s="107">
        <v>2</v>
      </c>
      <c r="I73" s="107">
        <v>2</v>
      </c>
      <c r="J73" s="107">
        <v>2</v>
      </c>
      <c r="K73" s="107">
        <v>2</v>
      </c>
    </row>
    <row r="74" spans="1:11" x14ac:dyDescent="0.25">
      <c r="A74" s="104">
        <v>37</v>
      </c>
      <c r="B74" s="104">
        <v>14</v>
      </c>
      <c r="C74" s="107">
        <v>6</v>
      </c>
      <c r="D74" s="107">
        <v>543</v>
      </c>
      <c r="E74" s="107">
        <v>140</v>
      </c>
      <c r="F74" s="107" t="s">
        <v>8709</v>
      </c>
      <c r="G74" s="107"/>
      <c r="H74" s="107">
        <v>1</v>
      </c>
      <c r="I74" s="107">
        <v>1</v>
      </c>
      <c r="J74" s="107"/>
      <c r="K74" s="107"/>
    </row>
    <row r="75" spans="1:11" x14ac:dyDescent="0.25">
      <c r="A75" s="104">
        <v>37</v>
      </c>
      <c r="B75" s="104">
        <v>14</v>
      </c>
      <c r="C75" s="107">
        <v>1</v>
      </c>
      <c r="D75" s="107">
        <v>520</v>
      </c>
      <c r="E75" s="107">
        <v>400</v>
      </c>
      <c r="F75" s="107"/>
      <c r="G75" s="107"/>
      <c r="H75" s="107">
        <v>1</v>
      </c>
      <c r="I75" s="107">
        <v>1</v>
      </c>
      <c r="J75" s="107"/>
      <c r="K75" s="107"/>
    </row>
    <row r="76" spans="1:11" x14ac:dyDescent="0.25">
      <c r="A76" s="104">
        <v>37</v>
      </c>
      <c r="B76" s="104">
        <v>14</v>
      </c>
      <c r="C76" s="107">
        <v>2</v>
      </c>
      <c r="D76" s="107">
        <v>520</v>
      </c>
      <c r="E76" s="107">
        <v>80</v>
      </c>
      <c r="F76" s="107"/>
      <c r="G76" s="107"/>
      <c r="H76" s="107">
        <v>1</v>
      </c>
      <c r="I76" s="107"/>
      <c r="J76" s="107"/>
      <c r="K76" s="107"/>
    </row>
    <row r="77" spans="1:11" x14ac:dyDescent="0.25">
      <c r="A77" s="104">
        <v>37</v>
      </c>
      <c r="B77" s="104">
        <v>14</v>
      </c>
      <c r="C77" s="107">
        <v>1</v>
      </c>
      <c r="D77" s="107">
        <v>520</v>
      </c>
      <c r="E77" s="107">
        <v>50</v>
      </c>
      <c r="F77" s="107" t="s">
        <v>8731</v>
      </c>
      <c r="G77" s="107"/>
      <c r="H77" s="107"/>
      <c r="I77" s="107"/>
      <c r="J77" s="107"/>
      <c r="K77" s="107"/>
    </row>
    <row r="78" spans="1:11" x14ac:dyDescent="0.25">
      <c r="A78" s="104">
        <v>38</v>
      </c>
      <c r="B78" s="104">
        <v>21</v>
      </c>
      <c r="C78" s="107">
        <v>3</v>
      </c>
      <c r="D78" s="107">
        <v>500</v>
      </c>
      <c r="E78" s="107">
        <v>500</v>
      </c>
      <c r="F78" s="107"/>
      <c r="G78" s="107"/>
      <c r="H78" s="107">
        <v>1</v>
      </c>
      <c r="I78" s="107"/>
      <c r="J78" s="107"/>
      <c r="K78" s="107"/>
    </row>
    <row r="79" spans="1:11" x14ac:dyDescent="0.25">
      <c r="A79" s="104">
        <v>38</v>
      </c>
      <c r="B79" s="104">
        <v>21</v>
      </c>
      <c r="C79" s="107">
        <v>7</v>
      </c>
      <c r="D79" s="107">
        <v>495</v>
      </c>
      <c r="E79" s="107">
        <v>60</v>
      </c>
      <c r="F79" s="107" t="s">
        <v>8706</v>
      </c>
      <c r="G79" s="107"/>
      <c r="H79" s="107"/>
      <c r="I79" s="107"/>
      <c r="J79" s="107"/>
      <c r="K79" s="107"/>
    </row>
    <row r="80" spans="1:11" x14ac:dyDescent="0.25">
      <c r="A80" s="104">
        <v>38</v>
      </c>
      <c r="B80" s="104">
        <v>21</v>
      </c>
      <c r="C80" s="107">
        <v>2</v>
      </c>
      <c r="D80" s="107">
        <v>470</v>
      </c>
      <c r="E80" s="107">
        <v>480</v>
      </c>
      <c r="F80" s="107" t="s">
        <v>8716</v>
      </c>
      <c r="G80" s="107"/>
      <c r="H80" s="107">
        <v>1</v>
      </c>
      <c r="I80" s="107"/>
      <c r="J80" s="107"/>
      <c r="K80" s="107"/>
    </row>
    <row r="81" spans="1:11" x14ac:dyDescent="0.25">
      <c r="A81" s="104">
        <v>38</v>
      </c>
      <c r="B81" s="104">
        <v>21</v>
      </c>
      <c r="C81" s="107">
        <v>3</v>
      </c>
      <c r="D81" s="107">
        <v>280</v>
      </c>
      <c r="E81" s="107">
        <v>480</v>
      </c>
      <c r="F81" s="107"/>
      <c r="G81" s="107"/>
      <c r="H81" s="107">
        <v>1</v>
      </c>
      <c r="I81" s="107"/>
      <c r="J81" s="107"/>
      <c r="K81" s="107"/>
    </row>
    <row r="82" spans="1:11" x14ac:dyDescent="0.25">
      <c r="A82" s="104">
        <v>38</v>
      </c>
      <c r="B82" s="104">
        <v>21</v>
      </c>
      <c r="C82" s="107">
        <v>2</v>
      </c>
      <c r="D82" s="107">
        <v>280</v>
      </c>
      <c r="E82" s="107">
        <v>480</v>
      </c>
      <c r="F82" s="107"/>
      <c r="G82" s="107"/>
      <c r="H82" s="107">
        <v>1</v>
      </c>
      <c r="I82" s="107"/>
      <c r="J82" s="107"/>
      <c r="K82" s="107"/>
    </row>
    <row r="83" spans="1:11" x14ac:dyDescent="0.25">
      <c r="A83" s="104">
        <v>38</v>
      </c>
      <c r="B83" s="104">
        <v>21</v>
      </c>
      <c r="C83" s="107">
        <v>4</v>
      </c>
      <c r="D83" s="107">
        <v>465</v>
      </c>
      <c r="E83" s="107">
        <v>140</v>
      </c>
      <c r="F83" s="107" t="s">
        <v>8712</v>
      </c>
      <c r="G83" s="107"/>
      <c r="H83" s="107">
        <v>1</v>
      </c>
      <c r="I83" s="107">
        <v>1</v>
      </c>
      <c r="J83" s="107"/>
      <c r="K83" s="107"/>
    </row>
    <row r="84" spans="1:11" x14ac:dyDescent="0.25">
      <c r="A84" s="104">
        <v>39</v>
      </c>
      <c r="B84" s="104">
        <v>36</v>
      </c>
      <c r="C84" s="107">
        <v>14</v>
      </c>
      <c r="D84" s="107">
        <v>450</v>
      </c>
      <c r="E84" s="107">
        <v>100</v>
      </c>
      <c r="F84" s="107"/>
      <c r="G84" s="107"/>
      <c r="H84" s="107">
        <v>1</v>
      </c>
      <c r="I84" s="107">
        <v>1</v>
      </c>
      <c r="J84" s="107"/>
      <c r="K84" s="107"/>
    </row>
    <row r="85" spans="1:11" x14ac:dyDescent="0.25">
      <c r="A85" s="104">
        <v>39</v>
      </c>
      <c r="B85" s="104">
        <v>36</v>
      </c>
      <c r="C85" s="107">
        <v>6</v>
      </c>
      <c r="D85" s="107">
        <v>450</v>
      </c>
      <c r="E85" s="107">
        <v>140</v>
      </c>
      <c r="F85" s="107" t="s">
        <v>8708</v>
      </c>
      <c r="G85" s="107"/>
      <c r="H85" s="107">
        <v>1</v>
      </c>
      <c r="I85" s="107">
        <v>1</v>
      </c>
      <c r="J85" s="107"/>
      <c r="K85" s="107"/>
    </row>
    <row r="86" spans="1:11" x14ac:dyDescent="0.25">
      <c r="A86" s="104">
        <v>39</v>
      </c>
      <c r="B86" s="104">
        <v>36</v>
      </c>
      <c r="C86" s="107">
        <v>4</v>
      </c>
      <c r="D86" s="107">
        <v>450</v>
      </c>
      <c r="E86" s="107">
        <v>140</v>
      </c>
      <c r="F86" s="107" t="s">
        <v>8711</v>
      </c>
      <c r="G86" s="107"/>
      <c r="H86" s="107">
        <v>1</v>
      </c>
      <c r="I86" s="107">
        <v>1</v>
      </c>
      <c r="J86" s="107"/>
      <c r="K86" s="107"/>
    </row>
    <row r="87" spans="1:11" x14ac:dyDescent="0.25">
      <c r="A87" s="104">
        <v>39</v>
      </c>
      <c r="B87" s="104">
        <v>36</v>
      </c>
      <c r="C87" s="107">
        <v>2</v>
      </c>
      <c r="D87" s="107">
        <v>450</v>
      </c>
      <c r="E87" s="107">
        <v>140</v>
      </c>
      <c r="F87" s="107" t="s">
        <v>8711</v>
      </c>
      <c r="G87" s="107"/>
      <c r="H87" s="107">
        <v>1</v>
      </c>
      <c r="I87" s="107">
        <v>1</v>
      </c>
      <c r="J87" s="107"/>
      <c r="K87" s="107"/>
    </row>
    <row r="88" spans="1:11" x14ac:dyDescent="0.25">
      <c r="A88" s="104">
        <v>39</v>
      </c>
      <c r="B88" s="104">
        <v>36</v>
      </c>
      <c r="C88" s="107">
        <v>4</v>
      </c>
      <c r="D88" s="107">
        <v>450</v>
      </c>
      <c r="E88" s="107">
        <v>140</v>
      </c>
      <c r="F88" s="107" t="s">
        <v>8708</v>
      </c>
      <c r="G88" s="107"/>
      <c r="H88" s="107">
        <v>1</v>
      </c>
      <c r="I88" s="107">
        <v>1</v>
      </c>
      <c r="J88" s="107"/>
      <c r="K88" s="107"/>
    </row>
    <row r="89" spans="1:11" x14ac:dyDescent="0.25">
      <c r="A89" s="104">
        <v>39</v>
      </c>
      <c r="B89" s="104">
        <v>36</v>
      </c>
      <c r="C89" s="107">
        <v>6</v>
      </c>
      <c r="D89" s="107">
        <v>450</v>
      </c>
      <c r="E89" s="107">
        <v>140</v>
      </c>
      <c r="F89" s="107" t="s">
        <v>8711</v>
      </c>
      <c r="G89" s="107"/>
      <c r="H89" s="107">
        <v>1</v>
      </c>
      <c r="I89" s="107">
        <v>1</v>
      </c>
      <c r="J89" s="107"/>
      <c r="K89" s="107"/>
    </row>
    <row r="90" spans="1:11" x14ac:dyDescent="0.25">
      <c r="A90" s="104">
        <v>40</v>
      </c>
      <c r="B90" s="104">
        <v>7</v>
      </c>
      <c r="C90" s="107">
        <v>7</v>
      </c>
      <c r="D90" s="107">
        <v>443</v>
      </c>
      <c r="E90" s="107">
        <v>450</v>
      </c>
      <c r="F90" s="107"/>
      <c r="G90" s="107"/>
      <c r="H90" s="107"/>
      <c r="I90" s="107"/>
      <c r="J90" s="107"/>
      <c r="K90" s="107"/>
    </row>
    <row r="91" spans="1:11" x14ac:dyDescent="0.25">
      <c r="A91" s="104">
        <v>41</v>
      </c>
      <c r="B91" s="104">
        <v>8</v>
      </c>
      <c r="C91" s="107">
        <v>2</v>
      </c>
      <c r="D91" s="107">
        <v>2420</v>
      </c>
      <c r="E91" s="107">
        <v>95</v>
      </c>
      <c r="F91" s="107" t="s">
        <v>8721</v>
      </c>
      <c r="G91" s="107"/>
      <c r="H91" s="107">
        <v>1</v>
      </c>
      <c r="I91" s="107"/>
      <c r="J91" s="107"/>
      <c r="K91" s="107"/>
    </row>
    <row r="92" spans="1:11" x14ac:dyDescent="0.25">
      <c r="A92" s="104">
        <v>41</v>
      </c>
      <c r="B92" s="104">
        <v>8</v>
      </c>
      <c r="C92" s="107">
        <v>2</v>
      </c>
      <c r="D92" s="107">
        <v>2420</v>
      </c>
      <c r="E92" s="107">
        <v>135</v>
      </c>
      <c r="F92" s="107" t="s">
        <v>8720</v>
      </c>
      <c r="G92" s="107"/>
      <c r="H92" s="107">
        <v>1</v>
      </c>
      <c r="I92" s="107">
        <v>3</v>
      </c>
      <c r="J92" s="107"/>
      <c r="K92" s="107"/>
    </row>
    <row r="93" spans="1:11" x14ac:dyDescent="0.25">
      <c r="A93" s="104">
        <v>41</v>
      </c>
      <c r="B93" s="104">
        <v>8</v>
      </c>
      <c r="C93" s="107">
        <v>2</v>
      </c>
      <c r="D93" s="107">
        <v>2420</v>
      </c>
      <c r="E93" s="107">
        <v>85</v>
      </c>
      <c r="F93" s="107" t="s">
        <v>8721</v>
      </c>
      <c r="G93" s="107"/>
      <c r="H93" s="107">
        <v>1</v>
      </c>
      <c r="I93" s="107"/>
      <c r="J93" s="107"/>
      <c r="K93" s="107"/>
    </row>
    <row r="94" spans="1:11" x14ac:dyDescent="0.25">
      <c r="A94" s="104">
        <v>41</v>
      </c>
      <c r="B94" s="104">
        <v>8</v>
      </c>
      <c r="C94" s="107">
        <v>2</v>
      </c>
      <c r="D94" s="107">
        <v>2420</v>
      </c>
      <c r="E94" s="107">
        <v>125</v>
      </c>
      <c r="F94" s="107" t="s">
        <v>8720</v>
      </c>
      <c r="G94" s="107"/>
      <c r="H94" s="107">
        <v>1</v>
      </c>
      <c r="I94" s="107">
        <v>3</v>
      </c>
      <c r="J94" s="107"/>
      <c r="K94" s="107"/>
    </row>
    <row r="95" spans="1:11" x14ac:dyDescent="0.25">
      <c r="A95" s="104">
        <v>42</v>
      </c>
      <c r="B95" s="104">
        <v>8</v>
      </c>
      <c r="C95" s="107">
        <v>2</v>
      </c>
      <c r="D95" s="107">
        <v>2420</v>
      </c>
      <c r="E95" s="107">
        <v>135</v>
      </c>
      <c r="F95" s="107" t="s">
        <v>8720</v>
      </c>
      <c r="G95" s="107"/>
      <c r="H95" s="107">
        <v>1</v>
      </c>
      <c r="I95" s="107">
        <v>3</v>
      </c>
      <c r="J95" s="107"/>
      <c r="K95" s="107"/>
    </row>
    <row r="96" spans="1:11" x14ac:dyDescent="0.25">
      <c r="A96" s="104">
        <v>42</v>
      </c>
      <c r="B96" s="104">
        <v>8</v>
      </c>
      <c r="C96" s="107">
        <v>2</v>
      </c>
      <c r="D96" s="107">
        <v>2420</v>
      </c>
      <c r="E96" s="107">
        <v>95</v>
      </c>
      <c r="F96" s="107" t="s">
        <v>8721</v>
      </c>
      <c r="G96" s="107"/>
      <c r="H96" s="107">
        <v>1</v>
      </c>
      <c r="I96" s="107"/>
      <c r="J96" s="107"/>
      <c r="K96" s="107"/>
    </row>
    <row r="97" spans="1:11" x14ac:dyDescent="0.25">
      <c r="A97" s="104">
        <v>42</v>
      </c>
      <c r="B97" s="104">
        <v>8</v>
      </c>
      <c r="C97" s="107">
        <v>2</v>
      </c>
      <c r="D97" s="107">
        <v>2420</v>
      </c>
      <c r="E97" s="107">
        <v>125</v>
      </c>
      <c r="F97" s="107" t="s">
        <v>8720</v>
      </c>
      <c r="G97" s="107"/>
      <c r="H97" s="107">
        <v>1</v>
      </c>
      <c r="I97" s="107">
        <v>3</v>
      </c>
      <c r="J97" s="107"/>
      <c r="K97" s="107"/>
    </row>
    <row r="98" spans="1:11" x14ac:dyDescent="0.25">
      <c r="A98" s="104">
        <v>42</v>
      </c>
      <c r="B98" s="104">
        <v>8</v>
      </c>
      <c r="C98" s="107">
        <v>2</v>
      </c>
      <c r="D98" s="107">
        <v>2420</v>
      </c>
      <c r="E98" s="107">
        <v>85</v>
      </c>
      <c r="F98" s="107" t="s">
        <v>8721</v>
      </c>
      <c r="G98" s="107"/>
      <c r="H98" s="107">
        <v>1</v>
      </c>
      <c r="I98" s="107"/>
      <c r="J98" s="107"/>
      <c r="K98" s="107"/>
    </row>
    <row r="99" spans="1:11" x14ac:dyDescent="0.25">
      <c r="A99" s="104">
        <v>43</v>
      </c>
      <c r="B99" s="104">
        <v>8</v>
      </c>
      <c r="C99" s="107">
        <v>2</v>
      </c>
      <c r="D99" s="107">
        <v>2420</v>
      </c>
      <c r="E99" s="107">
        <v>125</v>
      </c>
      <c r="F99" s="107" t="s">
        <v>8720</v>
      </c>
      <c r="G99" s="107"/>
      <c r="H99" s="107">
        <v>1</v>
      </c>
      <c r="I99" s="107">
        <v>3</v>
      </c>
      <c r="J99" s="107"/>
      <c r="K99" s="107"/>
    </row>
    <row r="100" spans="1:11" x14ac:dyDescent="0.25">
      <c r="A100" s="104">
        <v>43</v>
      </c>
      <c r="B100" s="104">
        <v>8</v>
      </c>
      <c r="C100" s="107">
        <v>2</v>
      </c>
      <c r="D100" s="107">
        <v>2420</v>
      </c>
      <c r="E100" s="107">
        <v>85</v>
      </c>
      <c r="F100" s="107" t="s">
        <v>8721</v>
      </c>
      <c r="G100" s="107"/>
      <c r="H100" s="107">
        <v>1</v>
      </c>
      <c r="I100" s="107"/>
      <c r="J100" s="107"/>
      <c r="K100" s="107"/>
    </row>
    <row r="101" spans="1:11" x14ac:dyDescent="0.25">
      <c r="A101" s="104">
        <v>43</v>
      </c>
      <c r="B101" s="104">
        <v>8</v>
      </c>
      <c r="C101" s="107">
        <v>2</v>
      </c>
      <c r="D101" s="107">
        <v>2420</v>
      </c>
      <c r="E101" s="107">
        <v>120</v>
      </c>
      <c r="F101" s="107" t="s">
        <v>8720</v>
      </c>
      <c r="G101" s="107"/>
      <c r="H101" s="107">
        <v>1</v>
      </c>
      <c r="I101" s="107">
        <v>3</v>
      </c>
      <c r="J101" s="107"/>
      <c r="K101" s="107"/>
    </row>
    <row r="102" spans="1:11" x14ac:dyDescent="0.25">
      <c r="A102" s="104">
        <v>43</v>
      </c>
      <c r="B102" s="104">
        <v>8</v>
      </c>
      <c r="C102" s="107">
        <v>2</v>
      </c>
      <c r="D102" s="107">
        <v>2420</v>
      </c>
      <c r="E102" s="107">
        <v>80</v>
      </c>
      <c r="F102" s="107" t="s">
        <v>8721</v>
      </c>
      <c r="G102" s="107"/>
      <c r="H102" s="107">
        <v>1</v>
      </c>
      <c r="I102" s="107"/>
      <c r="J102" s="107"/>
      <c r="K102" s="107"/>
    </row>
    <row r="103" spans="1:11" x14ac:dyDescent="0.25">
      <c r="A103" s="104">
        <v>44</v>
      </c>
      <c r="B103" s="104">
        <v>8</v>
      </c>
      <c r="C103" s="107">
        <v>2</v>
      </c>
      <c r="D103" s="107">
        <v>2420</v>
      </c>
      <c r="E103" s="107">
        <v>85</v>
      </c>
      <c r="F103" s="107" t="s">
        <v>8721</v>
      </c>
      <c r="G103" s="107"/>
      <c r="H103" s="107">
        <v>1</v>
      </c>
      <c r="I103" s="107"/>
      <c r="J103" s="107"/>
      <c r="K103" s="107"/>
    </row>
    <row r="104" spans="1:11" x14ac:dyDescent="0.25">
      <c r="A104" s="104">
        <v>44</v>
      </c>
      <c r="B104" s="104">
        <v>8</v>
      </c>
      <c r="C104" s="107">
        <v>2</v>
      </c>
      <c r="D104" s="107">
        <v>2420</v>
      </c>
      <c r="E104" s="107">
        <v>125</v>
      </c>
      <c r="F104" s="107" t="s">
        <v>8720</v>
      </c>
      <c r="G104" s="107"/>
      <c r="H104" s="107">
        <v>1</v>
      </c>
      <c r="I104" s="107">
        <v>3</v>
      </c>
      <c r="J104" s="107"/>
      <c r="K104" s="107"/>
    </row>
    <row r="105" spans="1:11" x14ac:dyDescent="0.25">
      <c r="A105" s="104">
        <v>44</v>
      </c>
      <c r="B105" s="104">
        <v>8</v>
      </c>
      <c r="C105" s="107">
        <v>2</v>
      </c>
      <c r="D105" s="107">
        <v>2420</v>
      </c>
      <c r="E105" s="107">
        <v>135</v>
      </c>
      <c r="F105" s="107" t="s">
        <v>8720</v>
      </c>
      <c r="G105" s="107"/>
      <c r="H105" s="107">
        <v>1</v>
      </c>
      <c r="I105" s="107">
        <v>3</v>
      </c>
      <c r="J105" s="107"/>
      <c r="K105" s="107"/>
    </row>
    <row r="106" spans="1:11" x14ac:dyDescent="0.25">
      <c r="A106" s="104">
        <v>44</v>
      </c>
      <c r="B106" s="104">
        <v>8</v>
      </c>
      <c r="C106" s="107">
        <v>2</v>
      </c>
      <c r="D106" s="107">
        <v>2420</v>
      </c>
      <c r="E106" s="107">
        <v>95</v>
      </c>
      <c r="F106" s="107" t="s">
        <v>8721</v>
      </c>
      <c r="G106" s="107"/>
      <c r="H106" s="107">
        <v>1</v>
      </c>
      <c r="I106" s="107"/>
      <c r="J106" s="107"/>
      <c r="K106" s="107"/>
    </row>
    <row r="107" spans="1:11" x14ac:dyDescent="0.25">
      <c r="A107" s="104">
        <v>45</v>
      </c>
      <c r="B107" s="104">
        <v>16</v>
      </c>
      <c r="C107" s="107">
        <v>1</v>
      </c>
      <c r="D107" s="107">
        <v>1000</v>
      </c>
      <c r="E107" s="107">
        <v>95</v>
      </c>
      <c r="F107" s="107" t="s">
        <v>8721</v>
      </c>
      <c r="G107" s="107"/>
      <c r="H107" s="107">
        <v>1</v>
      </c>
      <c r="I107" s="107"/>
      <c r="J107" s="107"/>
      <c r="K107" s="107"/>
    </row>
    <row r="108" spans="1:11" x14ac:dyDescent="0.25">
      <c r="A108" s="104">
        <v>45</v>
      </c>
      <c r="B108" s="104">
        <v>16</v>
      </c>
      <c r="C108" s="107">
        <v>1</v>
      </c>
      <c r="D108" s="107">
        <v>1000</v>
      </c>
      <c r="E108" s="107">
        <v>135</v>
      </c>
      <c r="F108" s="107" t="s">
        <v>8720</v>
      </c>
      <c r="G108" s="107"/>
      <c r="H108" s="107">
        <v>1</v>
      </c>
      <c r="I108" s="107">
        <v>3</v>
      </c>
      <c r="J108" s="107"/>
      <c r="K108" s="107"/>
    </row>
    <row r="109" spans="1:11" x14ac:dyDescent="0.25">
      <c r="A109" s="104">
        <v>45</v>
      </c>
      <c r="B109" s="104">
        <v>16</v>
      </c>
      <c r="C109" s="107">
        <v>1</v>
      </c>
      <c r="D109" s="107">
        <v>1000</v>
      </c>
      <c r="E109" s="107">
        <v>85</v>
      </c>
      <c r="F109" s="107" t="s">
        <v>8721</v>
      </c>
      <c r="G109" s="107"/>
      <c r="H109" s="107">
        <v>1</v>
      </c>
      <c r="I109" s="107"/>
      <c r="J109" s="107"/>
      <c r="K109" s="107"/>
    </row>
    <row r="110" spans="1:11" x14ac:dyDescent="0.25">
      <c r="A110" s="104">
        <v>45</v>
      </c>
      <c r="B110" s="104">
        <v>16</v>
      </c>
      <c r="C110" s="107">
        <v>1</v>
      </c>
      <c r="D110" s="107">
        <v>1000</v>
      </c>
      <c r="E110" s="107">
        <v>125</v>
      </c>
      <c r="F110" s="107" t="s">
        <v>8720</v>
      </c>
      <c r="G110" s="107"/>
      <c r="H110" s="107">
        <v>1</v>
      </c>
      <c r="I110" s="107">
        <v>3</v>
      </c>
      <c r="J110" s="107"/>
      <c r="K110" s="107"/>
    </row>
    <row r="111" spans="1:11" x14ac:dyDescent="0.25">
      <c r="A111" s="104">
        <v>45</v>
      </c>
      <c r="B111" s="104">
        <v>16</v>
      </c>
      <c r="C111" s="107">
        <v>1</v>
      </c>
      <c r="D111" s="107">
        <v>1000</v>
      </c>
      <c r="E111" s="107">
        <v>135</v>
      </c>
      <c r="F111" s="107" t="s">
        <v>8720</v>
      </c>
      <c r="G111" s="107"/>
      <c r="H111" s="107">
        <v>1</v>
      </c>
      <c r="I111" s="107">
        <v>3</v>
      </c>
      <c r="J111" s="107"/>
      <c r="K111" s="107"/>
    </row>
    <row r="112" spans="1:11" x14ac:dyDescent="0.25">
      <c r="A112" s="104">
        <v>45</v>
      </c>
      <c r="B112" s="104">
        <v>16</v>
      </c>
      <c r="C112" s="107">
        <v>1</v>
      </c>
      <c r="D112" s="107">
        <v>1000</v>
      </c>
      <c r="E112" s="107">
        <v>95</v>
      </c>
      <c r="F112" s="107" t="s">
        <v>8721</v>
      </c>
      <c r="G112" s="107"/>
      <c r="H112" s="107">
        <v>1</v>
      </c>
      <c r="I112" s="107"/>
      <c r="J112" s="107"/>
      <c r="K112" s="107"/>
    </row>
    <row r="113" spans="1:11" x14ac:dyDescent="0.25">
      <c r="A113" s="104">
        <v>45</v>
      </c>
      <c r="B113" s="104">
        <v>16</v>
      </c>
      <c r="C113" s="107">
        <v>1</v>
      </c>
      <c r="D113" s="107">
        <v>1000</v>
      </c>
      <c r="E113" s="107">
        <v>125</v>
      </c>
      <c r="F113" s="107" t="s">
        <v>8720</v>
      </c>
      <c r="G113" s="107"/>
      <c r="H113" s="107">
        <v>1</v>
      </c>
      <c r="I113" s="107">
        <v>3</v>
      </c>
      <c r="J113" s="107"/>
      <c r="K113" s="107"/>
    </row>
    <row r="114" spans="1:11" x14ac:dyDescent="0.25">
      <c r="A114" s="104">
        <v>45</v>
      </c>
      <c r="B114" s="104">
        <v>16</v>
      </c>
      <c r="C114" s="107">
        <v>1</v>
      </c>
      <c r="D114" s="107">
        <v>1000</v>
      </c>
      <c r="E114" s="107">
        <v>85</v>
      </c>
      <c r="F114" s="107" t="s">
        <v>8721</v>
      </c>
      <c r="G114" s="107"/>
      <c r="H114" s="107">
        <v>1</v>
      </c>
      <c r="I114" s="107"/>
      <c r="J114" s="107"/>
      <c r="K114" s="107"/>
    </row>
    <row r="115" spans="1:11" x14ac:dyDescent="0.25">
      <c r="A115" s="104">
        <v>45</v>
      </c>
      <c r="B115" s="104">
        <v>16</v>
      </c>
      <c r="C115" s="107">
        <v>1</v>
      </c>
      <c r="D115" s="107">
        <v>1000</v>
      </c>
      <c r="E115" s="107">
        <v>125</v>
      </c>
      <c r="F115" s="107" t="s">
        <v>8720</v>
      </c>
      <c r="G115" s="107"/>
      <c r="H115" s="107">
        <v>1</v>
      </c>
      <c r="I115" s="107">
        <v>3</v>
      </c>
      <c r="J115" s="107"/>
      <c r="K115" s="107"/>
    </row>
    <row r="116" spans="1:11" x14ac:dyDescent="0.25">
      <c r="A116" s="104">
        <v>45</v>
      </c>
      <c r="B116" s="104">
        <v>16</v>
      </c>
      <c r="C116" s="107">
        <v>1</v>
      </c>
      <c r="D116" s="107">
        <v>1000</v>
      </c>
      <c r="E116" s="107">
        <v>85</v>
      </c>
      <c r="F116" s="107" t="s">
        <v>8721</v>
      </c>
      <c r="G116" s="107"/>
      <c r="H116" s="107">
        <v>1</v>
      </c>
      <c r="I116" s="107"/>
      <c r="J116" s="107"/>
      <c r="K116" s="107"/>
    </row>
    <row r="117" spans="1:11" x14ac:dyDescent="0.25">
      <c r="A117" s="104">
        <v>45</v>
      </c>
      <c r="B117" s="104">
        <v>16</v>
      </c>
      <c r="C117" s="107">
        <v>1</v>
      </c>
      <c r="D117" s="107">
        <v>1000</v>
      </c>
      <c r="E117" s="107">
        <v>80</v>
      </c>
      <c r="F117" s="107" t="s">
        <v>8721</v>
      </c>
      <c r="G117" s="107"/>
      <c r="H117" s="107">
        <v>1</v>
      </c>
      <c r="I117" s="107"/>
      <c r="J117" s="107"/>
      <c r="K117" s="107"/>
    </row>
    <row r="118" spans="1:11" x14ac:dyDescent="0.25">
      <c r="A118" s="104">
        <v>45</v>
      </c>
      <c r="B118" s="104">
        <v>16</v>
      </c>
      <c r="C118" s="107">
        <v>1</v>
      </c>
      <c r="D118" s="107">
        <v>1000</v>
      </c>
      <c r="E118" s="107">
        <v>120</v>
      </c>
      <c r="F118" s="107" t="s">
        <v>8720</v>
      </c>
      <c r="G118" s="107"/>
      <c r="H118" s="107">
        <v>1</v>
      </c>
      <c r="I118" s="107">
        <v>3</v>
      </c>
      <c r="J118" s="107"/>
      <c r="K118" s="107"/>
    </row>
    <row r="119" spans="1:11" x14ac:dyDescent="0.25">
      <c r="A119" s="104">
        <v>45</v>
      </c>
      <c r="B119" s="104">
        <v>16</v>
      </c>
      <c r="C119" s="107">
        <v>1</v>
      </c>
      <c r="D119" s="107">
        <v>1000</v>
      </c>
      <c r="E119" s="107">
        <v>125</v>
      </c>
      <c r="F119" s="107" t="s">
        <v>8720</v>
      </c>
      <c r="G119" s="107"/>
      <c r="H119" s="107">
        <v>1</v>
      </c>
      <c r="I119" s="107">
        <v>3</v>
      </c>
      <c r="J119" s="107"/>
      <c r="K119" s="107"/>
    </row>
    <row r="120" spans="1:11" x14ac:dyDescent="0.25">
      <c r="A120" s="104">
        <v>45</v>
      </c>
      <c r="B120" s="104">
        <v>16</v>
      </c>
      <c r="C120" s="107">
        <v>1</v>
      </c>
      <c r="D120" s="107">
        <v>1000</v>
      </c>
      <c r="E120" s="107">
        <v>85</v>
      </c>
      <c r="F120" s="107" t="s">
        <v>8721</v>
      </c>
      <c r="G120" s="107"/>
      <c r="H120" s="107">
        <v>1</v>
      </c>
      <c r="I120" s="107"/>
      <c r="J120" s="107"/>
      <c r="K120" s="107"/>
    </row>
    <row r="121" spans="1:11" x14ac:dyDescent="0.25">
      <c r="A121" s="104">
        <v>45</v>
      </c>
      <c r="B121" s="104">
        <v>16</v>
      </c>
      <c r="C121" s="107">
        <v>1</v>
      </c>
      <c r="D121" s="107">
        <v>1000</v>
      </c>
      <c r="E121" s="107">
        <v>135</v>
      </c>
      <c r="F121" s="107" t="s">
        <v>8720</v>
      </c>
      <c r="G121" s="107"/>
      <c r="H121" s="107">
        <v>1</v>
      </c>
      <c r="I121" s="107">
        <v>3</v>
      </c>
      <c r="J121" s="107"/>
      <c r="K121" s="107"/>
    </row>
    <row r="122" spans="1:11" x14ac:dyDescent="0.25">
      <c r="A122" s="104">
        <v>45</v>
      </c>
      <c r="B122" s="104">
        <v>16</v>
      </c>
      <c r="C122" s="107">
        <v>1</v>
      </c>
      <c r="D122" s="107">
        <v>1000</v>
      </c>
      <c r="E122" s="107">
        <v>95</v>
      </c>
      <c r="F122" s="107" t="s">
        <v>8721</v>
      </c>
      <c r="G122" s="107"/>
      <c r="H122" s="107">
        <v>1</v>
      </c>
      <c r="I122" s="107"/>
      <c r="J122" s="107"/>
      <c r="K122" s="107"/>
    </row>
    <row r="123" spans="1:11" x14ac:dyDescent="0.25">
      <c r="A123" s="104">
        <v>46</v>
      </c>
      <c r="B123" s="104">
        <v>6</v>
      </c>
      <c r="C123" s="107">
        <v>2</v>
      </c>
      <c r="D123" s="107">
        <v>815</v>
      </c>
      <c r="E123" s="107">
        <v>50</v>
      </c>
      <c r="F123" s="107" t="s">
        <v>8725</v>
      </c>
      <c r="G123" s="107"/>
      <c r="H123" s="107"/>
      <c r="I123" s="107"/>
      <c r="J123" s="107"/>
      <c r="K123" s="107"/>
    </row>
    <row r="124" spans="1:11" x14ac:dyDescent="0.25">
      <c r="A124" s="104">
        <v>46</v>
      </c>
      <c r="B124" s="104">
        <v>6</v>
      </c>
      <c r="C124" s="107">
        <v>2</v>
      </c>
      <c r="D124" s="107">
        <v>815</v>
      </c>
      <c r="E124" s="107">
        <v>520</v>
      </c>
      <c r="F124" s="107" t="s">
        <v>8724</v>
      </c>
      <c r="G124" s="107"/>
      <c r="H124" s="107">
        <v>3</v>
      </c>
      <c r="I124" s="107"/>
      <c r="J124" s="107"/>
      <c r="K124" s="107"/>
    </row>
    <row r="125" spans="1:11" x14ac:dyDescent="0.25">
      <c r="A125" s="104">
        <v>46</v>
      </c>
      <c r="B125" s="104">
        <v>6</v>
      </c>
      <c r="C125" s="107">
        <v>1</v>
      </c>
      <c r="D125" s="107">
        <v>1800</v>
      </c>
      <c r="E125" s="107">
        <v>80</v>
      </c>
      <c r="F125" s="107" t="s">
        <v>8725</v>
      </c>
      <c r="G125" s="107"/>
      <c r="H125" s="107"/>
      <c r="I125" s="107"/>
      <c r="J125" s="107"/>
      <c r="K125" s="107"/>
    </row>
    <row r="126" spans="1:11" x14ac:dyDescent="0.25">
      <c r="A126" s="104">
        <v>46</v>
      </c>
      <c r="B126" s="104">
        <v>6</v>
      </c>
      <c r="C126" s="107">
        <v>1</v>
      </c>
      <c r="D126" s="107">
        <v>1800</v>
      </c>
      <c r="E126" s="107">
        <v>600</v>
      </c>
      <c r="F126" s="107" t="s">
        <v>8724</v>
      </c>
      <c r="G126" s="107"/>
      <c r="H126" s="107">
        <v>3</v>
      </c>
      <c r="I126" s="107"/>
      <c r="J126" s="107"/>
      <c r="K126" s="107"/>
    </row>
    <row r="127" spans="1:11" x14ac:dyDescent="0.25">
      <c r="A127" s="104">
        <v>47</v>
      </c>
      <c r="B127" s="104">
        <v>4</v>
      </c>
      <c r="C127" s="107">
        <v>2</v>
      </c>
      <c r="D127" s="107">
        <v>1045</v>
      </c>
      <c r="E127" s="107">
        <v>50</v>
      </c>
      <c r="F127" s="107" t="s">
        <v>8721</v>
      </c>
      <c r="G127" s="107"/>
      <c r="H127" s="107"/>
      <c r="I127" s="107"/>
      <c r="J127" s="107"/>
      <c r="K127" s="107"/>
    </row>
    <row r="128" spans="1:11" x14ac:dyDescent="0.25">
      <c r="A128" s="104">
        <v>47</v>
      </c>
      <c r="B128" s="104">
        <v>4</v>
      </c>
      <c r="C128" s="107">
        <v>2</v>
      </c>
      <c r="D128" s="107">
        <v>1045</v>
      </c>
      <c r="E128" s="107">
        <v>500</v>
      </c>
      <c r="F128" s="107" t="s">
        <v>8720</v>
      </c>
      <c r="G128" s="107"/>
      <c r="H128" s="107">
        <v>3</v>
      </c>
      <c r="I128" s="107">
        <v>3</v>
      </c>
      <c r="J128" s="107"/>
      <c r="K128" s="107"/>
    </row>
    <row r="129" spans="1:11" x14ac:dyDescent="0.25">
      <c r="A129" s="104"/>
      <c r="B129" s="104"/>
      <c r="C129" s="107"/>
      <c r="D129" s="107"/>
      <c r="E129" s="107"/>
      <c r="F129" s="107"/>
      <c r="G129" s="107"/>
      <c r="H129" s="107"/>
      <c r="I129" s="107"/>
      <c r="J129" s="107"/>
      <c r="K129" s="107"/>
    </row>
    <row r="130" spans="1:11" x14ac:dyDescent="0.25">
      <c r="A130" s="104"/>
      <c r="B130" s="104"/>
      <c r="C130" s="107"/>
      <c r="D130" s="107"/>
      <c r="E130" s="107"/>
      <c r="F130" s="107"/>
      <c r="G130" s="107"/>
      <c r="H130" s="107"/>
      <c r="I130" s="107"/>
      <c r="J130" s="107"/>
      <c r="K130" s="107"/>
    </row>
    <row r="131" spans="1:11" ht="18.75" x14ac:dyDescent="0.3">
      <c r="A131" s="174" t="s">
        <v>8779</v>
      </c>
      <c r="B131" s="173"/>
      <c r="C131" s="173"/>
      <c r="D131" s="173"/>
      <c r="E131" s="173"/>
      <c r="F131" s="173"/>
      <c r="G131" s="173"/>
      <c r="H131" s="173"/>
      <c r="I131" s="173"/>
      <c r="J131" s="173"/>
      <c r="K131" s="173"/>
    </row>
    <row r="132" spans="1:11" ht="18.75" x14ac:dyDescent="0.3">
      <c r="A132" s="174" t="s">
        <v>8780</v>
      </c>
      <c r="B132" s="173"/>
      <c r="C132" s="173"/>
      <c r="D132" s="173"/>
      <c r="E132" s="173"/>
      <c r="F132" s="173"/>
      <c r="G132" s="173"/>
      <c r="H132" s="173"/>
      <c r="I132" s="173"/>
      <c r="J132" s="173"/>
      <c r="K132" s="173"/>
    </row>
  </sheetData>
  <mergeCells count="3">
    <mergeCell ref="A1:K1"/>
    <mergeCell ref="A131:K131"/>
    <mergeCell ref="A132:K1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38"/>
  <sheetViews>
    <sheetView topLeftCell="A12" workbookViewId="0">
      <selection activeCell="C10" activeCellId="1" sqref="A10:A34 C10:K34"/>
    </sheetView>
  </sheetViews>
  <sheetFormatPr baseColWidth="10" defaultRowHeight="15" x14ac:dyDescent="0.25"/>
  <cols>
    <col min="1" max="1" width="22.5703125" style="98" bestFit="1" customWidth="1"/>
    <col min="2" max="2" width="39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8781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4503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4504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3.5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 t="s">
        <v>2807</v>
      </c>
      <c r="F7" s="103" t="s">
        <v>2808</v>
      </c>
      <c r="G7" s="103">
        <v>40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>
        <v>1</v>
      </c>
      <c r="B10" s="104">
        <v>6</v>
      </c>
      <c r="C10" s="107">
        <v>6</v>
      </c>
      <c r="D10" s="107">
        <v>2420</v>
      </c>
      <c r="E10" s="107">
        <v>50</v>
      </c>
      <c r="F10" s="107" t="s">
        <v>8717</v>
      </c>
      <c r="G10" s="107"/>
      <c r="H10" s="107"/>
      <c r="I10" s="107"/>
      <c r="J10" s="107"/>
      <c r="K10" s="107"/>
    </row>
    <row r="11" spans="1:11" x14ac:dyDescent="0.25">
      <c r="A11" s="104">
        <v>2</v>
      </c>
      <c r="B11" s="104">
        <v>2</v>
      </c>
      <c r="C11" s="107">
        <v>2</v>
      </c>
      <c r="D11" s="107">
        <v>1840</v>
      </c>
      <c r="E11" s="107">
        <v>525</v>
      </c>
      <c r="F11" s="107" t="s">
        <v>8723</v>
      </c>
      <c r="G11" s="107"/>
      <c r="H11" s="107">
        <v>2</v>
      </c>
      <c r="I11" s="107">
        <v>2</v>
      </c>
      <c r="J11" s="107">
        <v>2</v>
      </c>
      <c r="K11" s="107">
        <v>2</v>
      </c>
    </row>
    <row r="12" spans="1:11" x14ac:dyDescent="0.25">
      <c r="A12" s="104">
        <v>3</v>
      </c>
      <c r="B12" s="104">
        <v>3</v>
      </c>
      <c r="C12" s="107">
        <v>1</v>
      </c>
      <c r="D12" s="107">
        <v>1390</v>
      </c>
      <c r="E12" s="107">
        <v>550</v>
      </c>
      <c r="F12" s="107"/>
      <c r="G12" s="107"/>
      <c r="H12" s="107">
        <v>1</v>
      </c>
      <c r="I12" s="107"/>
      <c r="J12" s="107"/>
      <c r="K12" s="107"/>
    </row>
    <row r="13" spans="1:11" x14ac:dyDescent="0.25">
      <c r="A13" s="104">
        <v>3</v>
      </c>
      <c r="B13" s="104">
        <v>3</v>
      </c>
      <c r="C13" s="107">
        <v>1</v>
      </c>
      <c r="D13" s="107">
        <v>1390</v>
      </c>
      <c r="E13" s="107">
        <v>400</v>
      </c>
      <c r="F13" s="107"/>
      <c r="G13" s="107"/>
      <c r="H13" s="107">
        <v>1</v>
      </c>
      <c r="I13" s="107"/>
      <c r="J13" s="107"/>
      <c r="K13" s="107"/>
    </row>
    <row r="14" spans="1:11" x14ac:dyDescent="0.25">
      <c r="A14" s="104">
        <v>3</v>
      </c>
      <c r="B14" s="104">
        <v>3</v>
      </c>
      <c r="C14" s="107">
        <v>1</v>
      </c>
      <c r="D14" s="107">
        <v>1260</v>
      </c>
      <c r="E14" s="107">
        <v>480</v>
      </c>
      <c r="F14" s="107"/>
      <c r="G14" s="107"/>
      <c r="H14" s="107">
        <v>2</v>
      </c>
      <c r="I14" s="107"/>
      <c r="J14" s="107"/>
      <c r="K14" s="107"/>
    </row>
    <row r="15" spans="1:11" x14ac:dyDescent="0.25">
      <c r="A15" s="104">
        <v>4</v>
      </c>
      <c r="B15" s="104">
        <v>2</v>
      </c>
      <c r="C15" s="107">
        <v>2</v>
      </c>
      <c r="D15" s="107">
        <v>1260</v>
      </c>
      <c r="E15" s="107">
        <v>300</v>
      </c>
      <c r="F15" s="107" t="s">
        <v>8715</v>
      </c>
      <c r="G15" s="107"/>
      <c r="H15" s="107">
        <v>1</v>
      </c>
      <c r="I15" s="107"/>
      <c r="J15" s="107"/>
      <c r="K15" s="107"/>
    </row>
    <row r="16" spans="1:11" x14ac:dyDescent="0.25">
      <c r="A16" s="104" t="s">
        <v>8782</v>
      </c>
      <c r="B16" s="104" t="s">
        <v>8783</v>
      </c>
      <c r="C16" s="107">
        <v>6</v>
      </c>
      <c r="D16" s="107">
        <v>975</v>
      </c>
      <c r="E16" s="107">
        <v>730</v>
      </c>
      <c r="F16" s="107"/>
      <c r="G16" s="107"/>
      <c r="H16" s="107"/>
      <c r="I16" s="107"/>
      <c r="J16" s="107"/>
      <c r="K16" s="107"/>
    </row>
    <row r="17" spans="1:11" x14ac:dyDescent="0.25">
      <c r="A17" s="104">
        <v>7</v>
      </c>
      <c r="B17" s="104">
        <v>9</v>
      </c>
      <c r="C17" s="107">
        <v>2</v>
      </c>
      <c r="D17" s="107">
        <v>270</v>
      </c>
      <c r="E17" s="107">
        <v>925</v>
      </c>
      <c r="F17" s="107"/>
      <c r="G17" s="107"/>
      <c r="H17" s="107">
        <v>2</v>
      </c>
      <c r="I17" s="107">
        <v>2</v>
      </c>
      <c r="J17" s="107">
        <v>2</v>
      </c>
      <c r="K17" s="107">
        <v>2</v>
      </c>
    </row>
    <row r="18" spans="1:11" x14ac:dyDescent="0.25">
      <c r="A18" s="104">
        <v>7</v>
      </c>
      <c r="B18" s="104">
        <v>9</v>
      </c>
      <c r="C18" s="107">
        <v>2</v>
      </c>
      <c r="D18" s="107">
        <v>450</v>
      </c>
      <c r="E18" s="107">
        <v>900</v>
      </c>
      <c r="F18" s="107" t="s">
        <v>8736</v>
      </c>
      <c r="G18" s="107"/>
      <c r="H18" s="107">
        <v>2</v>
      </c>
      <c r="I18" s="107">
        <v>2</v>
      </c>
      <c r="J18" s="107">
        <v>2</v>
      </c>
      <c r="K18" s="107">
        <v>2</v>
      </c>
    </row>
    <row r="19" spans="1:11" x14ac:dyDescent="0.25">
      <c r="A19" s="104">
        <v>7</v>
      </c>
      <c r="B19" s="104">
        <v>9</v>
      </c>
      <c r="C19" s="107">
        <v>4</v>
      </c>
      <c r="D19" s="107">
        <v>873</v>
      </c>
      <c r="E19" s="107">
        <v>220</v>
      </c>
      <c r="F19" s="107" t="s">
        <v>8722</v>
      </c>
      <c r="G19" s="107"/>
      <c r="H19" s="107">
        <v>1</v>
      </c>
      <c r="I19" s="107">
        <v>1</v>
      </c>
      <c r="J19" s="107"/>
      <c r="K19" s="107"/>
    </row>
    <row r="20" spans="1:11" x14ac:dyDescent="0.25">
      <c r="A20" s="104">
        <v>7</v>
      </c>
      <c r="B20" s="104">
        <v>9</v>
      </c>
      <c r="C20" s="107">
        <v>1</v>
      </c>
      <c r="D20" s="107">
        <v>195</v>
      </c>
      <c r="E20" s="107">
        <v>790</v>
      </c>
      <c r="F20" s="107"/>
      <c r="G20" s="107"/>
      <c r="H20" s="107">
        <v>2</v>
      </c>
      <c r="I20" s="107">
        <v>2</v>
      </c>
      <c r="J20" s="107">
        <v>2</v>
      </c>
      <c r="K20" s="107">
        <v>2</v>
      </c>
    </row>
    <row r="21" spans="1:11" x14ac:dyDescent="0.25">
      <c r="A21" s="104">
        <v>8</v>
      </c>
      <c r="B21" s="104">
        <v>17</v>
      </c>
      <c r="C21" s="107">
        <v>2</v>
      </c>
      <c r="D21" s="107">
        <v>190</v>
      </c>
      <c r="E21" s="107">
        <v>790</v>
      </c>
      <c r="F21" s="107"/>
      <c r="G21" s="107"/>
      <c r="H21" s="107">
        <v>2</v>
      </c>
      <c r="I21" s="107">
        <v>2</v>
      </c>
      <c r="J21" s="107">
        <v>2</v>
      </c>
      <c r="K21" s="107">
        <v>2</v>
      </c>
    </row>
    <row r="22" spans="1:11" x14ac:dyDescent="0.25">
      <c r="A22" s="104">
        <v>8</v>
      </c>
      <c r="B22" s="104">
        <v>17</v>
      </c>
      <c r="C22" s="107">
        <v>4</v>
      </c>
      <c r="D22" s="107">
        <v>740</v>
      </c>
      <c r="E22" s="107">
        <v>140</v>
      </c>
      <c r="F22" s="107" t="s">
        <v>8734</v>
      </c>
      <c r="G22" s="107"/>
      <c r="H22" s="107">
        <v>1</v>
      </c>
      <c r="I22" s="107">
        <v>1</v>
      </c>
      <c r="J22" s="107"/>
      <c r="K22" s="107"/>
    </row>
    <row r="23" spans="1:11" x14ac:dyDescent="0.25">
      <c r="A23" s="104">
        <v>8</v>
      </c>
      <c r="B23" s="104">
        <v>17</v>
      </c>
      <c r="C23" s="107">
        <v>2</v>
      </c>
      <c r="D23" s="107">
        <v>670</v>
      </c>
      <c r="E23" s="107">
        <v>685</v>
      </c>
      <c r="F23" s="107" t="s">
        <v>8735</v>
      </c>
      <c r="G23" s="107"/>
      <c r="H23" s="107">
        <v>2</v>
      </c>
      <c r="I23" s="107">
        <v>2</v>
      </c>
      <c r="J23" s="107">
        <v>2</v>
      </c>
      <c r="K23" s="107">
        <v>2</v>
      </c>
    </row>
    <row r="24" spans="1:11" x14ac:dyDescent="0.25">
      <c r="A24" s="104">
        <v>8</v>
      </c>
      <c r="B24" s="104">
        <v>17</v>
      </c>
      <c r="C24" s="107">
        <v>2</v>
      </c>
      <c r="D24" s="107">
        <v>120</v>
      </c>
      <c r="E24" s="107">
        <v>625</v>
      </c>
      <c r="F24" s="107"/>
      <c r="G24" s="107"/>
      <c r="H24" s="107">
        <v>2</v>
      </c>
      <c r="I24" s="107">
        <v>2</v>
      </c>
      <c r="J24" s="107">
        <v>2</v>
      </c>
      <c r="K24" s="107">
        <v>2</v>
      </c>
    </row>
    <row r="25" spans="1:11" x14ac:dyDescent="0.25">
      <c r="A25" s="104">
        <v>8</v>
      </c>
      <c r="B25" s="104">
        <v>17</v>
      </c>
      <c r="C25" s="107">
        <v>4</v>
      </c>
      <c r="D25" s="107">
        <v>552</v>
      </c>
      <c r="E25" s="107">
        <v>90</v>
      </c>
      <c r="F25" s="107" t="s">
        <v>8732</v>
      </c>
      <c r="G25" s="107"/>
      <c r="H25" s="107">
        <v>1</v>
      </c>
      <c r="I25" s="107">
        <v>1</v>
      </c>
      <c r="J25" s="107"/>
      <c r="K25" s="107"/>
    </row>
    <row r="26" spans="1:11" x14ac:dyDescent="0.25">
      <c r="A26" s="104">
        <v>8</v>
      </c>
      <c r="B26" s="104">
        <v>17</v>
      </c>
      <c r="C26" s="107">
        <v>3</v>
      </c>
      <c r="D26" s="107">
        <v>140</v>
      </c>
      <c r="E26" s="107">
        <v>550</v>
      </c>
      <c r="F26" s="107"/>
      <c r="G26" s="107"/>
      <c r="H26" s="107"/>
      <c r="I26" s="107"/>
      <c r="J26" s="107"/>
      <c r="K26" s="107"/>
    </row>
    <row r="27" spans="1:11" x14ac:dyDescent="0.25">
      <c r="A27" s="104">
        <v>9</v>
      </c>
      <c r="B27" s="104">
        <v>23</v>
      </c>
      <c r="C27" s="107">
        <v>2</v>
      </c>
      <c r="D27" s="107">
        <v>195</v>
      </c>
      <c r="E27" s="107">
        <v>540</v>
      </c>
      <c r="F27" s="107"/>
      <c r="G27" s="107"/>
      <c r="H27" s="107">
        <v>2</v>
      </c>
      <c r="I27" s="107">
        <v>2</v>
      </c>
      <c r="J27" s="107">
        <v>2</v>
      </c>
      <c r="K27" s="107">
        <v>2</v>
      </c>
    </row>
    <row r="28" spans="1:11" x14ac:dyDescent="0.25">
      <c r="A28" s="104">
        <v>9</v>
      </c>
      <c r="B28" s="104">
        <v>23</v>
      </c>
      <c r="C28" s="107">
        <v>3</v>
      </c>
      <c r="D28" s="107">
        <v>195</v>
      </c>
      <c r="E28" s="107">
        <v>480</v>
      </c>
      <c r="F28" s="107"/>
      <c r="G28" s="107"/>
      <c r="H28" s="107">
        <v>2</v>
      </c>
      <c r="I28" s="107">
        <v>2</v>
      </c>
      <c r="J28" s="107">
        <v>2</v>
      </c>
      <c r="K28" s="107">
        <v>2</v>
      </c>
    </row>
    <row r="29" spans="1:11" x14ac:dyDescent="0.25">
      <c r="A29" s="104">
        <v>9</v>
      </c>
      <c r="B29" s="104">
        <v>23</v>
      </c>
      <c r="C29" s="107">
        <v>3</v>
      </c>
      <c r="D29" s="107">
        <v>120</v>
      </c>
      <c r="E29" s="107">
        <v>480</v>
      </c>
      <c r="F29" s="107"/>
      <c r="G29" s="107"/>
      <c r="H29" s="107">
        <v>1</v>
      </c>
      <c r="I29" s="107"/>
      <c r="J29" s="107">
        <v>1</v>
      </c>
      <c r="K29" s="107"/>
    </row>
    <row r="30" spans="1:11" x14ac:dyDescent="0.25">
      <c r="A30" s="104">
        <v>9</v>
      </c>
      <c r="B30" s="104">
        <v>23</v>
      </c>
      <c r="C30" s="107">
        <v>4</v>
      </c>
      <c r="D30" s="107">
        <v>450</v>
      </c>
      <c r="E30" s="107">
        <v>90</v>
      </c>
      <c r="F30" s="107" t="s">
        <v>8711</v>
      </c>
      <c r="G30" s="107"/>
      <c r="H30" s="107">
        <v>1</v>
      </c>
      <c r="I30" s="107">
        <v>1</v>
      </c>
      <c r="J30" s="107"/>
      <c r="K30" s="107"/>
    </row>
    <row r="31" spans="1:11" x14ac:dyDescent="0.25">
      <c r="A31" s="104">
        <v>9</v>
      </c>
      <c r="B31" s="104">
        <v>23</v>
      </c>
      <c r="C31" s="107">
        <v>4</v>
      </c>
      <c r="D31" s="107">
        <v>450</v>
      </c>
      <c r="E31" s="107">
        <v>140</v>
      </c>
      <c r="F31" s="107" t="s">
        <v>8708</v>
      </c>
      <c r="G31" s="107"/>
      <c r="H31" s="107">
        <v>1</v>
      </c>
      <c r="I31" s="107">
        <v>1</v>
      </c>
      <c r="J31" s="107"/>
      <c r="K31" s="107"/>
    </row>
    <row r="32" spans="1:11" x14ac:dyDescent="0.25">
      <c r="A32" s="104">
        <v>9</v>
      </c>
      <c r="B32" s="104">
        <v>23</v>
      </c>
      <c r="C32" s="107">
        <v>4</v>
      </c>
      <c r="D32" s="107">
        <v>450</v>
      </c>
      <c r="E32" s="107">
        <v>220</v>
      </c>
      <c r="F32" s="107" t="s">
        <v>8708</v>
      </c>
      <c r="G32" s="107"/>
      <c r="H32" s="107">
        <v>1</v>
      </c>
      <c r="I32" s="107">
        <v>1</v>
      </c>
      <c r="J32" s="107"/>
      <c r="K32" s="107"/>
    </row>
    <row r="33" spans="1:11" x14ac:dyDescent="0.25">
      <c r="A33" s="104">
        <v>9</v>
      </c>
      <c r="B33" s="104">
        <v>23</v>
      </c>
      <c r="C33" s="107">
        <v>2</v>
      </c>
      <c r="D33" s="107">
        <v>250</v>
      </c>
      <c r="E33" s="107">
        <v>300</v>
      </c>
      <c r="F33" s="107" t="s">
        <v>8733</v>
      </c>
      <c r="G33" s="107"/>
      <c r="H33" s="107">
        <v>1</v>
      </c>
      <c r="I33" s="107"/>
      <c r="J33" s="107"/>
      <c r="K33" s="107"/>
    </row>
    <row r="34" spans="1:11" x14ac:dyDescent="0.25">
      <c r="A34" s="104">
        <v>9</v>
      </c>
      <c r="B34" s="104">
        <v>23</v>
      </c>
      <c r="C34" s="107">
        <v>1</v>
      </c>
      <c r="D34" s="107">
        <v>250</v>
      </c>
      <c r="E34" s="107">
        <v>278</v>
      </c>
      <c r="F34" s="107"/>
      <c r="G34" s="107"/>
      <c r="H34" s="107">
        <v>1</v>
      </c>
      <c r="I34" s="107"/>
      <c r="J34" s="107"/>
      <c r="K34" s="107"/>
    </row>
    <row r="35" spans="1:11" x14ac:dyDescent="0.25">
      <c r="A35" s="104"/>
      <c r="B35" s="104"/>
      <c r="C35" s="107"/>
      <c r="D35" s="107"/>
      <c r="E35" s="107"/>
      <c r="F35" s="107"/>
      <c r="G35" s="107"/>
      <c r="H35" s="107"/>
      <c r="I35" s="107"/>
      <c r="J35" s="107"/>
      <c r="K35" s="107"/>
    </row>
    <row r="36" spans="1:11" x14ac:dyDescent="0.25">
      <c r="A36" s="104"/>
      <c r="B36" s="104"/>
      <c r="C36" s="107"/>
      <c r="D36" s="107"/>
      <c r="E36" s="107"/>
      <c r="F36" s="107"/>
      <c r="G36" s="107"/>
      <c r="H36" s="107"/>
      <c r="I36" s="107"/>
      <c r="J36" s="107"/>
      <c r="K36" s="107"/>
    </row>
    <row r="37" spans="1:11" ht="18.75" x14ac:dyDescent="0.3">
      <c r="A37" s="174" t="s">
        <v>8784</v>
      </c>
      <c r="B37" s="173"/>
      <c r="C37" s="173"/>
      <c r="D37" s="173"/>
      <c r="E37" s="173"/>
      <c r="F37" s="173"/>
      <c r="G37" s="173"/>
      <c r="H37" s="173"/>
      <c r="I37" s="173"/>
      <c r="J37" s="173"/>
      <c r="K37" s="173"/>
    </row>
    <row r="38" spans="1:11" ht="18.75" x14ac:dyDescent="0.3">
      <c r="A38" s="174" t="s">
        <v>8785</v>
      </c>
      <c r="B38" s="173"/>
      <c r="C38" s="173"/>
      <c r="D38" s="173"/>
      <c r="E38" s="173"/>
      <c r="F38" s="173"/>
      <c r="G38" s="173"/>
      <c r="H38" s="173"/>
      <c r="I38" s="173"/>
      <c r="J38" s="173"/>
      <c r="K38" s="173"/>
    </row>
  </sheetData>
  <mergeCells count="3">
    <mergeCell ref="A1:K1"/>
    <mergeCell ref="A37:K37"/>
    <mergeCell ref="A38:K3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17"/>
  <sheetViews>
    <sheetView workbookViewId="0">
      <selection activeCell="C10" activeCellId="1" sqref="A10:A13 C10:K13"/>
    </sheetView>
  </sheetViews>
  <sheetFormatPr baseColWidth="10" defaultRowHeight="15" x14ac:dyDescent="0.25"/>
  <cols>
    <col min="1" max="1" width="22.5703125" style="98" bestFit="1" customWidth="1"/>
    <col min="2" max="2" width="39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8786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5084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5085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1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>
        <v>0</v>
      </c>
      <c r="F7" s="103"/>
      <c r="G7" s="103">
        <v>0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>
        <v>1</v>
      </c>
      <c r="B10" s="104">
        <v>7</v>
      </c>
      <c r="C10" s="107">
        <v>1</v>
      </c>
      <c r="D10" s="107">
        <v>1240</v>
      </c>
      <c r="E10" s="107">
        <v>260</v>
      </c>
      <c r="F10" s="107"/>
      <c r="G10" s="107"/>
      <c r="H10" s="107"/>
      <c r="I10" s="107"/>
      <c r="J10" s="107"/>
      <c r="K10" s="107"/>
    </row>
    <row r="11" spans="1:11" x14ac:dyDescent="0.25">
      <c r="A11" s="104">
        <v>1</v>
      </c>
      <c r="B11" s="104">
        <v>7</v>
      </c>
      <c r="C11" s="107">
        <v>2</v>
      </c>
      <c r="D11" s="107">
        <v>430</v>
      </c>
      <c r="E11" s="107">
        <v>883</v>
      </c>
      <c r="F11" s="107"/>
      <c r="G11" s="107"/>
      <c r="H11" s="107"/>
      <c r="I11" s="107"/>
      <c r="J11" s="107"/>
      <c r="K11" s="107"/>
    </row>
    <row r="12" spans="1:11" x14ac:dyDescent="0.25">
      <c r="A12" s="104">
        <v>1</v>
      </c>
      <c r="B12" s="104">
        <v>7</v>
      </c>
      <c r="C12" s="107">
        <v>2</v>
      </c>
      <c r="D12" s="107">
        <v>430</v>
      </c>
      <c r="E12" s="107">
        <v>750</v>
      </c>
      <c r="F12" s="107"/>
      <c r="G12" s="107"/>
      <c r="H12" s="107"/>
      <c r="I12" s="107"/>
      <c r="J12" s="107"/>
      <c r="K12" s="107"/>
    </row>
    <row r="13" spans="1:11" x14ac:dyDescent="0.25">
      <c r="A13" s="104">
        <v>1</v>
      </c>
      <c r="B13" s="104">
        <v>7</v>
      </c>
      <c r="C13" s="107">
        <v>2</v>
      </c>
      <c r="D13" s="107">
        <v>430</v>
      </c>
      <c r="E13" s="107">
        <v>562</v>
      </c>
      <c r="F13" s="107"/>
      <c r="G13" s="107"/>
      <c r="H13" s="107"/>
      <c r="I13" s="107"/>
      <c r="J13" s="107"/>
      <c r="K13" s="107"/>
    </row>
    <row r="14" spans="1:11" x14ac:dyDescent="0.25">
      <c r="A14" s="104"/>
      <c r="B14" s="104"/>
      <c r="C14" s="107"/>
      <c r="D14" s="107"/>
      <c r="E14" s="107"/>
      <c r="F14" s="107"/>
      <c r="G14" s="107"/>
      <c r="H14" s="107"/>
      <c r="I14" s="107"/>
      <c r="J14" s="107"/>
      <c r="K14" s="107"/>
    </row>
    <row r="15" spans="1:11" x14ac:dyDescent="0.25">
      <c r="A15" s="104"/>
      <c r="B15" s="104"/>
      <c r="C15" s="107"/>
      <c r="D15" s="107"/>
      <c r="E15" s="107"/>
      <c r="F15" s="107"/>
      <c r="G15" s="107"/>
      <c r="H15" s="107"/>
      <c r="I15" s="107"/>
      <c r="J15" s="107"/>
      <c r="K15" s="107"/>
    </row>
    <row r="16" spans="1:11" ht="18.75" x14ac:dyDescent="0.3">
      <c r="A16" s="174" t="s">
        <v>8787</v>
      </c>
      <c r="B16" s="173"/>
      <c r="C16" s="173"/>
      <c r="D16" s="173"/>
      <c r="E16" s="173"/>
      <c r="F16" s="173"/>
      <c r="G16" s="173"/>
      <c r="H16" s="173"/>
      <c r="I16" s="173"/>
      <c r="J16" s="173"/>
      <c r="K16" s="173"/>
    </row>
    <row r="17" spans="1:11" ht="18.75" x14ac:dyDescent="0.3">
      <c r="A17" s="174" t="s">
        <v>8788</v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</row>
  </sheetData>
  <mergeCells count="3">
    <mergeCell ref="A1:K1"/>
    <mergeCell ref="A16:K16"/>
    <mergeCell ref="A17:K1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2"/>
  <sheetViews>
    <sheetView workbookViewId="0">
      <selection activeCell="C10" activeCellId="1" sqref="A10:A18 C10:K18"/>
    </sheetView>
  </sheetViews>
  <sheetFormatPr baseColWidth="10" defaultRowHeight="15" x14ac:dyDescent="0.25"/>
  <cols>
    <col min="1" max="1" width="22.5703125" style="98" bestFit="1" customWidth="1"/>
    <col min="2" max="2" width="34.140625" style="98" bestFit="1" customWidth="1"/>
    <col min="3" max="3" width="10.28515625" bestFit="1" customWidth="1"/>
    <col min="4" max="4" width="7.140625" bestFit="1" customWidth="1"/>
    <col min="5" max="5" width="16.140625" bestFit="1" customWidth="1"/>
    <col min="6" max="6" width="54.140625" bestFit="1" customWidth="1"/>
    <col min="7" max="7" width="10.28515625" customWidth="1"/>
    <col min="8" max="9" width="2.85546875" bestFit="1" customWidth="1"/>
    <col min="10" max="11" width="3.28515625" bestFit="1" customWidth="1"/>
  </cols>
  <sheetData>
    <row r="1" spans="1:11" ht="27.95" customHeight="1" x14ac:dyDescent="0.3">
      <c r="A1" s="172" t="s">
        <v>8789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x14ac:dyDescent="0.25">
      <c r="A2" s="92" t="s">
        <v>5340</v>
      </c>
      <c r="B2" s="105" t="s">
        <v>4669</v>
      </c>
      <c r="C2" s="103"/>
      <c r="D2" s="103"/>
      <c r="E2" s="106" t="s">
        <v>5344</v>
      </c>
      <c r="F2" s="103" t="s">
        <v>5410</v>
      </c>
      <c r="G2" s="103"/>
      <c r="H2" s="107"/>
      <c r="I2" s="107"/>
      <c r="J2" s="107"/>
      <c r="K2" s="107"/>
    </row>
    <row r="3" spans="1:11" x14ac:dyDescent="0.25">
      <c r="A3" s="92" t="s">
        <v>5341</v>
      </c>
      <c r="B3" s="105" t="s">
        <v>4670</v>
      </c>
      <c r="C3" s="103"/>
      <c r="D3" s="103"/>
      <c r="E3" s="106" t="s">
        <v>5345</v>
      </c>
      <c r="F3" s="108">
        <v>46067.630555555559</v>
      </c>
      <c r="G3" s="103"/>
      <c r="H3" s="107"/>
      <c r="I3" s="107"/>
      <c r="J3" s="107"/>
      <c r="K3" s="107"/>
    </row>
    <row r="4" spans="1:11" x14ac:dyDescent="0.25">
      <c r="A4" s="92" t="s">
        <v>5342</v>
      </c>
      <c r="B4" s="105">
        <v>4</v>
      </c>
      <c r="C4" s="103"/>
      <c r="D4" s="103"/>
      <c r="E4" s="106" t="s">
        <v>5346</v>
      </c>
      <c r="F4" s="103" t="s">
        <v>8695</v>
      </c>
      <c r="G4" s="103"/>
      <c r="H4" s="107"/>
      <c r="I4" s="107"/>
      <c r="J4" s="107"/>
      <c r="K4" s="107"/>
    </row>
    <row r="5" spans="1:11" x14ac:dyDescent="0.25">
      <c r="A5" s="92" t="s">
        <v>5343</v>
      </c>
      <c r="B5" s="105" t="s">
        <v>6766</v>
      </c>
      <c r="C5" s="103"/>
      <c r="D5" s="103"/>
      <c r="E5" s="103"/>
      <c r="F5" s="103"/>
      <c r="G5" s="103"/>
      <c r="H5" s="107"/>
      <c r="I5" s="107"/>
      <c r="J5" s="107"/>
      <c r="K5" s="107"/>
    </row>
    <row r="6" spans="1:11" x14ac:dyDescent="0.25">
      <c r="A6" s="105"/>
      <c r="B6" s="105"/>
      <c r="C6" s="103"/>
      <c r="D6" s="103"/>
      <c r="E6" s="92" t="s">
        <v>5347</v>
      </c>
      <c r="F6" s="92" t="s">
        <v>5348</v>
      </c>
      <c r="G6" s="92" t="s">
        <v>0</v>
      </c>
      <c r="H6" s="107"/>
      <c r="I6" s="107"/>
      <c r="J6" s="107"/>
      <c r="K6" s="107"/>
    </row>
    <row r="7" spans="1:11" x14ac:dyDescent="0.25">
      <c r="A7" s="105"/>
      <c r="B7" s="105"/>
      <c r="C7" s="103"/>
      <c r="D7" s="103"/>
      <c r="E7" s="103" t="s">
        <v>3677</v>
      </c>
      <c r="F7" s="103" t="s">
        <v>8705</v>
      </c>
      <c r="G7" s="103">
        <v>59</v>
      </c>
      <c r="H7" s="107"/>
      <c r="I7" s="107"/>
      <c r="J7" s="107"/>
      <c r="K7" s="107"/>
    </row>
    <row r="8" spans="1:11" x14ac:dyDescent="0.25">
      <c r="A8" s="104"/>
      <c r="B8" s="104"/>
      <c r="C8" s="107"/>
      <c r="D8" s="107"/>
      <c r="E8" s="107"/>
      <c r="F8" s="107"/>
      <c r="G8" s="107"/>
      <c r="H8" s="107"/>
      <c r="I8" s="107"/>
      <c r="J8" s="107"/>
      <c r="K8" s="107"/>
    </row>
    <row r="9" spans="1:11" x14ac:dyDescent="0.25">
      <c r="A9" s="109" t="s">
        <v>5349</v>
      </c>
      <c r="B9" s="109" t="s">
        <v>5350</v>
      </c>
      <c r="C9" s="109" t="s">
        <v>0</v>
      </c>
      <c r="D9" s="109" t="s">
        <v>1</v>
      </c>
      <c r="E9" s="109" t="s">
        <v>2</v>
      </c>
      <c r="F9" s="109" t="s">
        <v>3</v>
      </c>
      <c r="G9" s="109" t="s">
        <v>5351</v>
      </c>
      <c r="H9" s="109" t="s">
        <v>5352</v>
      </c>
      <c r="I9" s="109" t="s">
        <v>5352</v>
      </c>
      <c r="J9" s="109" t="s">
        <v>5353</v>
      </c>
      <c r="K9" s="109" t="s">
        <v>5353</v>
      </c>
    </row>
    <row r="10" spans="1:11" x14ac:dyDescent="0.25">
      <c r="A10" s="104">
        <v>1</v>
      </c>
      <c r="B10" s="104">
        <v>1</v>
      </c>
      <c r="C10" s="107">
        <v>1</v>
      </c>
      <c r="D10" s="107">
        <v>2350</v>
      </c>
      <c r="E10" s="107">
        <v>850</v>
      </c>
      <c r="F10" s="107"/>
      <c r="G10" s="107"/>
      <c r="H10" s="107">
        <v>2</v>
      </c>
      <c r="I10" s="107">
        <v>2</v>
      </c>
      <c r="J10" s="107">
        <v>2</v>
      </c>
      <c r="K10" s="107">
        <v>2</v>
      </c>
    </row>
    <row r="11" spans="1:11" x14ac:dyDescent="0.25">
      <c r="A11" s="104">
        <v>2</v>
      </c>
      <c r="B11" s="104">
        <v>1</v>
      </c>
      <c r="C11" s="107">
        <v>1</v>
      </c>
      <c r="D11" s="107">
        <v>2350</v>
      </c>
      <c r="E11" s="107">
        <v>650</v>
      </c>
      <c r="F11" s="107"/>
      <c r="G11" s="107"/>
      <c r="H11" s="107">
        <v>2</v>
      </c>
      <c r="I11" s="107">
        <v>2</v>
      </c>
      <c r="J11" s="107">
        <v>2</v>
      </c>
      <c r="K11" s="107">
        <v>2</v>
      </c>
    </row>
    <row r="12" spans="1:11" x14ac:dyDescent="0.25">
      <c r="A12" s="104">
        <v>3</v>
      </c>
      <c r="B12" s="104">
        <v>1</v>
      </c>
      <c r="C12" s="107">
        <v>1</v>
      </c>
      <c r="D12" s="107">
        <v>2340</v>
      </c>
      <c r="E12" s="107">
        <v>650</v>
      </c>
      <c r="F12" s="107"/>
      <c r="G12" s="107"/>
      <c r="H12" s="107">
        <v>2</v>
      </c>
      <c r="I12" s="107">
        <v>2</v>
      </c>
      <c r="J12" s="107">
        <v>2</v>
      </c>
      <c r="K12" s="107">
        <v>2</v>
      </c>
    </row>
    <row r="13" spans="1:11" x14ac:dyDescent="0.25">
      <c r="A13" s="104">
        <v>4</v>
      </c>
      <c r="B13" s="104">
        <v>1</v>
      </c>
      <c r="C13" s="107">
        <v>1</v>
      </c>
      <c r="D13" s="107">
        <v>2340</v>
      </c>
      <c r="E13" s="107">
        <v>850</v>
      </c>
      <c r="F13" s="107"/>
      <c r="G13" s="107"/>
      <c r="H13" s="107">
        <v>2</v>
      </c>
      <c r="I13" s="107">
        <v>2</v>
      </c>
      <c r="J13" s="107">
        <v>2</v>
      </c>
      <c r="K13" s="107">
        <v>2</v>
      </c>
    </row>
    <row r="14" spans="1:11" x14ac:dyDescent="0.25">
      <c r="A14" s="104">
        <v>5</v>
      </c>
      <c r="B14" s="104">
        <v>1</v>
      </c>
      <c r="C14" s="107">
        <v>1</v>
      </c>
      <c r="D14" s="107">
        <v>2340</v>
      </c>
      <c r="E14" s="107">
        <v>650</v>
      </c>
      <c r="F14" s="107"/>
      <c r="G14" s="107"/>
      <c r="H14" s="107">
        <v>2</v>
      </c>
      <c r="I14" s="107">
        <v>2</v>
      </c>
      <c r="J14" s="107">
        <v>2</v>
      </c>
      <c r="K14" s="107">
        <v>2</v>
      </c>
    </row>
    <row r="15" spans="1:11" x14ac:dyDescent="0.25">
      <c r="A15" s="104">
        <v>6</v>
      </c>
      <c r="B15" s="104">
        <v>1</v>
      </c>
      <c r="C15" s="107">
        <v>1</v>
      </c>
      <c r="D15" s="107">
        <v>2340</v>
      </c>
      <c r="E15" s="107">
        <v>850</v>
      </c>
      <c r="F15" s="107"/>
      <c r="G15" s="107"/>
      <c r="H15" s="107">
        <v>2</v>
      </c>
      <c r="I15" s="107">
        <v>2</v>
      </c>
      <c r="J15" s="107">
        <v>2</v>
      </c>
      <c r="K15" s="107">
        <v>2</v>
      </c>
    </row>
    <row r="16" spans="1:11" x14ac:dyDescent="0.25">
      <c r="A16" s="104">
        <v>7</v>
      </c>
      <c r="B16" s="104">
        <v>1</v>
      </c>
      <c r="C16" s="107">
        <v>1</v>
      </c>
      <c r="D16" s="107">
        <v>2340</v>
      </c>
      <c r="E16" s="107">
        <v>950</v>
      </c>
      <c r="F16" s="107"/>
      <c r="G16" s="107"/>
      <c r="H16" s="107">
        <v>2</v>
      </c>
      <c r="I16" s="107">
        <v>2</v>
      </c>
      <c r="J16" s="107">
        <v>2</v>
      </c>
      <c r="K16" s="107">
        <v>2</v>
      </c>
    </row>
    <row r="17" spans="1:11" x14ac:dyDescent="0.25">
      <c r="A17" s="104">
        <v>8</v>
      </c>
      <c r="B17" s="104">
        <v>1</v>
      </c>
      <c r="C17" s="107">
        <v>1</v>
      </c>
      <c r="D17" s="107">
        <v>2340</v>
      </c>
      <c r="E17" s="107">
        <v>750</v>
      </c>
      <c r="F17" s="107"/>
      <c r="G17" s="107"/>
      <c r="H17" s="107">
        <v>2</v>
      </c>
      <c r="I17" s="107">
        <v>2</v>
      </c>
      <c r="J17" s="107">
        <v>2</v>
      </c>
      <c r="K17" s="107">
        <v>2</v>
      </c>
    </row>
    <row r="18" spans="1:11" x14ac:dyDescent="0.25">
      <c r="A18" s="104">
        <v>9</v>
      </c>
      <c r="B18" s="104">
        <v>1</v>
      </c>
      <c r="C18" s="107">
        <v>1</v>
      </c>
      <c r="D18" s="107">
        <v>2220</v>
      </c>
      <c r="E18" s="107">
        <v>835</v>
      </c>
      <c r="F18" s="107"/>
      <c r="G18" s="107"/>
      <c r="H18" s="107">
        <v>2</v>
      </c>
      <c r="I18" s="107">
        <v>2</v>
      </c>
      <c r="J18" s="107">
        <v>2</v>
      </c>
      <c r="K18" s="107">
        <v>2</v>
      </c>
    </row>
    <row r="19" spans="1:11" x14ac:dyDescent="0.25">
      <c r="A19" s="104"/>
      <c r="B19" s="104"/>
      <c r="C19" s="107"/>
      <c r="D19" s="107"/>
      <c r="E19" s="107"/>
      <c r="F19" s="107"/>
      <c r="G19" s="107"/>
      <c r="H19" s="107"/>
      <c r="I19" s="107"/>
      <c r="J19" s="107"/>
      <c r="K19" s="107"/>
    </row>
    <row r="20" spans="1:11" x14ac:dyDescent="0.25">
      <c r="A20" s="104"/>
      <c r="B20" s="104"/>
      <c r="C20" s="107"/>
      <c r="D20" s="107"/>
      <c r="E20" s="107"/>
      <c r="F20" s="107"/>
      <c r="G20" s="107"/>
      <c r="H20" s="107"/>
      <c r="I20" s="107"/>
      <c r="J20" s="107"/>
      <c r="K20" s="107"/>
    </row>
    <row r="21" spans="1:11" ht="18.75" x14ac:dyDescent="0.3">
      <c r="A21" s="174" t="s">
        <v>8790</v>
      </c>
      <c r="B21" s="173"/>
      <c r="C21" s="173"/>
      <c r="D21" s="173"/>
      <c r="E21" s="173"/>
      <c r="F21" s="173"/>
      <c r="G21" s="173"/>
      <c r="H21" s="173"/>
      <c r="I21" s="173"/>
      <c r="J21" s="173"/>
      <c r="K21" s="173"/>
    </row>
    <row r="22" spans="1:11" ht="18.75" x14ac:dyDescent="0.3">
      <c r="A22" s="174" t="s">
        <v>8785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3"/>
    </row>
  </sheetData>
  <mergeCells count="3">
    <mergeCell ref="A1:K1"/>
    <mergeCell ref="A21:K21"/>
    <mergeCell ref="A22:K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</vt:i4>
      </vt:variant>
    </vt:vector>
  </HeadingPairs>
  <TitlesOfParts>
    <vt:vector size="14" baseType="lpstr">
      <vt:lpstr>MAESTRO</vt:lpstr>
      <vt:lpstr>BASE DE DATOS</vt:lpstr>
      <vt:lpstr>REF</vt:lpstr>
      <vt:lpstr>Hoja1</vt:lpstr>
      <vt:lpstr>Hoja3</vt:lpstr>
      <vt:lpstr>Resumen Paquetes</vt:lpstr>
      <vt:lpstr>TD</vt:lpstr>
      <vt:lpstr>STICKERS</vt:lpstr>
      <vt:lpstr>REMISION PRINCIPAL</vt:lpstr>
      <vt:lpstr>(064-8371)</vt:lpstr>
      <vt:lpstr>(064-8372)</vt:lpstr>
      <vt:lpstr>(064-8373)</vt:lpstr>
      <vt:lpstr>(064-8374)</vt:lpstr>
      <vt:lpstr>STICKERS!Área_de_impresión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DirectorProduccion</dc:creator>
  <cp:lastModifiedBy>steve nova arboleda</cp:lastModifiedBy>
  <dcterms:created xsi:type="dcterms:W3CDTF">2025-10-28T22:38:23Z</dcterms:created>
  <dcterms:modified xsi:type="dcterms:W3CDTF">2026-02-17T00:12:29Z</dcterms:modified>
</cp:coreProperties>
</file>